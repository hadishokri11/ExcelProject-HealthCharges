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queryTables/queryTable1.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charts/chart16.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charts/chart17.xml" ContentType="application/vnd.openxmlformats-officedocument.drawingml.chart+xml"/>
  <Override PartName="/xl/charts/style15.xml" ContentType="application/vnd.ms-office.chartstyle+xml"/>
  <Override PartName="/xl/charts/colors15.xml" ContentType="application/vnd.ms-office.chartcolorstyle+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xl/charts/chartEx3.xml" ContentType="application/vnd.ms-office.chartex+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User\Desktop\Kaggle Data\"/>
    </mc:Choice>
  </mc:AlternateContent>
  <xr:revisionPtr revIDLastSave="0" documentId="13_ncr:1_{D34DA200-1CB6-4E6D-A2D0-08004B8A106E}" xr6:coauthVersionLast="47" xr6:coauthVersionMax="47" xr10:uidLastSave="{00000000-0000-0000-0000-000000000000}"/>
  <bookViews>
    <workbookView xWindow="-120" yWindow="-120" windowWidth="29040" windowHeight="15840" activeTab="4" xr2:uid="{9AF2A479-728E-48AE-A7E2-B8879919CADE}"/>
  </bookViews>
  <sheets>
    <sheet name="insurance" sheetId="1" r:id="rId1"/>
    <sheet name="insurance (Copy)" sheetId="2" r:id="rId2"/>
    <sheet name="insurance (Clean)" sheetId="3" r:id="rId3"/>
    <sheet name="Pivot" sheetId="4" r:id="rId4"/>
    <sheet name="DashBoard" sheetId="5" r:id="rId5"/>
  </sheets>
  <definedNames>
    <definedName name="_xlchart.v1.0" hidden="1">'insurance (Clean)'!$K$2:$K$1339</definedName>
    <definedName name="_xlchart.v1.1" hidden="1">'insurance (Clean)'!$J$2:$J$1339</definedName>
    <definedName name="_xlchart.v1.2" hidden="1">'insurance (Clean)'!$K$1</definedName>
    <definedName name="_xlchart.v1.3" hidden="1">'insurance (Clean)'!$K$2:$K$1339</definedName>
    <definedName name="_xlchart.v1.4" hidden="1">'insurance (Clean)'!$J$2:$J$1339</definedName>
    <definedName name="_xlchart.v1.5" hidden="1">'insurance (Clean)'!$K$1</definedName>
    <definedName name="_xlchart.v1.6" hidden="1">'insurance (Clean)'!$K$2:$K$1339</definedName>
    <definedName name="ExternalData_1" localSheetId="2" hidden="1">'insurance (Clean)'!$A$1:$K$1339</definedName>
    <definedName name="Slicer_region">#N/A</definedName>
    <definedName name="Slicer_sex">#N/A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54" i="5" l="1" a="1"/>
  <c r="Y54" i="5" s="1"/>
  <c r="C3" i="3" a="1"/>
  <c r="C3" i="3" s="1"/>
  <c r="C2" i="3" a="1"/>
  <c r="C2" i="3" s="1"/>
  <c r="AC49" i="5"/>
  <c r="N38" i="3"/>
  <c r="E2"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E329" i="3"/>
  <c r="E330" i="3"/>
  <c r="E331" i="3"/>
  <c r="E332" i="3"/>
  <c r="E333" i="3"/>
  <c r="E334" i="3"/>
  <c r="E335" i="3"/>
  <c r="E336" i="3"/>
  <c r="E337" i="3"/>
  <c r="E338" i="3"/>
  <c r="E339" i="3"/>
  <c r="E340" i="3"/>
  <c r="E341" i="3"/>
  <c r="E342" i="3"/>
  <c r="E343" i="3"/>
  <c r="E344" i="3"/>
  <c r="E345" i="3"/>
  <c r="E346" i="3"/>
  <c r="E347" i="3"/>
  <c r="E348" i="3"/>
  <c r="E349" i="3"/>
  <c r="E350" i="3"/>
  <c r="E351" i="3"/>
  <c r="E352" i="3"/>
  <c r="E353" i="3"/>
  <c r="E354" i="3"/>
  <c r="E355" i="3"/>
  <c r="E356" i="3"/>
  <c r="E357" i="3"/>
  <c r="E358" i="3"/>
  <c r="E359" i="3"/>
  <c r="E360" i="3"/>
  <c r="E361" i="3"/>
  <c r="E362" i="3"/>
  <c r="E363" i="3"/>
  <c r="E364" i="3"/>
  <c r="E365" i="3"/>
  <c r="E366" i="3"/>
  <c r="E367" i="3"/>
  <c r="E368" i="3"/>
  <c r="E369" i="3"/>
  <c r="E370" i="3"/>
  <c r="E371" i="3"/>
  <c r="E372" i="3"/>
  <c r="E373" i="3"/>
  <c r="E374" i="3"/>
  <c r="E375" i="3"/>
  <c r="E376" i="3"/>
  <c r="E377" i="3"/>
  <c r="E378" i="3"/>
  <c r="E379" i="3"/>
  <c r="E380" i="3"/>
  <c r="E381" i="3"/>
  <c r="E382" i="3"/>
  <c r="E383" i="3"/>
  <c r="E384" i="3"/>
  <c r="E385" i="3"/>
  <c r="E386" i="3"/>
  <c r="E387" i="3"/>
  <c r="E388" i="3"/>
  <c r="E389" i="3"/>
  <c r="E390" i="3"/>
  <c r="E391" i="3"/>
  <c r="E392" i="3"/>
  <c r="E393" i="3"/>
  <c r="E394" i="3"/>
  <c r="E395" i="3"/>
  <c r="E396" i="3"/>
  <c r="E397" i="3"/>
  <c r="E398" i="3"/>
  <c r="E399" i="3"/>
  <c r="E400" i="3"/>
  <c r="E401" i="3"/>
  <c r="E402" i="3"/>
  <c r="E403" i="3"/>
  <c r="E404" i="3"/>
  <c r="E405" i="3"/>
  <c r="E406" i="3"/>
  <c r="E407" i="3"/>
  <c r="E408" i="3"/>
  <c r="E409" i="3"/>
  <c r="E410" i="3"/>
  <c r="E411" i="3"/>
  <c r="E412" i="3"/>
  <c r="E413" i="3"/>
  <c r="E414" i="3"/>
  <c r="E415" i="3"/>
  <c r="E416" i="3"/>
  <c r="E417" i="3"/>
  <c r="E418" i="3"/>
  <c r="E419" i="3"/>
  <c r="E420" i="3"/>
  <c r="E421" i="3"/>
  <c r="E422" i="3"/>
  <c r="E423" i="3"/>
  <c r="E424" i="3"/>
  <c r="E425" i="3"/>
  <c r="E426" i="3"/>
  <c r="E427" i="3"/>
  <c r="E428" i="3"/>
  <c r="E429" i="3"/>
  <c r="E430" i="3"/>
  <c r="E431" i="3"/>
  <c r="E432" i="3"/>
  <c r="E433" i="3"/>
  <c r="E434" i="3"/>
  <c r="E435" i="3"/>
  <c r="E436" i="3"/>
  <c r="E437" i="3"/>
  <c r="E438" i="3"/>
  <c r="E439" i="3"/>
  <c r="E440" i="3"/>
  <c r="E441" i="3"/>
  <c r="E442" i="3"/>
  <c r="E443" i="3"/>
  <c r="E444" i="3"/>
  <c r="E445" i="3"/>
  <c r="E446" i="3"/>
  <c r="E447" i="3"/>
  <c r="E448" i="3"/>
  <c r="E449" i="3"/>
  <c r="E450" i="3"/>
  <c r="E451" i="3"/>
  <c r="E452" i="3"/>
  <c r="E453" i="3"/>
  <c r="E454" i="3"/>
  <c r="E455" i="3"/>
  <c r="E456" i="3"/>
  <c r="E457" i="3"/>
  <c r="E458" i="3"/>
  <c r="E459" i="3"/>
  <c r="E460" i="3"/>
  <c r="E461" i="3"/>
  <c r="E462" i="3"/>
  <c r="E463" i="3"/>
  <c r="E464" i="3"/>
  <c r="E465" i="3"/>
  <c r="E466" i="3"/>
  <c r="E467" i="3"/>
  <c r="E468" i="3"/>
  <c r="E469" i="3"/>
  <c r="E470" i="3"/>
  <c r="E471" i="3"/>
  <c r="E472" i="3"/>
  <c r="E473" i="3"/>
  <c r="E474" i="3"/>
  <c r="E475" i="3"/>
  <c r="E476" i="3"/>
  <c r="E477" i="3"/>
  <c r="E478" i="3"/>
  <c r="E479" i="3"/>
  <c r="E480" i="3"/>
  <c r="E481" i="3"/>
  <c r="E482" i="3"/>
  <c r="E483" i="3"/>
  <c r="E484" i="3"/>
  <c r="E485" i="3"/>
  <c r="E486" i="3"/>
  <c r="E487" i="3"/>
  <c r="E488" i="3"/>
  <c r="E489" i="3"/>
  <c r="E490" i="3"/>
  <c r="E491" i="3"/>
  <c r="E492" i="3"/>
  <c r="E493" i="3"/>
  <c r="E494" i="3"/>
  <c r="E495" i="3"/>
  <c r="E496" i="3"/>
  <c r="E497" i="3"/>
  <c r="E498" i="3"/>
  <c r="E499" i="3"/>
  <c r="E500" i="3"/>
  <c r="E501" i="3"/>
  <c r="E502" i="3"/>
  <c r="E503" i="3"/>
  <c r="E504" i="3"/>
  <c r="E505" i="3"/>
  <c r="E506" i="3"/>
  <c r="E507" i="3"/>
  <c r="E508" i="3"/>
  <c r="E509" i="3"/>
  <c r="E510" i="3"/>
  <c r="E511" i="3"/>
  <c r="E512" i="3"/>
  <c r="E513" i="3"/>
  <c r="E514" i="3"/>
  <c r="E515" i="3"/>
  <c r="E516" i="3"/>
  <c r="E517" i="3"/>
  <c r="E518" i="3"/>
  <c r="E519" i="3"/>
  <c r="E520" i="3"/>
  <c r="E521" i="3"/>
  <c r="E522" i="3"/>
  <c r="E523" i="3"/>
  <c r="E524" i="3"/>
  <c r="E525" i="3"/>
  <c r="E526" i="3"/>
  <c r="E527" i="3"/>
  <c r="E528" i="3"/>
  <c r="E529" i="3"/>
  <c r="E530" i="3"/>
  <c r="E531" i="3"/>
  <c r="E532" i="3"/>
  <c r="E533" i="3"/>
  <c r="E534" i="3"/>
  <c r="E535" i="3"/>
  <c r="E536" i="3"/>
  <c r="E537" i="3"/>
  <c r="E538" i="3"/>
  <c r="E539" i="3"/>
  <c r="E540" i="3"/>
  <c r="E541" i="3"/>
  <c r="E542" i="3"/>
  <c r="E543" i="3"/>
  <c r="E544" i="3"/>
  <c r="E545" i="3"/>
  <c r="E546" i="3"/>
  <c r="E547" i="3"/>
  <c r="E548" i="3"/>
  <c r="E549" i="3"/>
  <c r="E550" i="3"/>
  <c r="E551" i="3"/>
  <c r="E552" i="3"/>
  <c r="E553" i="3"/>
  <c r="E554" i="3"/>
  <c r="E555" i="3"/>
  <c r="E556" i="3"/>
  <c r="E557" i="3"/>
  <c r="E558" i="3"/>
  <c r="E559" i="3"/>
  <c r="E560" i="3"/>
  <c r="E561" i="3"/>
  <c r="E562" i="3"/>
  <c r="E563" i="3"/>
  <c r="E564" i="3"/>
  <c r="E565" i="3"/>
  <c r="E566" i="3"/>
  <c r="E567" i="3"/>
  <c r="E568" i="3"/>
  <c r="E569" i="3"/>
  <c r="E570" i="3"/>
  <c r="E571" i="3"/>
  <c r="E572" i="3"/>
  <c r="E573" i="3"/>
  <c r="E574" i="3"/>
  <c r="E575" i="3"/>
  <c r="E576" i="3"/>
  <c r="E577" i="3"/>
  <c r="E578" i="3"/>
  <c r="E579" i="3"/>
  <c r="E580" i="3"/>
  <c r="E581" i="3"/>
  <c r="E582" i="3"/>
  <c r="E583" i="3"/>
  <c r="E584" i="3"/>
  <c r="E585" i="3"/>
  <c r="E586" i="3"/>
  <c r="E587" i="3"/>
  <c r="E588" i="3"/>
  <c r="E589" i="3"/>
  <c r="E590" i="3"/>
  <c r="E591" i="3"/>
  <c r="E592" i="3"/>
  <c r="E593" i="3"/>
  <c r="E594" i="3"/>
  <c r="E595" i="3"/>
  <c r="E596" i="3"/>
  <c r="E597" i="3"/>
  <c r="E598" i="3"/>
  <c r="E599" i="3"/>
  <c r="E600" i="3"/>
  <c r="E601" i="3"/>
  <c r="E602" i="3"/>
  <c r="E603" i="3"/>
  <c r="E604" i="3"/>
  <c r="E605" i="3"/>
  <c r="E606" i="3"/>
  <c r="E607" i="3"/>
  <c r="E608" i="3"/>
  <c r="E609" i="3"/>
  <c r="E610" i="3"/>
  <c r="E611" i="3"/>
  <c r="E612" i="3"/>
  <c r="E613" i="3"/>
  <c r="E614" i="3"/>
  <c r="E615" i="3"/>
  <c r="E616" i="3"/>
  <c r="E617" i="3"/>
  <c r="E618" i="3"/>
  <c r="E619" i="3"/>
  <c r="E620" i="3"/>
  <c r="E621" i="3"/>
  <c r="E622" i="3"/>
  <c r="E623" i="3"/>
  <c r="E624" i="3"/>
  <c r="E625" i="3"/>
  <c r="E626" i="3"/>
  <c r="E627" i="3"/>
  <c r="E628" i="3"/>
  <c r="E629" i="3"/>
  <c r="E630" i="3"/>
  <c r="E631" i="3"/>
  <c r="E632" i="3"/>
  <c r="E633" i="3"/>
  <c r="E634" i="3"/>
  <c r="E635" i="3"/>
  <c r="E636" i="3"/>
  <c r="E637" i="3"/>
  <c r="E638" i="3"/>
  <c r="E639" i="3"/>
  <c r="E640" i="3"/>
  <c r="E641" i="3"/>
  <c r="E642" i="3"/>
  <c r="E643" i="3"/>
  <c r="E644" i="3"/>
  <c r="E645" i="3"/>
  <c r="E646" i="3"/>
  <c r="E647" i="3"/>
  <c r="E648" i="3"/>
  <c r="E649" i="3"/>
  <c r="E650" i="3"/>
  <c r="E651" i="3"/>
  <c r="E652" i="3"/>
  <c r="E653" i="3"/>
  <c r="E654" i="3"/>
  <c r="E655" i="3"/>
  <c r="E656" i="3"/>
  <c r="E657" i="3"/>
  <c r="E658" i="3"/>
  <c r="E659" i="3"/>
  <c r="E660" i="3"/>
  <c r="E661" i="3"/>
  <c r="E662" i="3"/>
  <c r="E663" i="3"/>
  <c r="E664" i="3"/>
  <c r="E665" i="3"/>
  <c r="E666" i="3"/>
  <c r="E667" i="3"/>
  <c r="E668" i="3"/>
  <c r="E669" i="3"/>
  <c r="E670" i="3"/>
  <c r="E671" i="3"/>
  <c r="E672" i="3"/>
  <c r="E673" i="3"/>
  <c r="E674" i="3"/>
  <c r="E675" i="3"/>
  <c r="E676" i="3"/>
  <c r="E677" i="3"/>
  <c r="E678" i="3"/>
  <c r="E679" i="3"/>
  <c r="E680" i="3"/>
  <c r="E681" i="3"/>
  <c r="E682" i="3"/>
  <c r="E683" i="3"/>
  <c r="E684" i="3"/>
  <c r="E685" i="3"/>
  <c r="E686" i="3"/>
  <c r="E687" i="3"/>
  <c r="E688" i="3"/>
  <c r="E689" i="3"/>
  <c r="E690" i="3"/>
  <c r="E691" i="3"/>
  <c r="E692" i="3"/>
  <c r="E693" i="3"/>
  <c r="E694" i="3"/>
  <c r="E695" i="3"/>
  <c r="E696" i="3"/>
  <c r="E697" i="3"/>
  <c r="E698" i="3"/>
  <c r="E699" i="3"/>
  <c r="E700" i="3"/>
  <c r="E701" i="3"/>
  <c r="E702" i="3"/>
  <c r="E703" i="3"/>
  <c r="E704" i="3"/>
  <c r="E705" i="3"/>
  <c r="E706" i="3"/>
  <c r="E707" i="3"/>
  <c r="E708" i="3"/>
  <c r="E709" i="3"/>
  <c r="E710" i="3"/>
  <c r="E711" i="3"/>
  <c r="E712" i="3"/>
  <c r="E713" i="3"/>
  <c r="E714" i="3"/>
  <c r="E715" i="3"/>
  <c r="E716" i="3"/>
  <c r="E717" i="3"/>
  <c r="E718" i="3"/>
  <c r="E719" i="3"/>
  <c r="E720" i="3"/>
  <c r="E721" i="3"/>
  <c r="E722" i="3"/>
  <c r="E723" i="3"/>
  <c r="E724" i="3"/>
  <c r="E725" i="3"/>
  <c r="E726" i="3"/>
  <c r="E727" i="3"/>
  <c r="E728" i="3"/>
  <c r="E729" i="3"/>
  <c r="E730" i="3"/>
  <c r="E731" i="3"/>
  <c r="E732" i="3"/>
  <c r="E733" i="3"/>
  <c r="E734" i="3"/>
  <c r="E735" i="3"/>
  <c r="E736" i="3"/>
  <c r="E737" i="3"/>
  <c r="E738" i="3"/>
  <c r="E739" i="3"/>
  <c r="E740" i="3"/>
  <c r="E741" i="3"/>
  <c r="E742" i="3"/>
  <c r="E743" i="3"/>
  <c r="E744" i="3"/>
  <c r="E745" i="3"/>
  <c r="E746" i="3"/>
  <c r="E747" i="3"/>
  <c r="E748" i="3"/>
  <c r="E749" i="3"/>
  <c r="E750" i="3"/>
  <c r="E751" i="3"/>
  <c r="E752" i="3"/>
  <c r="E753" i="3"/>
  <c r="E754" i="3"/>
  <c r="E755" i="3"/>
  <c r="E756" i="3"/>
  <c r="E757" i="3"/>
  <c r="E758" i="3"/>
  <c r="E759" i="3"/>
  <c r="E760" i="3"/>
  <c r="E761" i="3"/>
  <c r="E762" i="3"/>
  <c r="E763" i="3"/>
  <c r="E764" i="3"/>
  <c r="E765" i="3"/>
  <c r="E766" i="3"/>
  <c r="E767" i="3"/>
  <c r="E768" i="3"/>
  <c r="E769" i="3"/>
  <c r="E770" i="3"/>
  <c r="E771" i="3"/>
  <c r="E772" i="3"/>
  <c r="E773" i="3"/>
  <c r="E774" i="3"/>
  <c r="E775" i="3"/>
  <c r="E776" i="3"/>
  <c r="E777" i="3"/>
  <c r="E778" i="3"/>
  <c r="E779" i="3"/>
  <c r="E780" i="3"/>
  <c r="E781" i="3"/>
  <c r="E782" i="3"/>
  <c r="E783" i="3"/>
  <c r="E784" i="3"/>
  <c r="E785" i="3"/>
  <c r="E786" i="3"/>
  <c r="E787" i="3"/>
  <c r="E788" i="3"/>
  <c r="E789" i="3"/>
  <c r="E790" i="3"/>
  <c r="E791" i="3"/>
  <c r="E792" i="3"/>
  <c r="E793" i="3"/>
  <c r="E794" i="3"/>
  <c r="E795" i="3"/>
  <c r="E796" i="3"/>
  <c r="E797" i="3"/>
  <c r="E798" i="3"/>
  <c r="E799" i="3"/>
  <c r="E800" i="3"/>
  <c r="E801" i="3"/>
  <c r="E802" i="3"/>
  <c r="E803" i="3"/>
  <c r="E804" i="3"/>
  <c r="E805" i="3"/>
  <c r="E806" i="3"/>
  <c r="E807" i="3"/>
  <c r="E808" i="3"/>
  <c r="E809" i="3"/>
  <c r="E810" i="3"/>
  <c r="E811" i="3"/>
  <c r="E812" i="3"/>
  <c r="E813" i="3"/>
  <c r="E814" i="3"/>
  <c r="E815" i="3"/>
  <c r="E816" i="3"/>
  <c r="E817" i="3"/>
  <c r="E818" i="3"/>
  <c r="E819" i="3"/>
  <c r="E820" i="3"/>
  <c r="E821" i="3"/>
  <c r="E822" i="3"/>
  <c r="E823" i="3"/>
  <c r="E824" i="3"/>
  <c r="E825" i="3"/>
  <c r="E826" i="3"/>
  <c r="E827" i="3"/>
  <c r="E828" i="3"/>
  <c r="E829" i="3"/>
  <c r="E830" i="3"/>
  <c r="E831" i="3"/>
  <c r="E832" i="3"/>
  <c r="E833" i="3"/>
  <c r="E834" i="3"/>
  <c r="E835" i="3"/>
  <c r="E836" i="3"/>
  <c r="E837" i="3"/>
  <c r="E838" i="3"/>
  <c r="E839" i="3"/>
  <c r="E840" i="3"/>
  <c r="E841" i="3"/>
  <c r="E842" i="3"/>
  <c r="E843" i="3"/>
  <c r="E844" i="3"/>
  <c r="E845" i="3"/>
  <c r="E846" i="3"/>
  <c r="E847" i="3"/>
  <c r="E848" i="3"/>
  <c r="E849" i="3"/>
  <c r="E850" i="3"/>
  <c r="E851" i="3"/>
  <c r="E852" i="3"/>
  <c r="E853" i="3"/>
  <c r="E854" i="3"/>
  <c r="E855" i="3"/>
  <c r="E856" i="3"/>
  <c r="E857" i="3"/>
  <c r="E858" i="3"/>
  <c r="E859" i="3"/>
  <c r="E860" i="3"/>
  <c r="E861" i="3"/>
  <c r="E862" i="3"/>
  <c r="E863" i="3"/>
  <c r="E864" i="3"/>
  <c r="E865" i="3"/>
  <c r="E866" i="3"/>
  <c r="E867" i="3"/>
  <c r="E868" i="3"/>
  <c r="E869" i="3"/>
  <c r="E870" i="3"/>
  <c r="E871" i="3"/>
  <c r="E872" i="3"/>
  <c r="E873" i="3"/>
  <c r="E874" i="3"/>
  <c r="E875" i="3"/>
  <c r="E876" i="3"/>
  <c r="E877" i="3"/>
  <c r="E878" i="3"/>
  <c r="E879" i="3"/>
  <c r="E880" i="3"/>
  <c r="E881" i="3"/>
  <c r="E882" i="3"/>
  <c r="E883" i="3"/>
  <c r="E884" i="3"/>
  <c r="E885" i="3"/>
  <c r="E886" i="3"/>
  <c r="E887" i="3"/>
  <c r="E888" i="3"/>
  <c r="E889" i="3"/>
  <c r="E890" i="3"/>
  <c r="E891" i="3"/>
  <c r="E892" i="3"/>
  <c r="E893" i="3"/>
  <c r="E894" i="3"/>
  <c r="E895" i="3"/>
  <c r="E896" i="3"/>
  <c r="E897" i="3"/>
  <c r="E898" i="3"/>
  <c r="E899" i="3"/>
  <c r="E900" i="3"/>
  <c r="E901" i="3"/>
  <c r="E902" i="3"/>
  <c r="E903" i="3"/>
  <c r="E904" i="3"/>
  <c r="E905" i="3"/>
  <c r="E906" i="3"/>
  <c r="E907" i="3"/>
  <c r="E908" i="3"/>
  <c r="E909" i="3"/>
  <c r="E910" i="3"/>
  <c r="E911" i="3"/>
  <c r="E912" i="3"/>
  <c r="E913" i="3"/>
  <c r="E914" i="3"/>
  <c r="E915" i="3"/>
  <c r="E916" i="3"/>
  <c r="E917" i="3"/>
  <c r="E918" i="3"/>
  <c r="E919" i="3"/>
  <c r="E920" i="3"/>
  <c r="E921" i="3"/>
  <c r="E922" i="3"/>
  <c r="E923" i="3"/>
  <c r="E924" i="3"/>
  <c r="E925" i="3"/>
  <c r="E926" i="3"/>
  <c r="E927" i="3"/>
  <c r="E928" i="3"/>
  <c r="E929" i="3"/>
  <c r="E930" i="3"/>
  <c r="E931" i="3"/>
  <c r="E932" i="3"/>
  <c r="E933" i="3"/>
  <c r="E934" i="3"/>
  <c r="E935" i="3"/>
  <c r="E936" i="3"/>
  <c r="E937" i="3"/>
  <c r="E938" i="3"/>
  <c r="E939" i="3"/>
  <c r="E940" i="3"/>
  <c r="E941" i="3"/>
  <c r="E942" i="3"/>
  <c r="E943" i="3"/>
  <c r="E944" i="3"/>
  <c r="E945" i="3"/>
  <c r="E946" i="3"/>
  <c r="E947" i="3"/>
  <c r="E948" i="3"/>
  <c r="E949" i="3"/>
  <c r="E950" i="3"/>
  <c r="E951" i="3"/>
  <c r="E952" i="3"/>
  <c r="E953" i="3"/>
  <c r="E954" i="3"/>
  <c r="E955" i="3"/>
  <c r="E956" i="3"/>
  <c r="E957" i="3"/>
  <c r="E958" i="3"/>
  <c r="E959" i="3"/>
  <c r="E960" i="3"/>
  <c r="E961" i="3"/>
  <c r="E962" i="3"/>
  <c r="E963" i="3"/>
  <c r="E964" i="3"/>
  <c r="E965" i="3"/>
  <c r="E966" i="3"/>
  <c r="E967" i="3"/>
  <c r="E968" i="3"/>
  <c r="E969" i="3"/>
  <c r="E970" i="3"/>
  <c r="E971" i="3"/>
  <c r="E972" i="3"/>
  <c r="E973" i="3"/>
  <c r="E974" i="3"/>
  <c r="E975" i="3"/>
  <c r="E976" i="3"/>
  <c r="E977" i="3"/>
  <c r="E978" i="3"/>
  <c r="E979" i="3"/>
  <c r="E980" i="3"/>
  <c r="E981" i="3"/>
  <c r="E982" i="3"/>
  <c r="E983" i="3"/>
  <c r="E984" i="3"/>
  <c r="E985" i="3"/>
  <c r="E986" i="3"/>
  <c r="E987" i="3"/>
  <c r="E988" i="3"/>
  <c r="E989" i="3"/>
  <c r="E990" i="3"/>
  <c r="E991" i="3"/>
  <c r="E992" i="3"/>
  <c r="E993" i="3"/>
  <c r="E994" i="3"/>
  <c r="E995" i="3"/>
  <c r="E996" i="3"/>
  <c r="E997" i="3"/>
  <c r="E998" i="3"/>
  <c r="E999" i="3"/>
  <c r="E1000" i="3"/>
  <c r="E1001" i="3"/>
  <c r="E1002" i="3"/>
  <c r="E1003" i="3"/>
  <c r="E1004" i="3"/>
  <c r="E1005" i="3"/>
  <c r="E1006" i="3"/>
  <c r="E1007" i="3"/>
  <c r="E1008" i="3"/>
  <c r="E1009" i="3"/>
  <c r="E1010" i="3"/>
  <c r="E1011" i="3"/>
  <c r="E1012" i="3"/>
  <c r="E1013" i="3"/>
  <c r="E1014" i="3"/>
  <c r="E1015" i="3"/>
  <c r="E1016" i="3"/>
  <c r="E1017" i="3"/>
  <c r="E1018" i="3"/>
  <c r="E1019" i="3"/>
  <c r="E1020" i="3"/>
  <c r="E1021" i="3"/>
  <c r="E1022" i="3"/>
  <c r="E1023" i="3"/>
  <c r="E1024" i="3"/>
  <c r="E1025" i="3"/>
  <c r="E1026" i="3"/>
  <c r="E1027" i="3"/>
  <c r="E1028" i="3"/>
  <c r="E1029" i="3"/>
  <c r="E1030" i="3"/>
  <c r="E1031" i="3"/>
  <c r="E1032" i="3"/>
  <c r="E1033" i="3"/>
  <c r="E1034" i="3"/>
  <c r="E1035" i="3"/>
  <c r="E1036" i="3"/>
  <c r="E1037" i="3"/>
  <c r="E1038" i="3"/>
  <c r="E1039" i="3"/>
  <c r="E1040" i="3"/>
  <c r="E1041" i="3"/>
  <c r="E1042" i="3"/>
  <c r="E1043" i="3"/>
  <c r="E1044" i="3"/>
  <c r="E1045" i="3"/>
  <c r="E1046" i="3"/>
  <c r="E1047" i="3"/>
  <c r="E1048" i="3"/>
  <c r="E1049" i="3"/>
  <c r="E1050" i="3"/>
  <c r="E1051" i="3"/>
  <c r="E1052" i="3"/>
  <c r="E1053" i="3"/>
  <c r="E1054" i="3"/>
  <c r="E1055" i="3"/>
  <c r="E1056" i="3"/>
  <c r="E1057" i="3"/>
  <c r="E1058" i="3"/>
  <c r="E1059" i="3"/>
  <c r="E1060" i="3"/>
  <c r="E1061" i="3"/>
  <c r="E1062" i="3"/>
  <c r="E1063" i="3"/>
  <c r="E1064" i="3"/>
  <c r="E1065" i="3"/>
  <c r="E1066" i="3"/>
  <c r="E1067" i="3"/>
  <c r="E1068" i="3"/>
  <c r="E1069" i="3"/>
  <c r="E1070" i="3"/>
  <c r="E1071" i="3"/>
  <c r="E1072" i="3"/>
  <c r="E1073" i="3"/>
  <c r="E1074" i="3"/>
  <c r="E1075" i="3"/>
  <c r="E1076" i="3"/>
  <c r="E1077" i="3"/>
  <c r="E1078" i="3"/>
  <c r="E1079" i="3"/>
  <c r="E1080" i="3"/>
  <c r="E1081" i="3"/>
  <c r="E1082" i="3"/>
  <c r="E1083" i="3"/>
  <c r="E1084" i="3"/>
  <c r="E1085" i="3"/>
  <c r="E1086" i="3"/>
  <c r="E1087" i="3"/>
  <c r="E1088" i="3"/>
  <c r="E1089" i="3"/>
  <c r="E1090" i="3"/>
  <c r="E1091" i="3"/>
  <c r="E1092" i="3"/>
  <c r="E1093" i="3"/>
  <c r="E1094" i="3"/>
  <c r="E1095" i="3"/>
  <c r="E1096" i="3"/>
  <c r="E1097" i="3"/>
  <c r="E1098" i="3"/>
  <c r="E1099" i="3"/>
  <c r="E1100" i="3"/>
  <c r="E1101" i="3"/>
  <c r="E1102" i="3"/>
  <c r="E1103" i="3"/>
  <c r="E1104" i="3"/>
  <c r="E1105" i="3"/>
  <c r="E1106" i="3"/>
  <c r="E1107" i="3"/>
  <c r="E1108" i="3"/>
  <c r="E1109" i="3"/>
  <c r="E1110" i="3"/>
  <c r="E1111" i="3"/>
  <c r="E1112" i="3"/>
  <c r="E1113" i="3"/>
  <c r="E1114" i="3"/>
  <c r="E1115" i="3"/>
  <c r="E1116" i="3"/>
  <c r="E1117" i="3"/>
  <c r="E1118" i="3"/>
  <c r="E1119" i="3"/>
  <c r="E1120" i="3"/>
  <c r="E1121" i="3"/>
  <c r="E1122" i="3"/>
  <c r="E1123" i="3"/>
  <c r="E1124" i="3"/>
  <c r="E1125" i="3"/>
  <c r="E1126" i="3"/>
  <c r="E1127" i="3"/>
  <c r="E1128" i="3"/>
  <c r="E1129" i="3"/>
  <c r="E1130" i="3"/>
  <c r="E1131" i="3"/>
  <c r="E1132" i="3"/>
  <c r="E1133" i="3"/>
  <c r="E1134" i="3"/>
  <c r="E1135" i="3"/>
  <c r="E1136" i="3"/>
  <c r="E1137" i="3"/>
  <c r="E1138" i="3"/>
  <c r="E1139" i="3"/>
  <c r="E1140" i="3"/>
  <c r="E1141" i="3"/>
  <c r="E1142" i="3"/>
  <c r="E1143" i="3"/>
  <c r="E1144" i="3"/>
  <c r="E1145" i="3"/>
  <c r="E1146" i="3"/>
  <c r="E1147" i="3"/>
  <c r="E1148" i="3"/>
  <c r="E1149" i="3"/>
  <c r="E1150" i="3"/>
  <c r="E1151" i="3"/>
  <c r="E1152" i="3"/>
  <c r="E1153" i="3"/>
  <c r="E1154" i="3"/>
  <c r="E1155" i="3"/>
  <c r="E1156" i="3"/>
  <c r="E1157" i="3"/>
  <c r="E1158" i="3"/>
  <c r="E1159" i="3"/>
  <c r="E1160" i="3"/>
  <c r="E1161" i="3"/>
  <c r="E1162" i="3"/>
  <c r="E1163" i="3"/>
  <c r="E1164" i="3"/>
  <c r="E1165" i="3"/>
  <c r="E1166" i="3"/>
  <c r="E1167" i="3"/>
  <c r="E1168" i="3"/>
  <c r="E1169" i="3"/>
  <c r="E1170" i="3"/>
  <c r="E1171" i="3"/>
  <c r="E1172" i="3"/>
  <c r="E1173" i="3"/>
  <c r="E1174" i="3"/>
  <c r="E1175" i="3"/>
  <c r="E1176" i="3"/>
  <c r="E1177" i="3"/>
  <c r="E1178" i="3"/>
  <c r="E1179" i="3"/>
  <c r="E1180" i="3"/>
  <c r="E1181" i="3"/>
  <c r="E1182" i="3"/>
  <c r="E1183" i="3"/>
  <c r="E1184" i="3"/>
  <c r="E1185" i="3"/>
  <c r="E1186" i="3"/>
  <c r="E1187" i="3"/>
  <c r="E1188" i="3"/>
  <c r="E1189" i="3"/>
  <c r="E1190" i="3"/>
  <c r="E1191" i="3"/>
  <c r="E1192" i="3"/>
  <c r="E1193" i="3"/>
  <c r="E1194" i="3"/>
  <c r="E1195" i="3"/>
  <c r="E1196" i="3"/>
  <c r="E1197" i="3"/>
  <c r="E1198" i="3"/>
  <c r="E1199" i="3"/>
  <c r="E1200" i="3"/>
  <c r="E1201" i="3"/>
  <c r="E1202" i="3"/>
  <c r="E1203" i="3"/>
  <c r="E1204" i="3"/>
  <c r="E1205" i="3"/>
  <c r="E1206" i="3"/>
  <c r="E1207" i="3"/>
  <c r="E1208" i="3"/>
  <c r="E1209" i="3"/>
  <c r="E1210" i="3"/>
  <c r="E1211" i="3"/>
  <c r="E1212" i="3"/>
  <c r="E1213" i="3"/>
  <c r="E1214" i="3"/>
  <c r="E1215" i="3"/>
  <c r="E1216" i="3"/>
  <c r="E1217" i="3"/>
  <c r="E1218" i="3"/>
  <c r="E1219" i="3"/>
  <c r="E1220" i="3"/>
  <c r="E1221" i="3"/>
  <c r="E1222" i="3"/>
  <c r="E1223" i="3"/>
  <c r="E1224" i="3"/>
  <c r="E1225" i="3"/>
  <c r="E1226" i="3"/>
  <c r="E1227" i="3"/>
  <c r="E1228" i="3"/>
  <c r="E1229" i="3"/>
  <c r="E1230" i="3"/>
  <c r="E1231" i="3"/>
  <c r="E1232" i="3"/>
  <c r="E1233" i="3"/>
  <c r="E1234" i="3"/>
  <c r="E1235" i="3"/>
  <c r="E1236" i="3"/>
  <c r="E1237" i="3"/>
  <c r="E1238" i="3"/>
  <c r="E1239" i="3"/>
  <c r="E1240" i="3"/>
  <c r="E1241" i="3"/>
  <c r="E1242" i="3"/>
  <c r="E1243" i="3"/>
  <c r="E1244" i="3"/>
  <c r="E1245" i="3"/>
  <c r="E1246" i="3"/>
  <c r="E1247" i="3"/>
  <c r="E1248" i="3"/>
  <c r="E1249" i="3"/>
  <c r="E1250" i="3"/>
  <c r="E1251" i="3"/>
  <c r="E1252" i="3"/>
  <c r="E1253" i="3"/>
  <c r="E1254" i="3"/>
  <c r="E1255" i="3"/>
  <c r="E1256" i="3"/>
  <c r="E1257" i="3"/>
  <c r="E1258" i="3"/>
  <c r="E1259" i="3"/>
  <c r="E1260" i="3"/>
  <c r="E1261" i="3"/>
  <c r="E1262" i="3"/>
  <c r="E1263" i="3"/>
  <c r="E1264" i="3"/>
  <c r="E1265" i="3"/>
  <c r="E1266" i="3"/>
  <c r="E1267" i="3"/>
  <c r="E1268" i="3"/>
  <c r="E1269" i="3"/>
  <c r="E1270" i="3"/>
  <c r="E1271" i="3"/>
  <c r="E1272" i="3"/>
  <c r="E1273" i="3"/>
  <c r="E1274" i="3"/>
  <c r="E1275" i="3"/>
  <c r="E1276" i="3"/>
  <c r="E1277" i="3"/>
  <c r="E1278" i="3"/>
  <c r="E1279" i="3"/>
  <c r="E1280" i="3"/>
  <c r="E1281" i="3"/>
  <c r="E1282" i="3"/>
  <c r="E1283" i="3"/>
  <c r="E1284" i="3"/>
  <c r="E1285" i="3"/>
  <c r="E1286" i="3"/>
  <c r="E1287" i="3"/>
  <c r="E1288" i="3"/>
  <c r="E1289" i="3"/>
  <c r="E1290" i="3"/>
  <c r="E1291" i="3"/>
  <c r="E1292" i="3"/>
  <c r="E1293" i="3"/>
  <c r="E1294" i="3"/>
  <c r="E1295" i="3"/>
  <c r="E1296" i="3"/>
  <c r="E1297" i="3"/>
  <c r="E1298" i="3"/>
  <c r="E1299" i="3"/>
  <c r="E1300" i="3"/>
  <c r="E1301" i="3"/>
  <c r="E1302" i="3"/>
  <c r="E1303" i="3"/>
  <c r="E1304" i="3"/>
  <c r="E1305" i="3"/>
  <c r="E1306" i="3"/>
  <c r="E1307" i="3"/>
  <c r="E1308" i="3"/>
  <c r="E1309" i="3"/>
  <c r="E1310" i="3"/>
  <c r="E1311" i="3"/>
  <c r="E1312" i="3"/>
  <c r="E1313" i="3"/>
  <c r="E1314" i="3"/>
  <c r="E1315" i="3"/>
  <c r="E1316" i="3"/>
  <c r="E1317" i="3"/>
  <c r="E1318" i="3"/>
  <c r="E1319" i="3"/>
  <c r="E1320" i="3"/>
  <c r="E1321" i="3"/>
  <c r="E1322" i="3"/>
  <c r="E1323" i="3"/>
  <c r="E1324" i="3"/>
  <c r="E1325" i="3"/>
  <c r="E1326" i="3"/>
  <c r="E1327" i="3"/>
  <c r="E1328" i="3"/>
  <c r="E1329" i="3"/>
  <c r="E1330" i="3"/>
  <c r="E1331" i="3"/>
  <c r="E1332" i="3"/>
  <c r="E1333" i="3"/>
  <c r="E1334" i="3"/>
  <c r="E1335" i="3"/>
  <c r="E1336" i="3"/>
  <c r="E1337" i="3"/>
  <c r="E1338" i="3"/>
  <c r="E1339" i="3"/>
  <c r="H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H510" i="3"/>
  <c r="H511" i="3"/>
  <c r="H512" i="3"/>
  <c r="H513" i="3"/>
  <c r="H514" i="3"/>
  <c r="H515" i="3"/>
  <c r="H516" i="3"/>
  <c r="H517" i="3"/>
  <c r="H518" i="3"/>
  <c r="H519" i="3"/>
  <c r="H520" i="3"/>
  <c r="H521" i="3"/>
  <c r="H522" i="3"/>
  <c r="H523" i="3"/>
  <c r="H524" i="3"/>
  <c r="H525" i="3"/>
  <c r="H526" i="3"/>
  <c r="H527" i="3"/>
  <c r="H528" i="3"/>
  <c r="H529" i="3"/>
  <c r="H530" i="3"/>
  <c r="H531" i="3"/>
  <c r="H532" i="3"/>
  <c r="H533" i="3"/>
  <c r="H534" i="3"/>
  <c r="H535" i="3"/>
  <c r="H536" i="3"/>
  <c r="H537" i="3"/>
  <c r="H538" i="3"/>
  <c r="H539" i="3"/>
  <c r="H540" i="3"/>
  <c r="H541" i="3"/>
  <c r="H542" i="3"/>
  <c r="H543" i="3"/>
  <c r="H544" i="3"/>
  <c r="H545" i="3"/>
  <c r="H546" i="3"/>
  <c r="H547" i="3"/>
  <c r="H548" i="3"/>
  <c r="H549" i="3"/>
  <c r="H550" i="3"/>
  <c r="H551" i="3"/>
  <c r="H552" i="3"/>
  <c r="H553" i="3"/>
  <c r="H554" i="3"/>
  <c r="H555" i="3"/>
  <c r="H556" i="3"/>
  <c r="H557" i="3"/>
  <c r="H558" i="3"/>
  <c r="H559" i="3"/>
  <c r="H560" i="3"/>
  <c r="H561" i="3"/>
  <c r="H562" i="3"/>
  <c r="H563" i="3"/>
  <c r="H564" i="3"/>
  <c r="H565" i="3"/>
  <c r="H566" i="3"/>
  <c r="H567" i="3"/>
  <c r="H568" i="3"/>
  <c r="H569" i="3"/>
  <c r="H570" i="3"/>
  <c r="H571" i="3"/>
  <c r="H572" i="3"/>
  <c r="H573" i="3"/>
  <c r="H574" i="3"/>
  <c r="H575" i="3"/>
  <c r="H576" i="3"/>
  <c r="H577" i="3"/>
  <c r="H578" i="3"/>
  <c r="H579" i="3"/>
  <c r="H580" i="3"/>
  <c r="H581" i="3"/>
  <c r="H582" i="3"/>
  <c r="H583" i="3"/>
  <c r="H584" i="3"/>
  <c r="H585" i="3"/>
  <c r="H586" i="3"/>
  <c r="H587" i="3"/>
  <c r="H588" i="3"/>
  <c r="H589" i="3"/>
  <c r="H590" i="3"/>
  <c r="H591" i="3"/>
  <c r="H592" i="3"/>
  <c r="H593" i="3"/>
  <c r="H594" i="3"/>
  <c r="H595" i="3"/>
  <c r="H596" i="3"/>
  <c r="H597" i="3"/>
  <c r="H598" i="3"/>
  <c r="H599" i="3"/>
  <c r="H600" i="3"/>
  <c r="H601" i="3"/>
  <c r="H602" i="3"/>
  <c r="H603" i="3"/>
  <c r="H604" i="3"/>
  <c r="H605" i="3"/>
  <c r="H606" i="3"/>
  <c r="H607" i="3"/>
  <c r="H608" i="3"/>
  <c r="H609" i="3"/>
  <c r="H610" i="3"/>
  <c r="H611" i="3"/>
  <c r="H612" i="3"/>
  <c r="H613" i="3"/>
  <c r="H614" i="3"/>
  <c r="H615" i="3"/>
  <c r="H616" i="3"/>
  <c r="H617" i="3"/>
  <c r="H618" i="3"/>
  <c r="H619" i="3"/>
  <c r="H620" i="3"/>
  <c r="H621" i="3"/>
  <c r="H622" i="3"/>
  <c r="H623" i="3"/>
  <c r="H624" i="3"/>
  <c r="H625" i="3"/>
  <c r="H626" i="3"/>
  <c r="H627" i="3"/>
  <c r="H628" i="3"/>
  <c r="H629" i="3"/>
  <c r="H630" i="3"/>
  <c r="H631" i="3"/>
  <c r="H632" i="3"/>
  <c r="H633" i="3"/>
  <c r="H634" i="3"/>
  <c r="H635" i="3"/>
  <c r="H636" i="3"/>
  <c r="H637" i="3"/>
  <c r="H638" i="3"/>
  <c r="H639" i="3"/>
  <c r="H640" i="3"/>
  <c r="H641" i="3"/>
  <c r="H642" i="3"/>
  <c r="H643" i="3"/>
  <c r="H644" i="3"/>
  <c r="H645" i="3"/>
  <c r="H646" i="3"/>
  <c r="H647" i="3"/>
  <c r="H648" i="3"/>
  <c r="H649" i="3"/>
  <c r="H650" i="3"/>
  <c r="H651" i="3"/>
  <c r="H652" i="3"/>
  <c r="H653" i="3"/>
  <c r="H654" i="3"/>
  <c r="H655" i="3"/>
  <c r="H656" i="3"/>
  <c r="H657" i="3"/>
  <c r="H658" i="3"/>
  <c r="H659" i="3"/>
  <c r="H660" i="3"/>
  <c r="H661" i="3"/>
  <c r="H662" i="3"/>
  <c r="H663" i="3"/>
  <c r="H664" i="3"/>
  <c r="H665" i="3"/>
  <c r="H666" i="3"/>
  <c r="H667" i="3"/>
  <c r="H668" i="3"/>
  <c r="H669" i="3"/>
  <c r="H670" i="3"/>
  <c r="H671" i="3"/>
  <c r="H672" i="3"/>
  <c r="H673" i="3"/>
  <c r="H674" i="3"/>
  <c r="H675" i="3"/>
  <c r="H676" i="3"/>
  <c r="H677" i="3"/>
  <c r="H678" i="3"/>
  <c r="H679" i="3"/>
  <c r="H680" i="3"/>
  <c r="H681" i="3"/>
  <c r="H682" i="3"/>
  <c r="H683" i="3"/>
  <c r="H684" i="3"/>
  <c r="H685" i="3"/>
  <c r="H686" i="3"/>
  <c r="H687" i="3"/>
  <c r="H688" i="3"/>
  <c r="H689" i="3"/>
  <c r="H690" i="3"/>
  <c r="H691" i="3"/>
  <c r="H692" i="3"/>
  <c r="H693" i="3"/>
  <c r="H694" i="3"/>
  <c r="H695" i="3"/>
  <c r="H696" i="3"/>
  <c r="H697" i="3"/>
  <c r="H698" i="3"/>
  <c r="H699" i="3"/>
  <c r="H700" i="3"/>
  <c r="H701" i="3"/>
  <c r="H702" i="3"/>
  <c r="H703" i="3"/>
  <c r="H704" i="3"/>
  <c r="H705" i="3"/>
  <c r="H706" i="3"/>
  <c r="H707" i="3"/>
  <c r="H708" i="3"/>
  <c r="H709" i="3"/>
  <c r="H710" i="3"/>
  <c r="H711" i="3"/>
  <c r="H712" i="3"/>
  <c r="H713" i="3"/>
  <c r="H714" i="3"/>
  <c r="H715" i="3"/>
  <c r="H716" i="3"/>
  <c r="H717" i="3"/>
  <c r="H718" i="3"/>
  <c r="H719" i="3"/>
  <c r="H720" i="3"/>
  <c r="H721" i="3"/>
  <c r="H722" i="3"/>
  <c r="H723" i="3"/>
  <c r="H724" i="3"/>
  <c r="H725" i="3"/>
  <c r="H726" i="3"/>
  <c r="H727" i="3"/>
  <c r="H728" i="3"/>
  <c r="H729" i="3"/>
  <c r="H730" i="3"/>
  <c r="H731" i="3"/>
  <c r="H732" i="3"/>
  <c r="H733" i="3"/>
  <c r="H734" i="3"/>
  <c r="H735" i="3"/>
  <c r="H736" i="3"/>
  <c r="H737" i="3"/>
  <c r="H738" i="3"/>
  <c r="H739" i="3"/>
  <c r="H740" i="3"/>
  <c r="H741" i="3"/>
  <c r="H742" i="3"/>
  <c r="H743" i="3"/>
  <c r="H744" i="3"/>
  <c r="H745" i="3"/>
  <c r="H746" i="3"/>
  <c r="H747" i="3"/>
  <c r="H748" i="3"/>
  <c r="H749" i="3"/>
  <c r="H750" i="3"/>
  <c r="H751" i="3"/>
  <c r="H752" i="3"/>
  <c r="H753" i="3"/>
  <c r="H754" i="3"/>
  <c r="H755" i="3"/>
  <c r="H756" i="3"/>
  <c r="H757" i="3"/>
  <c r="H758" i="3"/>
  <c r="H759" i="3"/>
  <c r="H760" i="3"/>
  <c r="H761" i="3"/>
  <c r="H762" i="3"/>
  <c r="H763" i="3"/>
  <c r="H764" i="3"/>
  <c r="H765" i="3"/>
  <c r="H766" i="3"/>
  <c r="H767" i="3"/>
  <c r="H768" i="3"/>
  <c r="H769" i="3"/>
  <c r="H770" i="3"/>
  <c r="H771" i="3"/>
  <c r="H772" i="3"/>
  <c r="H773" i="3"/>
  <c r="H774" i="3"/>
  <c r="H775" i="3"/>
  <c r="H776" i="3"/>
  <c r="H777" i="3"/>
  <c r="H778" i="3"/>
  <c r="H779" i="3"/>
  <c r="H780" i="3"/>
  <c r="H781" i="3"/>
  <c r="H782" i="3"/>
  <c r="H783" i="3"/>
  <c r="H784" i="3"/>
  <c r="H785" i="3"/>
  <c r="H786" i="3"/>
  <c r="H787" i="3"/>
  <c r="H788" i="3"/>
  <c r="H789" i="3"/>
  <c r="H790" i="3"/>
  <c r="H791" i="3"/>
  <c r="H792" i="3"/>
  <c r="H793" i="3"/>
  <c r="H794" i="3"/>
  <c r="H795" i="3"/>
  <c r="H796" i="3"/>
  <c r="H797" i="3"/>
  <c r="H798" i="3"/>
  <c r="H799" i="3"/>
  <c r="H800" i="3"/>
  <c r="H801" i="3"/>
  <c r="H802" i="3"/>
  <c r="H803" i="3"/>
  <c r="H804" i="3"/>
  <c r="H805" i="3"/>
  <c r="H806" i="3"/>
  <c r="H807" i="3"/>
  <c r="H808" i="3"/>
  <c r="H809" i="3"/>
  <c r="H810" i="3"/>
  <c r="H811" i="3"/>
  <c r="H812" i="3"/>
  <c r="H813" i="3"/>
  <c r="H814" i="3"/>
  <c r="H815" i="3"/>
  <c r="H816" i="3"/>
  <c r="H817" i="3"/>
  <c r="H818" i="3"/>
  <c r="H819" i="3"/>
  <c r="H820" i="3"/>
  <c r="H821" i="3"/>
  <c r="H822" i="3"/>
  <c r="H823" i="3"/>
  <c r="H824" i="3"/>
  <c r="H825" i="3"/>
  <c r="H826" i="3"/>
  <c r="H827" i="3"/>
  <c r="H828" i="3"/>
  <c r="H829" i="3"/>
  <c r="H830" i="3"/>
  <c r="H831" i="3"/>
  <c r="H832" i="3"/>
  <c r="H833" i="3"/>
  <c r="H834" i="3"/>
  <c r="H835" i="3"/>
  <c r="H836" i="3"/>
  <c r="H837" i="3"/>
  <c r="H838" i="3"/>
  <c r="H839" i="3"/>
  <c r="H840" i="3"/>
  <c r="H841" i="3"/>
  <c r="H842" i="3"/>
  <c r="H843" i="3"/>
  <c r="H844" i="3"/>
  <c r="H845" i="3"/>
  <c r="H846" i="3"/>
  <c r="H847" i="3"/>
  <c r="H848" i="3"/>
  <c r="H849" i="3"/>
  <c r="H850" i="3"/>
  <c r="H851" i="3"/>
  <c r="H852" i="3"/>
  <c r="H853" i="3"/>
  <c r="H854" i="3"/>
  <c r="H855" i="3"/>
  <c r="H856" i="3"/>
  <c r="H857" i="3"/>
  <c r="H858" i="3"/>
  <c r="H859" i="3"/>
  <c r="H860" i="3"/>
  <c r="H861" i="3"/>
  <c r="H862" i="3"/>
  <c r="H863" i="3"/>
  <c r="H864" i="3"/>
  <c r="H865" i="3"/>
  <c r="H866" i="3"/>
  <c r="H867" i="3"/>
  <c r="H868" i="3"/>
  <c r="H869" i="3"/>
  <c r="H870" i="3"/>
  <c r="H871" i="3"/>
  <c r="H872" i="3"/>
  <c r="H873" i="3"/>
  <c r="H874" i="3"/>
  <c r="H875" i="3"/>
  <c r="H876" i="3"/>
  <c r="H877" i="3"/>
  <c r="H878" i="3"/>
  <c r="H879" i="3"/>
  <c r="H880" i="3"/>
  <c r="H881" i="3"/>
  <c r="H882" i="3"/>
  <c r="H883" i="3"/>
  <c r="H884" i="3"/>
  <c r="H885" i="3"/>
  <c r="H886" i="3"/>
  <c r="H887" i="3"/>
  <c r="H888" i="3"/>
  <c r="H889" i="3"/>
  <c r="H890" i="3"/>
  <c r="H891" i="3"/>
  <c r="H892" i="3"/>
  <c r="H893" i="3"/>
  <c r="H894" i="3"/>
  <c r="H895" i="3"/>
  <c r="H896" i="3"/>
  <c r="H897" i="3"/>
  <c r="H898" i="3"/>
  <c r="H899" i="3"/>
  <c r="H900" i="3"/>
  <c r="H901" i="3"/>
  <c r="H902" i="3"/>
  <c r="H903" i="3"/>
  <c r="H904" i="3"/>
  <c r="H905" i="3"/>
  <c r="H906" i="3"/>
  <c r="H907" i="3"/>
  <c r="H908" i="3"/>
  <c r="H909" i="3"/>
  <c r="H910" i="3"/>
  <c r="H911" i="3"/>
  <c r="H912" i="3"/>
  <c r="H913" i="3"/>
  <c r="H914" i="3"/>
  <c r="H915" i="3"/>
  <c r="H916" i="3"/>
  <c r="H917" i="3"/>
  <c r="H918" i="3"/>
  <c r="H919" i="3"/>
  <c r="H920" i="3"/>
  <c r="H921" i="3"/>
  <c r="H922" i="3"/>
  <c r="H923" i="3"/>
  <c r="H924" i="3"/>
  <c r="H925" i="3"/>
  <c r="H926" i="3"/>
  <c r="H927" i="3"/>
  <c r="H928" i="3"/>
  <c r="H929" i="3"/>
  <c r="H930" i="3"/>
  <c r="H931" i="3"/>
  <c r="H932" i="3"/>
  <c r="H933" i="3"/>
  <c r="H934" i="3"/>
  <c r="H935" i="3"/>
  <c r="H936" i="3"/>
  <c r="H937" i="3"/>
  <c r="H938" i="3"/>
  <c r="H939" i="3"/>
  <c r="H940" i="3"/>
  <c r="H941" i="3"/>
  <c r="H942" i="3"/>
  <c r="H943" i="3"/>
  <c r="H944" i="3"/>
  <c r="H945" i="3"/>
  <c r="H946" i="3"/>
  <c r="H947" i="3"/>
  <c r="H948" i="3"/>
  <c r="H949" i="3"/>
  <c r="H950" i="3"/>
  <c r="H951" i="3"/>
  <c r="H952" i="3"/>
  <c r="H953" i="3"/>
  <c r="H954" i="3"/>
  <c r="H955" i="3"/>
  <c r="H956" i="3"/>
  <c r="H957" i="3"/>
  <c r="H958" i="3"/>
  <c r="H959" i="3"/>
  <c r="H960" i="3"/>
  <c r="H961" i="3"/>
  <c r="H962" i="3"/>
  <c r="H963" i="3"/>
  <c r="H964" i="3"/>
  <c r="H965" i="3"/>
  <c r="H966" i="3"/>
  <c r="H967" i="3"/>
  <c r="H968" i="3"/>
  <c r="H969" i="3"/>
  <c r="H970" i="3"/>
  <c r="H971" i="3"/>
  <c r="H972" i="3"/>
  <c r="H973" i="3"/>
  <c r="H974" i="3"/>
  <c r="H975" i="3"/>
  <c r="H976" i="3"/>
  <c r="H977" i="3"/>
  <c r="H978" i="3"/>
  <c r="H979" i="3"/>
  <c r="H980" i="3"/>
  <c r="H981" i="3"/>
  <c r="H982" i="3"/>
  <c r="H983" i="3"/>
  <c r="H984" i="3"/>
  <c r="H985" i="3"/>
  <c r="H986" i="3"/>
  <c r="H987" i="3"/>
  <c r="H988" i="3"/>
  <c r="H989" i="3"/>
  <c r="H990" i="3"/>
  <c r="H991" i="3"/>
  <c r="H992" i="3"/>
  <c r="H993" i="3"/>
  <c r="H994" i="3"/>
  <c r="H995" i="3"/>
  <c r="H996" i="3"/>
  <c r="H997" i="3"/>
  <c r="H998" i="3"/>
  <c r="H999" i="3"/>
  <c r="H1000" i="3"/>
  <c r="H1001" i="3"/>
  <c r="H1002" i="3"/>
  <c r="H1003" i="3"/>
  <c r="H1004" i="3"/>
  <c r="H1005" i="3"/>
  <c r="H1006" i="3"/>
  <c r="H1007" i="3"/>
  <c r="H1008" i="3"/>
  <c r="H1009" i="3"/>
  <c r="H1010" i="3"/>
  <c r="H1011" i="3"/>
  <c r="H1012" i="3"/>
  <c r="H1013" i="3"/>
  <c r="H1014" i="3"/>
  <c r="H1015" i="3"/>
  <c r="H1016" i="3"/>
  <c r="H1017" i="3"/>
  <c r="H1018" i="3"/>
  <c r="H1019" i="3"/>
  <c r="H1020" i="3"/>
  <c r="H1021" i="3"/>
  <c r="H1022" i="3"/>
  <c r="H1023" i="3"/>
  <c r="H1024" i="3"/>
  <c r="H1025" i="3"/>
  <c r="H1026" i="3"/>
  <c r="H1027" i="3"/>
  <c r="H1028" i="3"/>
  <c r="H1029" i="3"/>
  <c r="H1030" i="3"/>
  <c r="H1031" i="3"/>
  <c r="H1032" i="3"/>
  <c r="H1033" i="3"/>
  <c r="H1034" i="3"/>
  <c r="H1035" i="3"/>
  <c r="H1036" i="3"/>
  <c r="H1037" i="3"/>
  <c r="H1038" i="3"/>
  <c r="H1039" i="3"/>
  <c r="H1040" i="3"/>
  <c r="H1041" i="3"/>
  <c r="H1042" i="3"/>
  <c r="H1043" i="3"/>
  <c r="H1044" i="3"/>
  <c r="H1045" i="3"/>
  <c r="H1046" i="3"/>
  <c r="H1047" i="3"/>
  <c r="H1048" i="3"/>
  <c r="H1049" i="3"/>
  <c r="H1050" i="3"/>
  <c r="H1051" i="3"/>
  <c r="H1052" i="3"/>
  <c r="H1053" i="3"/>
  <c r="H1054" i="3"/>
  <c r="H1055" i="3"/>
  <c r="H1056" i="3"/>
  <c r="H1057" i="3"/>
  <c r="H1058" i="3"/>
  <c r="H1059" i="3"/>
  <c r="H1060" i="3"/>
  <c r="H1061" i="3"/>
  <c r="H1062" i="3"/>
  <c r="H1063" i="3"/>
  <c r="H1064" i="3"/>
  <c r="H1065" i="3"/>
  <c r="H1066" i="3"/>
  <c r="H1067" i="3"/>
  <c r="H1068" i="3"/>
  <c r="H1069" i="3"/>
  <c r="H1070" i="3"/>
  <c r="H1071" i="3"/>
  <c r="H1072" i="3"/>
  <c r="H1073" i="3"/>
  <c r="H1074" i="3"/>
  <c r="H1075" i="3"/>
  <c r="H1076" i="3"/>
  <c r="H1077" i="3"/>
  <c r="H1078" i="3"/>
  <c r="H1079" i="3"/>
  <c r="H1080" i="3"/>
  <c r="H1081" i="3"/>
  <c r="H1082" i="3"/>
  <c r="H1083" i="3"/>
  <c r="H1084" i="3"/>
  <c r="H1085" i="3"/>
  <c r="H1086" i="3"/>
  <c r="H1087" i="3"/>
  <c r="H1088" i="3"/>
  <c r="H1089" i="3"/>
  <c r="H1090" i="3"/>
  <c r="H1091" i="3"/>
  <c r="H1092" i="3"/>
  <c r="H1093" i="3"/>
  <c r="H1094" i="3"/>
  <c r="H1095" i="3"/>
  <c r="H1096" i="3"/>
  <c r="H1097" i="3"/>
  <c r="H1098" i="3"/>
  <c r="H1099" i="3"/>
  <c r="H1100" i="3"/>
  <c r="H1101" i="3"/>
  <c r="H1102" i="3"/>
  <c r="H1103" i="3"/>
  <c r="H1104" i="3"/>
  <c r="H1105" i="3"/>
  <c r="H1106" i="3"/>
  <c r="H1107" i="3"/>
  <c r="H1108" i="3"/>
  <c r="H1109" i="3"/>
  <c r="H1110" i="3"/>
  <c r="H1111" i="3"/>
  <c r="H1112" i="3"/>
  <c r="H1113" i="3"/>
  <c r="H1114" i="3"/>
  <c r="H1115" i="3"/>
  <c r="H1116" i="3"/>
  <c r="H1117" i="3"/>
  <c r="H1118" i="3"/>
  <c r="H1119" i="3"/>
  <c r="H1120" i="3"/>
  <c r="H1121" i="3"/>
  <c r="H1122" i="3"/>
  <c r="H1123" i="3"/>
  <c r="H1124" i="3"/>
  <c r="H1125" i="3"/>
  <c r="H1126" i="3"/>
  <c r="H1127" i="3"/>
  <c r="H1128" i="3"/>
  <c r="H1129" i="3"/>
  <c r="H1130" i="3"/>
  <c r="H1131" i="3"/>
  <c r="H1132" i="3"/>
  <c r="H1133" i="3"/>
  <c r="H1134" i="3"/>
  <c r="H1135" i="3"/>
  <c r="H1136" i="3"/>
  <c r="H1137" i="3"/>
  <c r="H1138" i="3"/>
  <c r="H1139" i="3"/>
  <c r="H1140" i="3"/>
  <c r="H1141" i="3"/>
  <c r="H1142" i="3"/>
  <c r="H1143" i="3"/>
  <c r="H1144" i="3"/>
  <c r="H1145" i="3"/>
  <c r="H1146" i="3"/>
  <c r="H1147" i="3"/>
  <c r="H1148" i="3"/>
  <c r="H1149" i="3"/>
  <c r="H1150" i="3"/>
  <c r="H1151" i="3"/>
  <c r="H1152" i="3"/>
  <c r="H1153" i="3"/>
  <c r="H1154" i="3"/>
  <c r="H1155" i="3"/>
  <c r="H1156" i="3"/>
  <c r="H1157" i="3"/>
  <c r="H1158" i="3"/>
  <c r="H1159" i="3"/>
  <c r="H1160" i="3"/>
  <c r="H1161" i="3"/>
  <c r="H1162" i="3"/>
  <c r="H1163" i="3"/>
  <c r="H1164" i="3"/>
  <c r="H1165" i="3"/>
  <c r="H1166" i="3"/>
  <c r="H1167" i="3"/>
  <c r="H1168" i="3"/>
  <c r="H1169" i="3"/>
  <c r="H1170" i="3"/>
  <c r="H1171" i="3"/>
  <c r="H1172" i="3"/>
  <c r="H1173" i="3"/>
  <c r="H1174" i="3"/>
  <c r="H1175" i="3"/>
  <c r="H1176" i="3"/>
  <c r="H1177" i="3"/>
  <c r="H1178" i="3"/>
  <c r="H1179" i="3"/>
  <c r="H1180" i="3"/>
  <c r="H1181" i="3"/>
  <c r="H1182" i="3"/>
  <c r="H1183" i="3"/>
  <c r="H1184" i="3"/>
  <c r="H1185" i="3"/>
  <c r="H1186" i="3"/>
  <c r="H1187" i="3"/>
  <c r="H1188" i="3"/>
  <c r="H1189" i="3"/>
  <c r="H1190" i="3"/>
  <c r="H1191" i="3"/>
  <c r="H1192" i="3"/>
  <c r="H1193" i="3"/>
  <c r="H1194" i="3"/>
  <c r="H1195" i="3"/>
  <c r="H1196" i="3"/>
  <c r="H1197" i="3"/>
  <c r="H1198" i="3"/>
  <c r="H1199" i="3"/>
  <c r="H1200" i="3"/>
  <c r="H1201" i="3"/>
  <c r="H1202" i="3"/>
  <c r="H1203" i="3"/>
  <c r="H1204" i="3"/>
  <c r="H1205" i="3"/>
  <c r="H1206" i="3"/>
  <c r="H1207" i="3"/>
  <c r="H1208" i="3"/>
  <c r="H1209" i="3"/>
  <c r="H1210" i="3"/>
  <c r="H1211" i="3"/>
  <c r="H1212" i="3"/>
  <c r="H1213" i="3"/>
  <c r="H1214" i="3"/>
  <c r="H1215" i="3"/>
  <c r="H1216" i="3"/>
  <c r="H1217" i="3"/>
  <c r="H1218" i="3"/>
  <c r="H1219" i="3"/>
  <c r="H1220" i="3"/>
  <c r="H1221" i="3"/>
  <c r="H1222" i="3"/>
  <c r="H1223" i="3"/>
  <c r="H1224" i="3"/>
  <c r="H1225" i="3"/>
  <c r="H1226" i="3"/>
  <c r="H1227" i="3"/>
  <c r="H1228" i="3"/>
  <c r="H1229" i="3"/>
  <c r="H1230" i="3"/>
  <c r="H1231" i="3"/>
  <c r="H1232" i="3"/>
  <c r="H1233" i="3"/>
  <c r="H1234" i="3"/>
  <c r="H1235" i="3"/>
  <c r="H1236" i="3"/>
  <c r="H1237" i="3"/>
  <c r="H1238" i="3"/>
  <c r="H1239" i="3"/>
  <c r="H1240" i="3"/>
  <c r="H1241" i="3"/>
  <c r="H1242" i="3"/>
  <c r="H1243" i="3"/>
  <c r="H1244" i="3"/>
  <c r="H1245" i="3"/>
  <c r="H1246" i="3"/>
  <c r="H1247" i="3"/>
  <c r="H1248" i="3"/>
  <c r="H1249" i="3"/>
  <c r="H1250" i="3"/>
  <c r="H1251" i="3"/>
  <c r="H1252" i="3"/>
  <c r="H1253" i="3"/>
  <c r="H1254" i="3"/>
  <c r="H1255" i="3"/>
  <c r="H1256" i="3"/>
  <c r="H1257" i="3"/>
  <c r="H1258" i="3"/>
  <c r="H1259" i="3"/>
  <c r="H1260" i="3"/>
  <c r="H1261" i="3"/>
  <c r="H1262" i="3"/>
  <c r="H1263" i="3"/>
  <c r="H1264" i="3"/>
  <c r="H1265" i="3"/>
  <c r="H1266" i="3"/>
  <c r="H1267" i="3"/>
  <c r="H1268" i="3"/>
  <c r="H1269" i="3"/>
  <c r="H1270" i="3"/>
  <c r="H1271" i="3"/>
  <c r="H1272" i="3"/>
  <c r="H1273" i="3"/>
  <c r="H1274" i="3"/>
  <c r="H1275" i="3"/>
  <c r="H1276" i="3"/>
  <c r="H1277" i="3"/>
  <c r="H1278" i="3"/>
  <c r="H1279" i="3"/>
  <c r="H1280" i="3"/>
  <c r="H1281" i="3"/>
  <c r="H1282" i="3"/>
  <c r="H1283" i="3"/>
  <c r="H1284" i="3"/>
  <c r="H1285" i="3"/>
  <c r="H1286" i="3"/>
  <c r="H1287" i="3"/>
  <c r="H1288" i="3"/>
  <c r="H1289" i="3"/>
  <c r="H1290" i="3"/>
  <c r="H1291" i="3"/>
  <c r="H1292" i="3"/>
  <c r="H1293" i="3"/>
  <c r="H1294" i="3"/>
  <c r="H1295" i="3"/>
  <c r="H1296" i="3"/>
  <c r="H1297" i="3"/>
  <c r="H1298" i="3"/>
  <c r="H1299" i="3"/>
  <c r="H1300" i="3"/>
  <c r="H1301" i="3"/>
  <c r="H1302" i="3"/>
  <c r="H1303" i="3"/>
  <c r="H1304" i="3"/>
  <c r="H1305" i="3"/>
  <c r="H1306" i="3"/>
  <c r="H1307" i="3"/>
  <c r="H1308" i="3"/>
  <c r="H1309" i="3"/>
  <c r="H1310" i="3"/>
  <c r="H1311" i="3"/>
  <c r="H1312" i="3"/>
  <c r="H1313" i="3"/>
  <c r="H1314" i="3"/>
  <c r="H1315" i="3"/>
  <c r="H1316" i="3"/>
  <c r="H1317" i="3"/>
  <c r="H1318" i="3"/>
  <c r="H1319" i="3"/>
  <c r="H1320" i="3"/>
  <c r="H1321" i="3"/>
  <c r="H1322" i="3"/>
  <c r="H1323" i="3"/>
  <c r="H1324" i="3"/>
  <c r="H1325" i="3"/>
  <c r="H1326" i="3"/>
  <c r="H1327" i="3"/>
  <c r="H1328" i="3"/>
  <c r="H1329" i="3"/>
  <c r="H1330" i="3"/>
  <c r="H1331" i="3"/>
  <c r="H1332" i="3"/>
  <c r="H1333" i="3"/>
  <c r="H1334" i="3"/>
  <c r="H1335" i="3"/>
  <c r="H1336" i="3"/>
  <c r="H1337" i="3"/>
  <c r="H1338" i="3"/>
  <c r="H1339" i="3"/>
  <c r="B2" i="3" l="1"/>
  <c r="B3" i="3"/>
  <c r="B4" i="3"/>
  <c r="C4" i="3" s="1" a="1"/>
  <c r="C4" i="3" s="1"/>
  <c r="B5" i="3"/>
  <c r="C5" i="3" s="1" a="1"/>
  <c r="C5" i="3" s="1"/>
  <c r="B6" i="3"/>
  <c r="C6" i="3" s="1" a="1"/>
  <c r="C6" i="3" s="1"/>
  <c r="B7" i="3"/>
  <c r="C7" i="3" s="1" a="1"/>
  <c r="C7" i="3" s="1"/>
  <c r="B8" i="3"/>
  <c r="C8" i="3" s="1" a="1"/>
  <c r="C8" i="3" s="1"/>
  <c r="B9" i="3"/>
  <c r="C9" i="3" s="1" a="1"/>
  <c r="C9" i="3" s="1"/>
  <c r="B10" i="3"/>
  <c r="C10" i="3" s="1" a="1"/>
  <c r="C10" i="3" s="1"/>
  <c r="B11" i="3"/>
  <c r="C11" i="3" s="1" a="1"/>
  <c r="C11" i="3" s="1"/>
  <c r="B12" i="3"/>
  <c r="C12" i="3" s="1" a="1"/>
  <c r="C12" i="3" s="1"/>
  <c r="B13" i="3"/>
  <c r="C13" i="3" s="1" a="1"/>
  <c r="C13" i="3" s="1"/>
  <c r="B14" i="3"/>
  <c r="C14" i="3" s="1" a="1"/>
  <c r="C14" i="3" s="1"/>
  <c r="B15" i="3"/>
  <c r="C15" i="3" s="1" a="1"/>
  <c r="C15" i="3" s="1"/>
  <c r="B16" i="3"/>
  <c r="C16" i="3" s="1" a="1"/>
  <c r="C16" i="3" s="1"/>
  <c r="B17" i="3"/>
  <c r="C17" i="3" s="1" a="1"/>
  <c r="C17" i="3" s="1"/>
  <c r="B18" i="3"/>
  <c r="C18" i="3" s="1" a="1"/>
  <c r="C18" i="3" s="1"/>
  <c r="B19" i="3"/>
  <c r="C19" i="3" s="1" a="1"/>
  <c r="C19" i="3" s="1"/>
  <c r="B20" i="3"/>
  <c r="C20" i="3" s="1" a="1"/>
  <c r="C20" i="3" s="1"/>
  <c r="B21" i="3"/>
  <c r="C21" i="3" s="1" a="1"/>
  <c r="C21" i="3" s="1"/>
  <c r="B22" i="3"/>
  <c r="C22" i="3" s="1" a="1"/>
  <c r="C22" i="3" s="1"/>
  <c r="B23" i="3"/>
  <c r="C23" i="3" s="1" a="1"/>
  <c r="C23" i="3" s="1"/>
  <c r="B24" i="3"/>
  <c r="C24" i="3" s="1" a="1"/>
  <c r="C24" i="3" s="1"/>
  <c r="B25" i="3"/>
  <c r="C25" i="3" s="1" a="1"/>
  <c r="C25" i="3" s="1"/>
  <c r="B26" i="3"/>
  <c r="C26" i="3" s="1" a="1"/>
  <c r="C26" i="3" s="1"/>
  <c r="B27" i="3"/>
  <c r="C27" i="3" s="1" a="1"/>
  <c r="C27" i="3" s="1"/>
  <c r="B28" i="3"/>
  <c r="C28" i="3" s="1" a="1"/>
  <c r="C28" i="3" s="1"/>
  <c r="B29" i="3"/>
  <c r="C29" i="3" s="1" a="1"/>
  <c r="C29" i="3" s="1"/>
  <c r="B30" i="3"/>
  <c r="C30" i="3" s="1" a="1"/>
  <c r="C30" i="3" s="1"/>
  <c r="B31" i="3"/>
  <c r="C31" i="3" s="1" a="1"/>
  <c r="C31" i="3" s="1"/>
  <c r="B32" i="3"/>
  <c r="C32" i="3" s="1" a="1"/>
  <c r="C32" i="3" s="1"/>
  <c r="B33" i="3"/>
  <c r="C33" i="3" s="1" a="1"/>
  <c r="C33" i="3" s="1"/>
  <c r="B34" i="3"/>
  <c r="C34" i="3" s="1" a="1"/>
  <c r="C34" i="3" s="1"/>
  <c r="B35" i="3"/>
  <c r="C35" i="3" s="1" a="1"/>
  <c r="C35" i="3" s="1"/>
  <c r="B36" i="3"/>
  <c r="C36" i="3" s="1" a="1"/>
  <c r="C36" i="3" s="1"/>
  <c r="B37" i="3"/>
  <c r="C37" i="3" s="1" a="1"/>
  <c r="C37" i="3" s="1"/>
  <c r="B38" i="3"/>
  <c r="C38" i="3" s="1" a="1"/>
  <c r="C38" i="3" s="1"/>
  <c r="B39" i="3"/>
  <c r="C39" i="3" s="1" a="1"/>
  <c r="C39" i="3" s="1"/>
  <c r="B40" i="3"/>
  <c r="C40" i="3" s="1" a="1"/>
  <c r="C40" i="3" s="1"/>
  <c r="B41" i="3"/>
  <c r="C41" i="3" s="1" a="1"/>
  <c r="C41" i="3" s="1"/>
  <c r="B42" i="3"/>
  <c r="C42" i="3" s="1" a="1"/>
  <c r="C42" i="3" s="1"/>
  <c r="B43" i="3"/>
  <c r="C43" i="3" s="1" a="1"/>
  <c r="C43" i="3" s="1"/>
  <c r="B44" i="3"/>
  <c r="C44" i="3" s="1" a="1"/>
  <c r="C44" i="3" s="1"/>
  <c r="B45" i="3"/>
  <c r="C45" i="3" s="1" a="1"/>
  <c r="C45" i="3" s="1"/>
  <c r="B46" i="3"/>
  <c r="C46" i="3" s="1" a="1"/>
  <c r="C46" i="3" s="1"/>
  <c r="B47" i="3"/>
  <c r="C47" i="3" s="1" a="1"/>
  <c r="C47" i="3" s="1"/>
  <c r="B48" i="3"/>
  <c r="C48" i="3" s="1" a="1"/>
  <c r="C48" i="3" s="1"/>
  <c r="B49" i="3"/>
  <c r="C49" i="3" s="1" a="1"/>
  <c r="C49" i="3" s="1"/>
  <c r="B50" i="3"/>
  <c r="C50" i="3" s="1" a="1"/>
  <c r="C50" i="3" s="1"/>
  <c r="B51" i="3"/>
  <c r="C51" i="3" s="1" a="1"/>
  <c r="C51" i="3" s="1"/>
  <c r="B52" i="3"/>
  <c r="C52" i="3" s="1" a="1"/>
  <c r="C52" i="3" s="1"/>
  <c r="B53" i="3"/>
  <c r="C53" i="3" s="1" a="1"/>
  <c r="C53" i="3" s="1"/>
  <c r="B54" i="3"/>
  <c r="C54" i="3" s="1" a="1"/>
  <c r="C54" i="3" s="1"/>
  <c r="B55" i="3"/>
  <c r="C55" i="3" s="1" a="1"/>
  <c r="C55" i="3" s="1"/>
  <c r="B56" i="3"/>
  <c r="C56" i="3" s="1" a="1"/>
  <c r="C56" i="3" s="1"/>
  <c r="B57" i="3"/>
  <c r="C57" i="3" s="1" a="1"/>
  <c r="C57" i="3" s="1"/>
  <c r="B58" i="3"/>
  <c r="C58" i="3" s="1" a="1"/>
  <c r="C58" i="3" s="1"/>
  <c r="B59" i="3"/>
  <c r="C59" i="3" s="1" a="1"/>
  <c r="C59" i="3" s="1"/>
  <c r="B60" i="3"/>
  <c r="C60" i="3" s="1" a="1"/>
  <c r="C60" i="3" s="1"/>
  <c r="B61" i="3"/>
  <c r="C61" i="3" s="1" a="1"/>
  <c r="C61" i="3" s="1"/>
  <c r="B62" i="3"/>
  <c r="C62" i="3" s="1" a="1"/>
  <c r="C62" i="3" s="1"/>
  <c r="B63" i="3"/>
  <c r="C63" i="3" s="1" a="1"/>
  <c r="C63" i="3" s="1"/>
  <c r="B64" i="3"/>
  <c r="C64" i="3" s="1" a="1"/>
  <c r="C64" i="3" s="1"/>
  <c r="B65" i="3"/>
  <c r="C65" i="3" s="1" a="1"/>
  <c r="C65" i="3" s="1"/>
  <c r="B66" i="3"/>
  <c r="C66" i="3" s="1" a="1"/>
  <c r="C66" i="3" s="1"/>
  <c r="B67" i="3"/>
  <c r="C67" i="3" s="1" a="1"/>
  <c r="C67" i="3" s="1"/>
  <c r="B68" i="3"/>
  <c r="C68" i="3" s="1" a="1"/>
  <c r="C68" i="3" s="1"/>
  <c r="B69" i="3"/>
  <c r="C69" i="3" s="1" a="1"/>
  <c r="C69" i="3" s="1"/>
  <c r="B70" i="3"/>
  <c r="C70" i="3" s="1" a="1"/>
  <c r="C70" i="3" s="1"/>
  <c r="B71" i="3"/>
  <c r="C71" i="3" s="1" a="1"/>
  <c r="C71" i="3" s="1"/>
  <c r="B72" i="3"/>
  <c r="C72" i="3" s="1" a="1"/>
  <c r="C72" i="3" s="1"/>
  <c r="B73" i="3"/>
  <c r="C73" i="3" s="1" a="1"/>
  <c r="C73" i="3" s="1"/>
  <c r="B74" i="3"/>
  <c r="C74" i="3" s="1" a="1"/>
  <c r="C74" i="3" s="1"/>
  <c r="B75" i="3"/>
  <c r="C75" i="3" s="1" a="1"/>
  <c r="C75" i="3" s="1"/>
  <c r="B76" i="3"/>
  <c r="C76" i="3" s="1" a="1"/>
  <c r="C76" i="3" s="1"/>
  <c r="B77" i="3"/>
  <c r="C77" i="3" s="1" a="1"/>
  <c r="C77" i="3" s="1"/>
  <c r="B78" i="3"/>
  <c r="C78" i="3" s="1" a="1"/>
  <c r="C78" i="3" s="1"/>
  <c r="B79" i="3"/>
  <c r="C79" i="3" s="1" a="1"/>
  <c r="C79" i="3" s="1"/>
  <c r="B80" i="3"/>
  <c r="C80" i="3" s="1" a="1"/>
  <c r="C80" i="3" s="1"/>
  <c r="B81" i="3"/>
  <c r="C81" i="3" s="1" a="1"/>
  <c r="C81" i="3" s="1"/>
  <c r="B82" i="3"/>
  <c r="C82" i="3" s="1" a="1"/>
  <c r="C82" i="3" s="1"/>
  <c r="B83" i="3"/>
  <c r="C83" i="3" s="1" a="1"/>
  <c r="C83" i="3" s="1"/>
  <c r="B84" i="3"/>
  <c r="C84" i="3" s="1" a="1"/>
  <c r="C84" i="3" s="1"/>
  <c r="B85" i="3"/>
  <c r="C85" i="3" s="1" a="1"/>
  <c r="C85" i="3" s="1"/>
  <c r="B86" i="3"/>
  <c r="C86" i="3" s="1" a="1"/>
  <c r="C86" i="3" s="1"/>
  <c r="B87" i="3"/>
  <c r="C87" i="3" s="1" a="1"/>
  <c r="C87" i="3" s="1"/>
  <c r="B88" i="3"/>
  <c r="C88" i="3" s="1" a="1"/>
  <c r="C88" i="3" s="1"/>
  <c r="B89" i="3"/>
  <c r="C89" i="3" s="1" a="1"/>
  <c r="C89" i="3" s="1"/>
  <c r="B90" i="3"/>
  <c r="C90" i="3" s="1" a="1"/>
  <c r="C90" i="3" s="1"/>
  <c r="B91" i="3"/>
  <c r="C91" i="3" s="1" a="1"/>
  <c r="C91" i="3" s="1"/>
  <c r="B92" i="3"/>
  <c r="C92" i="3" s="1" a="1"/>
  <c r="C92" i="3" s="1"/>
  <c r="B93" i="3"/>
  <c r="C93" i="3" s="1" a="1"/>
  <c r="C93" i="3" s="1"/>
  <c r="B94" i="3"/>
  <c r="C94" i="3" s="1" a="1"/>
  <c r="C94" i="3" s="1"/>
  <c r="B95" i="3"/>
  <c r="C95" i="3" s="1" a="1"/>
  <c r="C95" i="3" s="1"/>
  <c r="B96" i="3"/>
  <c r="C96" i="3" s="1" a="1"/>
  <c r="C96" i="3" s="1"/>
  <c r="B97" i="3"/>
  <c r="C97" i="3" s="1" a="1"/>
  <c r="C97" i="3" s="1"/>
  <c r="B98" i="3"/>
  <c r="C98" i="3" s="1" a="1"/>
  <c r="C98" i="3" s="1"/>
  <c r="B99" i="3"/>
  <c r="C99" i="3" s="1" a="1"/>
  <c r="C99" i="3" s="1"/>
  <c r="B100" i="3"/>
  <c r="C100" i="3" s="1" a="1"/>
  <c r="C100" i="3" s="1"/>
  <c r="B101" i="3"/>
  <c r="C101" i="3" s="1" a="1"/>
  <c r="C101" i="3" s="1"/>
  <c r="B102" i="3"/>
  <c r="C102" i="3" s="1" a="1"/>
  <c r="C102" i="3" s="1"/>
  <c r="B103" i="3"/>
  <c r="C103" i="3" s="1" a="1"/>
  <c r="C103" i="3" s="1"/>
  <c r="B104" i="3"/>
  <c r="C104" i="3" s="1" a="1"/>
  <c r="C104" i="3" s="1"/>
  <c r="B105" i="3"/>
  <c r="C105" i="3" s="1" a="1"/>
  <c r="C105" i="3" s="1"/>
  <c r="B106" i="3"/>
  <c r="C106" i="3" s="1" a="1"/>
  <c r="C106" i="3" s="1"/>
  <c r="B107" i="3"/>
  <c r="C107" i="3" s="1" a="1"/>
  <c r="C107" i="3" s="1"/>
  <c r="B108" i="3"/>
  <c r="C108" i="3" s="1" a="1"/>
  <c r="C108" i="3" s="1"/>
  <c r="B109" i="3"/>
  <c r="C109" i="3" s="1" a="1"/>
  <c r="C109" i="3" s="1"/>
  <c r="B110" i="3"/>
  <c r="C110" i="3" s="1" a="1"/>
  <c r="C110" i="3" s="1"/>
  <c r="B111" i="3"/>
  <c r="C111" i="3" s="1" a="1"/>
  <c r="C111" i="3" s="1"/>
  <c r="B112" i="3"/>
  <c r="C112" i="3" s="1" a="1"/>
  <c r="C112" i="3" s="1"/>
  <c r="B113" i="3"/>
  <c r="C113" i="3" s="1" a="1"/>
  <c r="C113" i="3" s="1"/>
  <c r="B114" i="3"/>
  <c r="C114" i="3" s="1" a="1"/>
  <c r="C114" i="3" s="1"/>
  <c r="B115" i="3"/>
  <c r="C115" i="3" s="1" a="1"/>
  <c r="C115" i="3" s="1"/>
  <c r="B116" i="3"/>
  <c r="C116" i="3" s="1" a="1"/>
  <c r="C116" i="3" s="1"/>
  <c r="B117" i="3"/>
  <c r="C117" i="3" s="1" a="1"/>
  <c r="C117" i="3" s="1"/>
  <c r="B118" i="3"/>
  <c r="C118" i="3" s="1" a="1"/>
  <c r="C118" i="3" s="1"/>
  <c r="B119" i="3"/>
  <c r="C119" i="3" s="1" a="1"/>
  <c r="C119" i="3" s="1"/>
  <c r="B120" i="3"/>
  <c r="C120" i="3" s="1" a="1"/>
  <c r="C120" i="3" s="1"/>
  <c r="B121" i="3"/>
  <c r="C121" i="3" s="1" a="1"/>
  <c r="C121" i="3" s="1"/>
  <c r="B122" i="3"/>
  <c r="C122" i="3" s="1" a="1"/>
  <c r="C122" i="3" s="1"/>
  <c r="B123" i="3"/>
  <c r="C123" i="3" s="1" a="1"/>
  <c r="C123" i="3" s="1"/>
  <c r="B124" i="3"/>
  <c r="C124" i="3" s="1" a="1"/>
  <c r="C124" i="3" s="1"/>
  <c r="B125" i="3"/>
  <c r="C125" i="3" s="1" a="1"/>
  <c r="C125" i="3" s="1"/>
  <c r="B126" i="3"/>
  <c r="C126" i="3" s="1" a="1"/>
  <c r="C126" i="3" s="1"/>
  <c r="B127" i="3"/>
  <c r="C127" i="3" s="1" a="1"/>
  <c r="C127" i="3" s="1"/>
  <c r="B128" i="3"/>
  <c r="C128" i="3" s="1" a="1"/>
  <c r="C128" i="3" s="1"/>
  <c r="B129" i="3"/>
  <c r="C129" i="3" s="1" a="1"/>
  <c r="C129" i="3" s="1"/>
  <c r="B130" i="3"/>
  <c r="C130" i="3" s="1" a="1"/>
  <c r="C130" i="3" s="1"/>
  <c r="B131" i="3"/>
  <c r="C131" i="3" s="1" a="1"/>
  <c r="C131" i="3" s="1"/>
  <c r="B132" i="3"/>
  <c r="C132" i="3" s="1" a="1"/>
  <c r="C132" i="3" s="1"/>
  <c r="B133" i="3"/>
  <c r="C133" i="3" s="1" a="1"/>
  <c r="C133" i="3" s="1"/>
  <c r="B134" i="3"/>
  <c r="C134" i="3" s="1" a="1"/>
  <c r="C134" i="3" s="1"/>
  <c r="B135" i="3"/>
  <c r="C135" i="3" s="1" a="1"/>
  <c r="C135" i="3" s="1"/>
  <c r="B136" i="3"/>
  <c r="C136" i="3" s="1" a="1"/>
  <c r="C136" i="3" s="1"/>
  <c r="B137" i="3"/>
  <c r="C137" i="3" s="1" a="1"/>
  <c r="C137" i="3" s="1"/>
  <c r="B138" i="3"/>
  <c r="C138" i="3" s="1" a="1"/>
  <c r="C138" i="3" s="1"/>
  <c r="B139" i="3"/>
  <c r="C139" i="3" s="1" a="1"/>
  <c r="C139" i="3" s="1"/>
  <c r="B140" i="3"/>
  <c r="C140" i="3" s="1" a="1"/>
  <c r="C140" i="3" s="1"/>
  <c r="B141" i="3"/>
  <c r="C141" i="3" s="1" a="1"/>
  <c r="C141" i="3" s="1"/>
  <c r="B142" i="3"/>
  <c r="C142" i="3" s="1" a="1"/>
  <c r="C142" i="3" s="1"/>
  <c r="B143" i="3"/>
  <c r="C143" i="3" s="1" a="1"/>
  <c r="C143" i="3" s="1"/>
  <c r="B144" i="3"/>
  <c r="C144" i="3" s="1" a="1"/>
  <c r="C144" i="3" s="1"/>
  <c r="B145" i="3"/>
  <c r="C145" i="3" s="1" a="1"/>
  <c r="C145" i="3" s="1"/>
  <c r="B146" i="3"/>
  <c r="C146" i="3" s="1" a="1"/>
  <c r="C146" i="3" s="1"/>
  <c r="B147" i="3"/>
  <c r="C147" i="3" s="1" a="1"/>
  <c r="C147" i="3" s="1"/>
  <c r="B148" i="3"/>
  <c r="C148" i="3" s="1" a="1"/>
  <c r="C148" i="3" s="1"/>
  <c r="B149" i="3"/>
  <c r="C149" i="3" s="1" a="1"/>
  <c r="C149" i="3" s="1"/>
  <c r="B150" i="3"/>
  <c r="C150" i="3" s="1" a="1"/>
  <c r="C150" i="3" s="1"/>
  <c r="B151" i="3"/>
  <c r="C151" i="3" s="1" a="1"/>
  <c r="C151" i="3" s="1"/>
  <c r="B152" i="3"/>
  <c r="C152" i="3" s="1" a="1"/>
  <c r="C152" i="3" s="1"/>
  <c r="B153" i="3"/>
  <c r="C153" i="3" s="1" a="1"/>
  <c r="C153" i="3" s="1"/>
  <c r="B154" i="3"/>
  <c r="C154" i="3" s="1" a="1"/>
  <c r="C154" i="3" s="1"/>
  <c r="B155" i="3"/>
  <c r="C155" i="3" s="1" a="1"/>
  <c r="C155" i="3" s="1"/>
  <c r="B156" i="3"/>
  <c r="C156" i="3" s="1" a="1"/>
  <c r="C156" i="3" s="1"/>
  <c r="B157" i="3"/>
  <c r="C157" i="3" s="1" a="1"/>
  <c r="C157" i="3" s="1"/>
  <c r="B158" i="3"/>
  <c r="C158" i="3" s="1" a="1"/>
  <c r="C158" i="3" s="1"/>
  <c r="B159" i="3"/>
  <c r="C159" i="3" s="1" a="1"/>
  <c r="C159" i="3" s="1"/>
  <c r="B160" i="3"/>
  <c r="C160" i="3" s="1" a="1"/>
  <c r="C160" i="3" s="1"/>
  <c r="B161" i="3"/>
  <c r="C161" i="3" s="1" a="1"/>
  <c r="C161" i="3" s="1"/>
  <c r="B162" i="3"/>
  <c r="C162" i="3" s="1" a="1"/>
  <c r="C162" i="3" s="1"/>
  <c r="B163" i="3"/>
  <c r="C163" i="3" s="1" a="1"/>
  <c r="C163" i="3" s="1"/>
  <c r="B164" i="3"/>
  <c r="C164" i="3" s="1" a="1"/>
  <c r="C164" i="3" s="1"/>
  <c r="B165" i="3"/>
  <c r="C165" i="3" s="1" a="1"/>
  <c r="C165" i="3" s="1"/>
  <c r="B166" i="3"/>
  <c r="C166" i="3" s="1" a="1"/>
  <c r="C166" i="3" s="1"/>
  <c r="B167" i="3"/>
  <c r="C167" i="3" s="1" a="1"/>
  <c r="C167" i="3" s="1"/>
  <c r="B168" i="3"/>
  <c r="C168" i="3" s="1" a="1"/>
  <c r="C168" i="3" s="1"/>
  <c r="B169" i="3"/>
  <c r="C169" i="3" s="1" a="1"/>
  <c r="C169" i="3" s="1"/>
  <c r="B170" i="3"/>
  <c r="C170" i="3" s="1" a="1"/>
  <c r="C170" i="3" s="1"/>
  <c r="B171" i="3"/>
  <c r="C171" i="3" s="1" a="1"/>
  <c r="C171" i="3" s="1"/>
  <c r="B172" i="3"/>
  <c r="C172" i="3" s="1" a="1"/>
  <c r="C172" i="3" s="1"/>
  <c r="B173" i="3"/>
  <c r="C173" i="3" s="1" a="1"/>
  <c r="C173" i="3" s="1"/>
  <c r="B174" i="3"/>
  <c r="C174" i="3" s="1" a="1"/>
  <c r="C174" i="3" s="1"/>
  <c r="B175" i="3"/>
  <c r="C175" i="3" s="1" a="1"/>
  <c r="C175" i="3" s="1"/>
  <c r="B176" i="3"/>
  <c r="C176" i="3" s="1" a="1"/>
  <c r="C176" i="3" s="1"/>
  <c r="B177" i="3"/>
  <c r="C177" i="3" s="1" a="1"/>
  <c r="C177" i="3" s="1"/>
  <c r="B178" i="3"/>
  <c r="C178" i="3" s="1" a="1"/>
  <c r="C178" i="3" s="1"/>
  <c r="B179" i="3"/>
  <c r="C179" i="3" s="1" a="1"/>
  <c r="C179" i="3" s="1"/>
  <c r="B180" i="3"/>
  <c r="C180" i="3" s="1" a="1"/>
  <c r="C180" i="3" s="1"/>
  <c r="B181" i="3"/>
  <c r="C181" i="3" s="1" a="1"/>
  <c r="C181" i="3" s="1"/>
  <c r="B182" i="3"/>
  <c r="C182" i="3" s="1" a="1"/>
  <c r="C182" i="3" s="1"/>
  <c r="B183" i="3"/>
  <c r="C183" i="3" s="1" a="1"/>
  <c r="C183" i="3" s="1"/>
  <c r="B184" i="3"/>
  <c r="C184" i="3" s="1" a="1"/>
  <c r="C184" i="3" s="1"/>
  <c r="B185" i="3"/>
  <c r="C185" i="3" s="1" a="1"/>
  <c r="C185" i="3" s="1"/>
  <c r="B186" i="3"/>
  <c r="C186" i="3" s="1" a="1"/>
  <c r="C186" i="3" s="1"/>
  <c r="B187" i="3"/>
  <c r="C187" i="3" s="1" a="1"/>
  <c r="C187" i="3" s="1"/>
  <c r="B188" i="3"/>
  <c r="C188" i="3" s="1" a="1"/>
  <c r="C188" i="3" s="1"/>
  <c r="B189" i="3"/>
  <c r="C189" i="3" s="1" a="1"/>
  <c r="C189" i="3" s="1"/>
  <c r="B190" i="3"/>
  <c r="C190" i="3" s="1" a="1"/>
  <c r="C190" i="3" s="1"/>
  <c r="B191" i="3"/>
  <c r="C191" i="3" s="1" a="1"/>
  <c r="C191" i="3" s="1"/>
  <c r="B192" i="3"/>
  <c r="C192" i="3" s="1" a="1"/>
  <c r="C192" i="3" s="1"/>
  <c r="B193" i="3"/>
  <c r="C193" i="3" s="1" a="1"/>
  <c r="C193" i="3" s="1"/>
  <c r="B194" i="3"/>
  <c r="C194" i="3" s="1" a="1"/>
  <c r="C194" i="3" s="1"/>
  <c r="B195" i="3"/>
  <c r="C195" i="3" s="1" a="1"/>
  <c r="C195" i="3" s="1"/>
  <c r="B196" i="3"/>
  <c r="C196" i="3" s="1" a="1"/>
  <c r="C196" i="3" s="1"/>
  <c r="B197" i="3"/>
  <c r="C197" i="3" s="1" a="1"/>
  <c r="C197" i="3" s="1"/>
  <c r="B198" i="3"/>
  <c r="C198" i="3" s="1" a="1"/>
  <c r="C198" i="3" s="1"/>
  <c r="B199" i="3"/>
  <c r="C199" i="3" s="1" a="1"/>
  <c r="C199" i="3" s="1"/>
  <c r="B200" i="3"/>
  <c r="C200" i="3" s="1" a="1"/>
  <c r="C200" i="3" s="1"/>
  <c r="B201" i="3"/>
  <c r="C201" i="3" s="1" a="1"/>
  <c r="C201" i="3" s="1"/>
  <c r="B202" i="3"/>
  <c r="C202" i="3" s="1" a="1"/>
  <c r="C202" i="3" s="1"/>
  <c r="B203" i="3"/>
  <c r="C203" i="3" s="1" a="1"/>
  <c r="C203" i="3" s="1"/>
  <c r="B204" i="3"/>
  <c r="C204" i="3" s="1" a="1"/>
  <c r="C204" i="3" s="1"/>
  <c r="B205" i="3"/>
  <c r="C205" i="3" s="1" a="1"/>
  <c r="C205" i="3" s="1"/>
  <c r="B206" i="3"/>
  <c r="C206" i="3" s="1" a="1"/>
  <c r="C206" i="3" s="1"/>
  <c r="B207" i="3"/>
  <c r="C207" i="3" s="1" a="1"/>
  <c r="C207" i="3" s="1"/>
  <c r="B208" i="3"/>
  <c r="C208" i="3" s="1" a="1"/>
  <c r="C208" i="3" s="1"/>
  <c r="B209" i="3"/>
  <c r="C209" i="3" s="1" a="1"/>
  <c r="C209" i="3" s="1"/>
  <c r="B210" i="3"/>
  <c r="C210" i="3" s="1" a="1"/>
  <c r="C210" i="3" s="1"/>
  <c r="B211" i="3"/>
  <c r="C211" i="3" s="1" a="1"/>
  <c r="C211" i="3" s="1"/>
  <c r="B212" i="3"/>
  <c r="C212" i="3" s="1" a="1"/>
  <c r="C212" i="3" s="1"/>
  <c r="B213" i="3"/>
  <c r="C213" i="3" s="1" a="1"/>
  <c r="C213" i="3" s="1"/>
  <c r="B214" i="3"/>
  <c r="C214" i="3" s="1" a="1"/>
  <c r="C214" i="3" s="1"/>
  <c r="B215" i="3"/>
  <c r="C215" i="3" s="1" a="1"/>
  <c r="C215" i="3" s="1"/>
  <c r="B216" i="3"/>
  <c r="C216" i="3" s="1" a="1"/>
  <c r="C216" i="3" s="1"/>
  <c r="B217" i="3"/>
  <c r="C217" i="3" s="1" a="1"/>
  <c r="C217" i="3" s="1"/>
  <c r="B218" i="3"/>
  <c r="C218" i="3" s="1" a="1"/>
  <c r="C218" i="3" s="1"/>
  <c r="B219" i="3"/>
  <c r="C219" i="3" s="1" a="1"/>
  <c r="C219" i="3" s="1"/>
  <c r="B220" i="3"/>
  <c r="C220" i="3" s="1" a="1"/>
  <c r="C220" i="3" s="1"/>
  <c r="B221" i="3"/>
  <c r="C221" i="3" s="1" a="1"/>
  <c r="C221" i="3" s="1"/>
  <c r="B222" i="3"/>
  <c r="C222" i="3" s="1" a="1"/>
  <c r="C222" i="3" s="1"/>
  <c r="B223" i="3"/>
  <c r="C223" i="3" s="1" a="1"/>
  <c r="C223" i="3" s="1"/>
  <c r="B224" i="3"/>
  <c r="C224" i="3" s="1" a="1"/>
  <c r="C224" i="3" s="1"/>
  <c r="B225" i="3"/>
  <c r="C225" i="3" s="1" a="1"/>
  <c r="C225" i="3" s="1"/>
  <c r="B226" i="3"/>
  <c r="C226" i="3" s="1" a="1"/>
  <c r="C226" i="3" s="1"/>
  <c r="B227" i="3"/>
  <c r="C227" i="3" s="1" a="1"/>
  <c r="C227" i="3" s="1"/>
  <c r="B228" i="3"/>
  <c r="C228" i="3" s="1" a="1"/>
  <c r="C228" i="3" s="1"/>
  <c r="B229" i="3"/>
  <c r="C229" i="3" s="1" a="1"/>
  <c r="C229" i="3" s="1"/>
  <c r="B230" i="3"/>
  <c r="C230" i="3" s="1" a="1"/>
  <c r="C230" i="3" s="1"/>
  <c r="B231" i="3"/>
  <c r="C231" i="3" s="1" a="1"/>
  <c r="C231" i="3" s="1"/>
  <c r="B232" i="3"/>
  <c r="C232" i="3" s="1" a="1"/>
  <c r="C232" i="3" s="1"/>
  <c r="B233" i="3"/>
  <c r="C233" i="3" s="1" a="1"/>
  <c r="C233" i="3" s="1"/>
  <c r="B234" i="3"/>
  <c r="C234" i="3" s="1" a="1"/>
  <c r="C234" i="3" s="1"/>
  <c r="B235" i="3"/>
  <c r="C235" i="3" s="1" a="1"/>
  <c r="C235" i="3" s="1"/>
  <c r="B236" i="3"/>
  <c r="C236" i="3" s="1" a="1"/>
  <c r="C236" i="3" s="1"/>
  <c r="B237" i="3"/>
  <c r="C237" i="3" s="1" a="1"/>
  <c r="C237" i="3" s="1"/>
  <c r="B238" i="3"/>
  <c r="C238" i="3" s="1" a="1"/>
  <c r="C238" i="3" s="1"/>
  <c r="B239" i="3"/>
  <c r="C239" i="3" s="1" a="1"/>
  <c r="C239" i="3" s="1"/>
  <c r="B240" i="3"/>
  <c r="C240" i="3" s="1" a="1"/>
  <c r="C240" i="3" s="1"/>
  <c r="B241" i="3"/>
  <c r="C241" i="3" s="1" a="1"/>
  <c r="C241" i="3" s="1"/>
  <c r="B242" i="3"/>
  <c r="C242" i="3" s="1" a="1"/>
  <c r="C242" i="3" s="1"/>
  <c r="B243" i="3"/>
  <c r="C243" i="3" s="1" a="1"/>
  <c r="C243" i="3" s="1"/>
  <c r="B244" i="3"/>
  <c r="C244" i="3" s="1" a="1"/>
  <c r="C244" i="3" s="1"/>
  <c r="B245" i="3"/>
  <c r="C245" i="3" s="1" a="1"/>
  <c r="C245" i="3" s="1"/>
  <c r="B246" i="3"/>
  <c r="C246" i="3" s="1" a="1"/>
  <c r="C246" i="3" s="1"/>
  <c r="B247" i="3"/>
  <c r="C247" i="3" s="1" a="1"/>
  <c r="C247" i="3" s="1"/>
  <c r="B248" i="3"/>
  <c r="C248" i="3" s="1" a="1"/>
  <c r="C248" i="3" s="1"/>
  <c r="B249" i="3"/>
  <c r="C249" i="3" s="1" a="1"/>
  <c r="C249" i="3" s="1"/>
  <c r="B250" i="3"/>
  <c r="C250" i="3" s="1" a="1"/>
  <c r="C250" i="3" s="1"/>
  <c r="B251" i="3"/>
  <c r="C251" i="3" s="1" a="1"/>
  <c r="C251" i="3" s="1"/>
  <c r="B252" i="3"/>
  <c r="C252" i="3" s="1" a="1"/>
  <c r="C252" i="3" s="1"/>
  <c r="B253" i="3"/>
  <c r="C253" i="3" s="1" a="1"/>
  <c r="C253" i="3" s="1"/>
  <c r="B254" i="3"/>
  <c r="C254" i="3" s="1" a="1"/>
  <c r="C254" i="3" s="1"/>
  <c r="B255" i="3"/>
  <c r="C255" i="3" s="1" a="1"/>
  <c r="C255" i="3" s="1"/>
  <c r="B256" i="3"/>
  <c r="C256" i="3" s="1" a="1"/>
  <c r="C256" i="3" s="1"/>
  <c r="B257" i="3"/>
  <c r="C257" i="3" s="1" a="1"/>
  <c r="C257" i="3" s="1"/>
  <c r="B258" i="3"/>
  <c r="C258" i="3" s="1" a="1"/>
  <c r="C258" i="3" s="1"/>
  <c r="B259" i="3"/>
  <c r="C259" i="3" s="1" a="1"/>
  <c r="C259" i="3" s="1"/>
  <c r="B260" i="3"/>
  <c r="C260" i="3" s="1" a="1"/>
  <c r="C260" i="3" s="1"/>
  <c r="B261" i="3"/>
  <c r="C261" i="3" s="1" a="1"/>
  <c r="C261" i="3" s="1"/>
  <c r="B262" i="3"/>
  <c r="C262" i="3" s="1" a="1"/>
  <c r="C262" i="3" s="1"/>
  <c r="B263" i="3"/>
  <c r="C263" i="3" s="1" a="1"/>
  <c r="C263" i="3" s="1"/>
  <c r="B264" i="3"/>
  <c r="C264" i="3" s="1" a="1"/>
  <c r="C264" i="3" s="1"/>
  <c r="B265" i="3"/>
  <c r="C265" i="3" s="1" a="1"/>
  <c r="C265" i="3" s="1"/>
  <c r="B266" i="3"/>
  <c r="C266" i="3" s="1" a="1"/>
  <c r="C266" i="3" s="1"/>
  <c r="B267" i="3"/>
  <c r="C267" i="3" s="1" a="1"/>
  <c r="C267" i="3" s="1"/>
  <c r="B268" i="3"/>
  <c r="C268" i="3" s="1" a="1"/>
  <c r="C268" i="3" s="1"/>
  <c r="B269" i="3"/>
  <c r="C269" i="3" s="1" a="1"/>
  <c r="C269" i="3" s="1"/>
  <c r="B270" i="3"/>
  <c r="C270" i="3" s="1" a="1"/>
  <c r="C270" i="3" s="1"/>
  <c r="B271" i="3"/>
  <c r="C271" i="3" s="1" a="1"/>
  <c r="C271" i="3" s="1"/>
  <c r="B272" i="3"/>
  <c r="C272" i="3" s="1" a="1"/>
  <c r="C272" i="3" s="1"/>
  <c r="B273" i="3"/>
  <c r="C273" i="3" s="1" a="1"/>
  <c r="C273" i="3" s="1"/>
  <c r="B274" i="3"/>
  <c r="C274" i="3" s="1" a="1"/>
  <c r="C274" i="3" s="1"/>
  <c r="B275" i="3"/>
  <c r="C275" i="3" s="1" a="1"/>
  <c r="C275" i="3" s="1"/>
  <c r="B276" i="3"/>
  <c r="C276" i="3" s="1" a="1"/>
  <c r="C276" i="3" s="1"/>
  <c r="B277" i="3"/>
  <c r="C277" i="3" s="1" a="1"/>
  <c r="C277" i="3" s="1"/>
  <c r="B278" i="3"/>
  <c r="C278" i="3" s="1" a="1"/>
  <c r="C278" i="3" s="1"/>
  <c r="B279" i="3"/>
  <c r="C279" i="3" s="1" a="1"/>
  <c r="C279" i="3" s="1"/>
  <c r="B280" i="3"/>
  <c r="C280" i="3" s="1" a="1"/>
  <c r="C280" i="3" s="1"/>
  <c r="B281" i="3"/>
  <c r="C281" i="3" s="1" a="1"/>
  <c r="C281" i="3" s="1"/>
  <c r="B282" i="3"/>
  <c r="C282" i="3" s="1" a="1"/>
  <c r="C282" i="3" s="1"/>
  <c r="B283" i="3"/>
  <c r="C283" i="3" s="1" a="1"/>
  <c r="C283" i="3" s="1"/>
  <c r="B284" i="3"/>
  <c r="C284" i="3" s="1" a="1"/>
  <c r="C284" i="3" s="1"/>
  <c r="B285" i="3"/>
  <c r="C285" i="3" s="1" a="1"/>
  <c r="C285" i="3" s="1"/>
  <c r="B286" i="3"/>
  <c r="C286" i="3" s="1" a="1"/>
  <c r="C286" i="3" s="1"/>
  <c r="B287" i="3"/>
  <c r="C287" i="3" s="1" a="1"/>
  <c r="C287" i="3" s="1"/>
  <c r="B288" i="3"/>
  <c r="C288" i="3" s="1" a="1"/>
  <c r="C288" i="3" s="1"/>
  <c r="B289" i="3"/>
  <c r="C289" i="3" s="1" a="1"/>
  <c r="C289" i="3" s="1"/>
  <c r="B290" i="3"/>
  <c r="C290" i="3" s="1" a="1"/>
  <c r="C290" i="3" s="1"/>
  <c r="B291" i="3"/>
  <c r="C291" i="3" s="1" a="1"/>
  <c r="C291" i="3" s="1"/>
  <c r="B292" i="3"/>
  <c r="C292" i="3" s="1" a="1"/>
  <c r="C292" i="3" s="1"/>
  <c r="B293" i="3"/>
  <c r="C293" i="3" s="1" a="1"/>
  <c r="C293" i="3" s="1"/>
  <c r="B294" i="3"/>
  <c r="C294" i="3" s="1" a="1"/>
  <c r="C294" i="3" s="1"/>
  <c r="B295" i="3"/>
  <c r="C295" i="3" s="1" a="1"/>
  <c r="C295" i="3" s="1"/>
  <c r="B296" i="3"/>
  <c r="C296" i="3" s="1" a="1"/>
  <c r="C296" i="3" s="1"/>
  <c r="B297" i="3"/>
  <c r="C297" i="3" s="1" a="1"/>
  <c r="C297" i="3" s="1"/>
  <c r="B298" i="3"/>
  <c r="C298" i="3" s="1" a="1"/>
  <c r="C298" i="3" s="1"/>
  <c r="B299" i="3"/>
  <c r="C299" i="3" s="1" a="1"/>
  <c r="C299" i="3" s="1"/>
  <c r="B300" i="3"/>
  <c r="C300" i="3" s="1" a="1"/>
  <c r="C300" i="3" s="1"/>
  <c r="B301" i="3"/>
  <c r="C301" i="3" s="1" a="1"/>
  <c r="C301" i="3" s="1"/>
  <c r="B302" i="3"/>
  <c r="C302" i="3" s="1" a="1"/>
  <c r="C302" i="3" s="1"/>
  <c r="B303" i="3"/>
  <c r="C303" i="3" s="1" a="1"/>
  <c r="C303" i="3" s="1"/>
  <c r="B304" i="3"/>
  <c r="C304" i="3" s="1" a="1"/>
  <c r="C304" i="3" s="1"/>
  <c r="B305" i="3"/>
  <c r="C305" i="3" s="1" a="1"/>
  <c r="C305" i="3" s="1"/>
  <c r="B306" i="3"/>
  <c r="C306" i="3" s="1" a="1"/>
  <c r="C306" i="3" s="1"/>
  <c r="B307" i="3"/>
  <c r="C307" i="3" s="1" a="1"/>
  <c r="C307" i="3" s="1"/>
  <c r="B308" i="3"/>
  <c r="C308" i="3" s="1" a="1"/>
  <c r="C308" i="3" s="1"/>
  <c r="B309" i="3"/>
  <c r="C309" i="3" s="1" a="1"/>
  <c r="C309" i="3" s="1"/>
  <c r="B310" i="3"/>
  <c r="C310" i="3" s="1" a="1"/>
  <c r="C310" i="3" s="1"/>
  <c r="B311" i="3"/>
  <c r="C311" i="3" s="1" a="1"/>
  <c r="C311" i="3" s="1"/>
  <c r="B312" i="3"/>
  <c r="C312" i="3" s="1" a="1"/>
  <c r="C312" i="3" s="1"/>
  <c r="B313" i="3"/>
  <c r="C313" i="3" s="1" a="1"/>
  <c r="C313" i="3" s="1"/>
  <c r="B314" i="3"/>
  <c r="C314" i="3" s="1" a="1"/>
  <c r="C314" i="3" s="1"/>
  <c r="B315" i="3"/>
  <c r="C315" i="3" s="1" a="1"/>
  <c r="C315" i="3" s="1"/>
  <c r="B316" i="3"/>
  <c r="C316" i="3" s="1" a="1"/>
  <c r="C316" i="3" s="1"/>
  <c r="B317" i="3"/>
  <c r="C317" i="3" s="1" a="1"/>
  <c r="C317" i="3" s="1"/>
  <c r="B318" i="3"/>
  <c r="C318" i="3" s="1" a="1"/>
  <c r="C318" i="3" s="1"/>
  <c r="B319" i="3"/>
  <c r="C319" i="3" s="1" a="1"/>
  <c r="C319" i="3" s="1"/>
  <c r="B320" i="3"/>
  <c r="C320" i="3" s="1" a="1"/>
  <c r="C320" i="3" s="1"/>
  <c r="B321" i="3"/>
  <c r="C321" i="3" s="1" a="1"/>
  <c r="C321" i="3" s="1"/>
  <c r="B322" i="3"/>
  <c r="C322" i="3" s="1" a="1"/>
  <c r="C322" i="3" s="1"/>
  <c r="B323" i="3"/>
  <c r="C323" i="3" s="1" a="1"/>
  <c r="C323" i="3" s="1"/>
  <c r="B324" i="3"/>
  <c r="C324" i="3" s="1" a="1"/>
  <c r="C324" i="3" s="1"/>
  <c r="B325" i="3"/>
  <c r="C325" i="3" s="1" a="1"/>
  <c r="C325" i="3" s="1"/>
  <c r="B326" i="3"/>
  <c r="C326" i="3" s="1" a="1"/>
  <c r="C326" i="3" s="1"/>
  <c r="B327" i="3"/>
  <c r="C327" i="3" s="1" a="1"/>
  <c r="C327" i="3" s="1"/>
  <c r="B328" i="3"/>
  <c r="C328" i="3" s="1" a="1"/>
  <c r="C328" i="3" s="1"/>
  <c r="B329" i="3"/>
  <c r="C329" i="3" s="1" a="1"/>
  <c r="C329" i="3" s="1"/>
  <c r="B330" i="3"/>
  <c r="C330" i="3" s="1" a="1"/>
  <c r="C330" i="3" s="1"/>
  <c r="B331" i="3"/>
  <c r="C331" i="3" s="1" a="1"/>
  <c r="C331" i="3" s="1"/>
  <c r="B332" i="3"/>
  <c r="C332" i="3" s="1" a="1"/>
  <c r="C332" i="3" s="1"/>
  <c r="B333" i="3"/>
  <c r="C333" i="3" s="1" a="1"/>
  <c r="C333" i="3" s="1"/>
  <c r="B334" i="3"/>
  <c r="C334" i="3" s="1" a="1"/>
  <c r="C334" i="3" s="1"/>
  <c r="B335" i="3"/>
  <c r="C335" i="3" s="1" a="1"/>
  <c r="C335" i="3" s="1"/>
  <c r="B336" i="3"/>
  <c r="C336" i="3" s="1" a="1"/>
  <c r="C336" i="3" s="1"/>
  <c r="B337" i="3"/>
  <c r="C337" i="3" s="1" a="1"/>
  <c r="C337" i="3" s="1"/>
  <c r="B338" i="3"/>
  <c r="C338" i="3" s="1" a="1"/>
  <c r="C338" i="3" s="1"/>
  <c r="B339" i="3"/>
  <c r="C339" i="3" s="1" a="1"/>
  <c r="C339" i="3" s="1"/>
  <c r="B340" i="3"/>
  <c r="C340" i="3" s="1" a="1"/>
  <c r="C340" i="3" s="1"/>
  <c r="B341" i="3"/>
  <c r="C341" i="3" s="1" a="1"/>
  <c r="C341" i="3" s="1"/>
  <c r="B342" i="3"/>
  <c r="C342" i="3" s="1" a="1"/>
  <c r="C342" i="3" s="1"/>
  <c r="B343" i="3"/>
  <c r="C343" i="3" s="1" a="1"/>
  <c r="C343" i="3" s="1"/>
  <c r="B344" i="3"/>
  <c r="C344" i="3" s="1" a="1"/>
  <c r="C344" i="3" s="1"/>
  <c r="B345" i="3"/>
  <c r="C345" i="3" s="1" a="1"/>
  <c r="C345" i="3" s="1"/>
  <c r="B346" i="3"/>
  <c r="C346" i="3" s="1" a="1"/>
  <c r="C346" i="3" s="1"/>
  <c r="B347" i="3"/>
  <c r="C347" i="3" s="1" a="1"/>
  <c r="C347" i="3" s="1"/>
  <c r="B348" i="3"/>
  <c r="C348" i="3" s="1" a="1"/>
  <c r="C348" i="3" s="1"/>
  <c r="B349" i="3"/>
  <c r="C349" i="3" s="1" a="1"/>
  <c r="C349" i="3" s="1"/>
  <c r="B350" i="3"/>
  <c r="C350" i="3" s="1" a="1"/>
  <c r="C350" i="3" s="1"/>
  <c r="B351" i="3"/>
  <c r="C351" i="3" s="1" a="1"/>
  <c r="C351" i="3" s="1"/>
  <c r="B352" i="3"/>
  <c r="C352" i="3" s="1" a="1"/>
  <c r="C352" i="3" s="1"/>
  <c r="B353" i="3"/>
  <c r="C353" i="3" s="1" a="1"/>
  <c r="C353" i="3" s="1"/>
  <c r="B354" i="3"/>
  <c r="C354" i="3" s="1" a="1"/>
  <c r="C354" i="3" s="1"/>
  <c r="B355" i="3"/>
  <c r="C355" i="3" s="1" a="1"/>
  <c r="C355" i="3" s="1"/>
  <c r="B356" i="3"/>
  <c r="C356" i="3" s="1" a="1"/>
  <c r="C356" i="3" s="1"/>
  <c r="B357" i="3"/>
  <c r="C357" i="3" s="1" a="1"/>
  <c r="C357" i="3" s="1"/>
  <c r="B358" i="3"/>
  <c r="C358" i="3" s="1" a="1"/>
  <c r="C358" i="3" s="1"/>
  <c r="B359" i="3"/>
  <c r="C359" i="3" s="1" a="1"/>
  <c r="C359" i="3" s="1"/>
  <c r="B360" i="3"/>
  <c r="C360" i="3" s="1" a="1"/>
  <c r="C360" i="3" s="1"/>
  <c r="B361" i="3"/>
  <c r="C361" i="3" s="1" a="1"/>
  <c r="C361" i="3" s="1"/>
  <c r="B362" i="3"/>
  <c r="C362" i="3" s="1" a="1"/>
  <c r="C362" i="3" s="1"/>
  <c r="B363" i="3"/>
  <c r="C363" i="3" s="1" a="1"/>
  <c r="C363" i="3" s="1"/>
  <c r="B364" i="3"/>
  <c r="C364" i="3" s="1" a="1"/>
  <c r="C364" i="3" s="1"/>
  <c r="B365" i="3"/>
  <c r="C365" i="3" s="1" a="1"/>
  <c r="C365" i="3" s="1"/>
  <c r="B366" i="3"/>
  <c r="C366" i="3" s="1" a="1"/>
  <c r="C366" i="3" s="1"/>
  <c r="B367" i="3"/>
  <c r="C367" i="3" s="1" a="1"/>
  <c r="C367" i="3" s="1"/>
  <c r="B368" i="3"/>
  <c r="C368" i="3" s="1" a="1"/>
  <c r="C368" i="3" s="1"/>
  <c r="B369" i="3"/>
  <c r="C369" i="3" s="1" a="1"/>
  <c r="C369" i="3" s="1"/>
  <c r="B370" i="3"/>
  <c r="C370" i="3" s="1" a="1"/>
  <c r="C370" i="3" s="1"/>
  <c r="B371" i="3"/>
  <c r="C371" i="3" s="1" a="1"/>
  <c r="C371" i="3" s="1"/>
  <c r="B372" i="3"/>
  <c r="C372" i="3" s="1" a="1"/>
  <c r="C372" i="3" s="1"/>
  <c r="B373" i="3"/>
  <c r="C373" i="3" s="1" a="1"/>
  <c r="C373" i="3" s="1"/>
  <c r="B374" i="3"/>
  <c r="C374" i="3" s="1" a="1"/>
  <c r="C374" i="3" s="1"/>
  <c r="B375" i="3"/>
  <c r="C375" i="3" s="1" a="1"/>
  <c r="C375" i="3" s="1"/>
  <c r="B376" i="3"/>
  <c r="C376" i="3" s="1" a="1"/>
  <c r="C376" i="3" s="1"/>
  <c r="B377" i="3"/>
  <c r="C377" i="3" s="1" a="1"/>
  <c r="C377" i="3" s="1"/>
  <c r="B378" i="3"/>
  <c r="C378" i="3" s="1" a="1"/>
  <c r="C378" i="3" s="1"/>
  <c r="B379" i="3"/>
  <c r="C379" i="3" s="1" a="1"/>
  <c r="C379" i="3" s="1"/>
  <c r="B380" i="3"/>
  <c r="C380" i="3" s="1" a="1"/>
  <c r="C380" i="3" s="1"/>
  <c r="B381" i="3"/>
  <c r="C381" i="3" s="1" a="1"/>
  <c r="C381" i="3" s="1"/>
  <c r="B382" i="3"/>
  <c r="C382" i="3" s="1" a="1"/>
  <c r="C382" i="3" s="1"/>
  <c r="B383" i="3"/>
  <c r="C383" i="3" s="1" a="1"/>
  <c r="C383" i="3" s="1"/>
  <c r="B384" i="3"/>
  <c r="C384" i="3" s="1" a="1"/>
  <c r="C384" i="3" s="1"/>
  <c r="B385" i="3"/>
  <c r="C385" i="3" s="1" a="1"/>
  <c r="C385" i="3" s="1"/>
  <c r="B386" i="3"/>
  <c r="C386" i="3" s="1" a="1"/>
  <c r="C386" i="3" s="1"/>
  <c r="B387" i="3"/>
  <c r="C387" i="3" s="1" a="1"/>
  <c r="C387" i="3" s="1"/>
  <c r="B388" i="3"/>
  <c r="C388" i="3" s="1" a="1"/>
  <c r="C388" i="3" s="1"/>
  <c r="B389" i="3"/>
  <c r="C389" i="3" s="1" a="1"/>
  <c r="C389" i="3" s="1"/>
  <c r="B390" i="3"/>
  <c r="C390" i="3" s="1" a="1"/>
  <c r="C390" i="3" s="1"/>
  <c r="B391" i="3"/>
  <c r="C391" i="3" s="1" a="1"/>
  <c r="C391" i="3" s="1"/>
  <c r="B392" i="3"/>
  <c r="C392" i="3" s="1" a="1"/>
  <c r="C392" i="3" s="1"/>
  <c r="B393" i="3"/>
  <c r="C393" i="3" s="1" a="1"/>
  <c r="C393" i="3" s="1"/>
  <c r="B394" i="3"/>
  <c r="C394" i="3" s="1" a="1"/>
  <c r="C394" i="3" s="1"/>
  <c r="B395" i="3"/>
  <c r="C395" i="3" s="1" a="1"/>
  <c r="C395" i="3" s="1"/>
  <c r="B396" i="3"/>
  <c r="C396" i="3" s="1" a="1"/>
  <c r="C396" i="3" s="1"/>
  <c r="B397" i="3"/>
  <c r="C397" i="3" s="1" a="1"/>
  <c r="C397" i="3" s="1"/>
  <c r="B398" i="3"/>
  <c r="C398" i="3" s="1" a="1"/>
  <c r="C398" i="3" s="1"/>
  <c r="B399" i="3"/>
  <c r="C399" i="3" s="1" a="1"/>
  <c r="C399" i="3" s="1"/>
  <c r="B400" i="3"/>
  <c r="C400" i="3" s="1" a="1"/>
  <c r="C400" i="3" s="1"/>
  <c r="B401" i="3"/>
  <c r="C401" i="3" s="1" a="1"/>
  <c r="C401" i="3" s="1"/>
  <c r="B402" i="3"/>
  <c r="C402" i="3" s="1" a="1"/>
  <c r="C402" i="3" s="1"/>
  <c r="B403" i="3"/>
  <c r="C403" i="3" s="1" a="1"/>
  <c r="C403" i="3" s="1"/>
  <c r="B404" i="3"/>
  <c r="C404" i="3" s="1" a="1"/>
  <c r="C404" i="3" s="1"/>
  <c r="B405" i="3"/>
  <c r="C405" i="3" s="1" a="1"/>
  <c r="C405" i="3" s="1"/>
  <c r="B406" i="3"/>
  <c r="C406" i="3" s="1" a="1"/>
  <c r="C406" i="3" s="1"/>
  <c r="B407" i="3"/>
  <c r="C407" i="3" s="1" a="1"/>
  <c r="C407" i="3" s="1"/>
  <c r="B408" i="3"/>
  <c r="C408" i="3" s="1" a="1"/>
  <c r="C408" i="3" s="1"/>
  <c r="B409" i="3"/>
  <c r="C409" i="3" s="1" a="1"/>
  <c r="C409" i="3" s="1"/>
  <c r="B410" i="3"/>
  <c r="C410" i="3" s="1" a="1"/>
  <c r="C410" i="3" s="1"/>
  <c r="B411" i="3"/>
  <c r="C411" i="3" s="1" a="1"/>
  <c r="C411" i="3" s="1"/>
  <c r="B412" i="3"/>
  <c r="C412" i="3" s="1" a="1"/>
  <c r="C412" i="3" s="1"/>
  <c r="B413" i="3"/>
  <c r="C413" i="3" s="1" a="1"/>
  <c r="C413" i="3" s="1"/>
  <c r="B414" i="3"/>
  <c r="C414" i="3" s="1" a="1"/>
  <c r="C414" i="3" s="1"/>
  <c r="B415" i="3"/>
  <c r="C415" i="3" s="1" a="1"/>
  <c r="C415" i="3" s="1"/>
  <c r="B416" i="3"/>
  <c r="C416" i="3" s="1" a="1"/>
  <c r="C416" i="3" s="1"/>
  <c r="B417" i="3"/>
  <c r="C417" i="3" s="1" a="1"/>
  <c r="C417" i="3" s="1"/>
  <c r="B418" i="3"/>
  <c r="C418" i="3" s="1" a="1"/>
  <c r="C418" i="3" s="1"/>
  <c r="B419" i="3"/>
  <c r="C419" i="3" s="1" a="1"/>
  <c r="C419" i="3" s="1"/>
  <c r="B420" i="3"/>
  <c r="C420" i="3" s="1" a="1"/>
  <c r="C420" i="3" s="1"/>
  <c r="B421" i="3"/>
  <c r="C421" i="3" s="1" a="1"/>
  <c r="C421" i="3" s="1"/>
  <c r="B422" i="3"/>
  <c r="C422" i="3" s="1" a="1"/>
  <c r="C422" i="3" s="1"/>
  <c r="B423" i="3"/>
  <c r="C423" i="3" s="1" a="1"/>
  <c r="C423" i="3" s="1"/>
  <c r="B424" i="3"/>
  <c r="C424" i="3" s="1" a="1"/>
  <c r="C424" i="3" s="1"/>
  <c r="B425" i="3"/>
  <c r="C425" i="3" s="1" a="1"/>
  <c r="C425" i="3" s="1"/>
  <c r="B426" i="3"/>
  <c r="C426" i="3" s="1" a="1"/>
  <c r="C426" i="3" s="1"/>
  <c r="B427" i="3"/>
  <c r="C427" i="3" s="1" a="1"/>
  <c r="C427" i="3" s="1"/>
  <c r="B428" i="3"/>
  <c r="C428" i="3" s="1" a="1"/>
  <c r="C428" i="3" s="1"/>
  <c r="B429" i="3"/>
  <c r="C429" i="3" s="1" a="1"/>
  <c r="C429" i="3" s="1"/>
  <c r="B430" i="3"/>
  <c r="C430" i="3" s="1" a="1"/>
  <c r="C430" i="3" s="1"/>
  <c r="B431" i="3"/>
  <c r="C431" i="3" s="1" a="1"/>
  <c r="C431" i="3" s="1"/>
  <c r="B432" i="3"/>
  <c r="C432" i="3" s="1" a="1"/>
  <c r="C432" i="3" s="1"/>
  <c r="B433" i="3"/>
  <c r="C433" i="3" s="1" a="1"/>
  <c r="C433" i="3" s="1"/>
  <c r="B434" i="3"/>
  <c r="C434" i="3" s="1" a="1"/>
  <c r="C434" i="3" s="1"/>
  <c r="B435" i="3"/>
  <c r="C435" i="3" s="1" a="1"/>
  <c r="C435" i="3" s="1"/>
  <c r="B436" i="3"/>
  <c r="C436" i="3" s="1" a="1"/>
  <c r="C436" i="3" s="1"/>
  <c r="B437" i="3"/>
  <c r="C437" i="3" s="1" a="1"/>
  <c r="C437" i="3" s="1"/>
  <c r="B438" i="3"/>
  <c r="C438" i="3" s="1" a="1"/>
  <c r="C438" i="3" s="1"/>
  <c r="B439" i="3"/>
  <c r="C439" i="3" s="1" a="1"/>
  <c r="C439" i="3" s="1"/>
  <c r="B440" i="3"/>
  <c r="C440" i="3" s="1" a="1"/>
  <c r="C440" i="3" s="1"/>
  <c r="B441" i="3"/>
  <c r="C441" i="3" s="1" a="1"/>
  <c r="C441" i="3" s="1"/>
  <c r="B442" i="3"/>
  <c r="C442" i="3" s="1" a="1"/>
  <c r="C442" i="3" s="1"/>
  <c r="B443" i="3"/>
  <c r="C443" i="3" s="1" a="1"/>
  <c r="C443" i="3" s="1"/>
  <c r="B444" i="3"/>
  <c r="C444" i="3" s="1" a="1"/>
  <c r="C444" i="3" s="1"/>
  <c r="B445" i="3"/>
  <c r="C445" i="3" s="1" a="1"/>
  <c r="C445" i="3" s="1"/>
  <c r="B446" i="3"/>
  <c r="C446" i="3" s="1" a="1"/>
  <c r="C446" i="3" s="1"/>
  <c r="B447" i="3"/>
  <c r="C447" i="3" s="1" a="1"/>
  <c r="C447" i="3" s="1"/>
  <c r="B448" i="3"/>
  <c r="C448" i="3" s="1" a="1"/>
  <c r="C448" i="3" s="1"/>
  <c r="B449" i="3"/>
  <c r="C449" i="3" s="1" a="1"/>
  <c r="C449" i="3" s="1"/>
  <c r="B450" i="3"/>
  <c r="C450" i="3" s="1" a="1"/>
  <c r="C450" i="3" s="1"/>
  <c r="B451" i="3"/>
  <c r="C451" i="3" s="1" a="1"/>
  <c r="C451" i="3" s="1"/>
  <c r="B452" i="3"/>
  <c r="C452" i="3" s="1" a="1"/>
  <c r="C452" i="3" s="1"/>
  <c r="B453" i="3"/>
  <c r="C453" i="3" s="1" a="1"/>
  <c r="C453" i="3" s="1"/>
  <c r="B454" i="3"/>
  <c r="C454" i="3" s="1" a="1"/>
  <c r="C454" i="3" s="1"/>
  <c r="B455" i="3"/>
  <c r="C455" i="3" s="1" a="1"/>
  <c r="C455" i="3" s="1"/>
  <c r="B456" i="3"/>
  <c r="C456" i="3" s="1" a="1"/>
  <c r="C456" i="3" s="1"/>
  <c r="B457" i="3"/>
  <c r="C457" i="3" s="1" a="1"/>
  <c r="C457" i="3" s="1"/>
  <c r="B458" i="3"/>
  <c r="C458" i="3" s="1" a="1"/>
  <c r="C458" i="3" s="1"/>
  <c r="B459" i="3"/>
  <c r="C459" i="3" s="1" a="1"/>
  <c r="C459" i="3" s="1"/>
  <c r="B460" i="3"/>
  <c r="C460" i="3" s="1" a="1"/>
  <c r="C460" i="3" s="1"/>
  <c r="B461" i="3"/>
  <c r="C461" i="3" s="1" a="1"/>
  <c r="C461" i="3" s="1"/>
  <c r="B462" i="3"/>
  <c r="C462" i="3" s="1" a="1"/>
  <c r="C462" i="3" s="1"/>
  <c r="B463" i="3"/>
  <c r="C463" i="3" s="1" a="1"/>
  <c r="C463" i="3" s="1"/>
  <c r="B464" i="3"/>
  <c r="C464" i="3" s="1" a="1"/>
  <c r="C464" i="3" s="1"/>
  <c r="B465" i="3"/>
  <c r="C465" i="3" s="1" a="1"/>
  <c r="C465" i="3" s="1"/>
  <c r="B466" i="3"/>
  <c r="C466" i="3" s="1" a="1"/>
  <c r="C466" i="3" s="1"/>
  <c r="B467" i="3"/>
  <c r="C467" i="3" s="1" a="1"/>
  <c r="C467" i="3" s="1"/>
  <c r="B468" i="3"/>
  <c r="C468" i="3" s="1" a="1"/>
  <c r="C468" i="3" s="1"/>
  <c r="B469" i="3"/>
  <c r="C469" i="3" s="1" a="1"/>
  <c r="C469" i="3" s="1"/>
  <c r="B470" i="3"/>
  <c r="C470" i="3" s="1" a="1"/>
  <c r="C470" i="3" s="1"/>
  <c r="B471" i="3"/>
  <c r="C471" i="3" s="1" a="1"/>
  <c r="C471" i="3" s="1"/>
  <c r="B472" i="3"/>
  <c r="C472" i="3" s="1" a="1"/>
  <c r="C472" i="3" s="1"/>
  <c r="B473" i="3"/>
  <c r="C473" i="3" s="1" a="1"/>
  <c r="C473" i="3" s="1"/>
  <c r="B474" i="3"/>
  <c r="C474" i="3" s="1" a="1"/>
  <c r="C474" i="3" s="1"/>
  <c r="B475" i="3"/>
  <c r="C475" i="3" s="1" a="1"/>
  <c r="C475" i="3" s="1"/>
  <c r="B476" i="3"/>
  <c r="C476" i="3" s="1" a="1"/>
  <c r="C476" i="3" s="1"/>
  <c r="B477" i="3"/>
  <c r="C477" i="3" s="1" a="1"/>
  <c r="C477" i="3" s="1"/>
  <c r="B478" i="3"/>
  <c r="C478" i="3" s="1" a="1"/>
  <c r="C478" i="3" s="1"/>
  <c r="B479" i="3"/>
  <c r="C479" i="3" s="1" a="1"/>
  <c r="C479" i="3" s="1"/>
  <c r="B480" i="3"/>
  <c r="C480" i="3" s="1" a="1"/>
  <c r="C480" i="3" s="1"/>
  <c r="B481" i="3"/>
  <c r="C481" i="3" s="1" a="1"/>
  <c r="C481" i="3" s="1"/>
  <c r="B482" i="3"/>
  <c r="C482" i="3" s="1" a="1"/>
  <c r="C482" i="3" s="1"/>
  <c r="B483" i="3"/>
  <c r="C483" i="3" s="1" a="1"/>
  <c r="C483" i="3" s="1"/>
  <c r="B484" i="3"/>
  <c r="C484" i="3" s="1" a="1"/>
  <c r="C484" i="3" s="1"/>
  <c r="B485" i="3"/>
  <c r="C485" i="3" s="1" a="1"/>
  <c r="C485" i="3" s="1"/>
  <c r="B486" i="3"/>
  <c r="C486" i="3" s="1" a="1"/>
  <c r="C486" i="3" s="1"/>
  <c r="B487" i="3"/>
  <c r="C487" i="3" s="1" a="1"/>
  <c r="C487" i="3" s="1"/>
  <c r="B488" i="3"/>
  <c r="C488" i="3" s="1" a="1"/>
  <c r="C488" i="3" s="1"/>
  <c r="B489" i="3"/>
  <c r="C489" i="3" s="1" a="1"/>
  <c r="C489" i="3" s="1"/>
  <c r="B490" i="3"/>
  <c r="C490" i="3" s="1" a="1"/>
  <c r="C490" i="3" s="1"/>
  <c r="B491" i="3"/>
  <c r="C491" i="3" s="1" a="1"/>
  <c r="C491" i="3" s="1"/>
  <c r="B492" i="3"/>
  <c r="C492" i="3" s="1" a="1"/>
  <c r="C492" i="3" s="1"/>
  <c r="B493" i="3"/>
  <c r="C493" i="3" s="1" a="1"/>
  <c r="C493" i="3" s="1"/>
  <c r="B494" i="3"/>
  <c r="C494" i="3" s="1" a="1"/>
  <c r="C494" i="3" s="1"/>
  <c r="B495" i="3"/>
  <c r="C495" i="3" s="1" a="1"/>
  <c r="C495" i="3" s="1"/>
  <c r="B496" i="3"/>
  <c r="C496" i="3" s="1" a="1"/>
  <c r="C496" i="3" s="1"/>
  <c r="B497" i="3"/>
  <c r="C497" i="3" s="1" a="1"/>
  <c r="C497" i="3" s="1"/>
  <c r="B498" i="3"/>
  <c r="C498" i="3" s="1" a="1"/>
  <c r="C498" i="3" s="1"/>
  <c r="B499" i="3"/>
  <c r="C499" i="3" s="1" a="1"/>
  <c r="C499" i="3" s="1"/>
  <c r="B500" i="3"/>
  <c r="C500" i="3" s="1" a="1"/>
  <c r="C500" i="3" s="1"/>
  <c r="B501" i="3"/>
  <c r="C501" i="3" s="1" a="1"/>
  <c r="C501" i="3" s="1"/>
  <c r="B502" i="3"/>
  <c r="C502" i="3" s="1" a="1"/>
  <c r="C502" i="3" s="1"/>
  <c r="B503" i="3"/>
  <c r="C503" i="3" s="1" a="1"/>
  <c r="C503" i="3" s="1"/>
  <c r="B504" i="3"/>
  <c r="C504" i="3" s="1" a="1"/>
  <c r="C504" i="3" s="1"/>
  <c r="B505" i="3"/>
  <c r="C505" i="3" s="1" a="1"/>
  <c r="C505" i="3" s="1"/>
  <c r="B506" i="3"/>
  <c r="C506" i="3" s="1" a="1"/>
  <c r="C506" i="3" s="1"/>
  <c r="B507" i="3"/>
  <c r="C507" i="3" s="1" a="1"/>
  <c r="C507" i="3" s="1"/>
  <c r="B508" i="3"/>
  <c r="C508" i="3" s="1" a="1"/>
  <c r="C508" i="3" s="1"/>
  <c r="B509" i="3"/>
  <c r="C509" i="3" s="1" a="1"/>
  <c r="C509" i="3" s="1"/>
  <c r="B510" i="3"/>
  <c r="C510" i="3" s="1" a="1"/>
  <c r="C510" i="3" s="1"/>
  <c r="B511" i="3"/>
  <c r="C511" i="3" s="1" a="1"/>
  <c r="C511" i="3" s="1"/>
  <c r="B512" i="3"/>
  <c r="C512" i="3" s="1" a="1"/>
  <c r="C512" i="3" s="1"/>
  <c r="B513" i="3"/>
  <c r="C513" i="3" s="1" a="1"/>
  <c r="C513" i="3" s="1"/>
  <c r="B514" i="3"/>
  <c r="C514" i="3" s="1" a="1"/>
  <c r="C514" i="3" s="1"/>
  <c r="B515" i="3"/>
  <c r="C515" i="3" s="1" a="1"/>
  <c r="C515" i="3" s="1"/>
  <c r="B516" i="3"/>
  <c r="C516" i="3" s="1" a="1"/>
  <c r="C516" i="3" s="1"/>
  <c r="B517" i="3"/>
  <c r="C517" i="3" s="1" a="1"/>
  <c r="C517" i="3" s="1"/>
  <c r="B518" i="3"/>
  <c r="C518" i="3" s="1" a="1"/>
  <c r="C518" i="3" s="1"/>
  <c r="B519" i="3"/>
  <c r="C519" i="3" s="1" a="1"/>
  <c r="C519" i="3" s="1"/>
  <c r="B520" i="3"/>
  <c r="C520" i="3" s="1" a="1"/>
  <c r="C520" i="3" s="1"/>
  <c r="B521" i="3"/>
  <c r="C521" i="3" s="1" a="1"/>
  <c r="C521" i="3" s="1"/>
  <c r="B522" i="3"/>
  <c r="C522" i="3" s="1" a="1"/>
  <c r="C522" i="3" s="1"/>
  <c r="B523" i="3"/>
  <c r="C523" i="3" s="1" a="1"/>
  <c r="C523" i="3" s="1"/>
  <c r="B524" i="3"/>
  <c r="C524" i="3" s="1" a="1"/>
  <c r="C524" i="3" s="1"/>
  <c r="B525" i="3"/>
  <c r="C525" i="3" s="1" a="1"/>
  <c r="C525" i="3" s="1"/>
  <c r="B526" i="3"/>
  <c r="C526" i="3" s="1" a="1"/>
  <c r="C526" i="3" s="1"/>
  <c r="B527" i="3"/>
  <c r="C527" i="3" s="1" a="1"/>
  <c r="C527" i="3" s="1"/>
  <c r="B528" i="3"/>
  <c r="C528" i="3" s="1" a="1"/>
  <c r="C528" i="3" s="1"/>
  <c r="B529" i="3"/>
  <c r="C529" i="3" s="1" a="1"/>
  <c r="C529" i="3" s="1"/>
  <c r="B530" i="3"/>
  <c r="C530" i="3" s="1" a="1"/>
  <c r="C530" i="3" s="1"/>
  <c r="B531" i="3"/>
  <c r="C531" i="3" s="1" a="1"/>
  <c r="C531" i="3" s="1"/>
  <c r="B532" i="3"/>
  <c r="C532" i="3" s="1" a="1"/>
  <c r="C532" i="3" s="1"/>
  <c r="B533" i="3"/>
  <c r="C533" i="3" s="1" a="1"/>
  <c r="C533" i="3" s="1"/>
  <c r="B534" i="3"/>
  <c r="C534" i="3" s="1" a="1"/>
  <c r="C534" i="3" s="1"/>
  <c r="B535" i="3"/>
  <c r="C535" i="3" s="1" a="1"/>
  <c r="C535" i="3" s="1"/>
  <c r="B536" i="3"/>
  <c r="C536" i="3" s="1" a="1"/>
  <c r="C536" i="3" s="1"/>
  <c r="B537" i="3"/>
  <c r="C537" i="3" s="1" a="1"/>
  <c r="C537" i="3" s="1"/>
  <c r="B538" i="3"/>
  <c r="C538" i="3" s="1" a="1"/>
  <c r="C538" i="3" s="1"/>
  <c r="B539" i="3"/>
  <c r="C539" i="3" s="1" a="1"/>
  <c r="C539" i="3" s="1"/>
  <c r="B540" i="3"/>
  <c r="C540" i="3" s="1" a="1"/>
  <c r="C540" i="3" s="1"/>
  <c r="B541" i="3"/>
  <c r="C541" i="3" s="1" a="1"/>
  <c r="C541" i="3" s="1"/>
  <c r="B542" i="3"/>
  <c r="C542" i="3" s="1" a="1"/>
  <c r="C542" i="3" s="1"/>
  <c r="B543" i="3"/>
  <c r="C543" i="3" s="1" a="1"/>
  <c r="C543" i="3" s="1"/>
  <c r="B544" i="3"/>
  <c r="C544" i="3" s="1" a="1"/>
  <c r="C544" i="3" s="1"/>
  <c r="B545" i="3"/>
  <c r="C545" i="3" s="1" a="1"/>
  <c r="C545" i="3" s="1"/>
  <c r="B546" i="3"/>
  <c r="C546" i="3" s="1" a="1"/>
  <c r="C546" i="3" s="1"/>
  <c r="B547" i="3"/>
  <c r="C547" i="3" s="1" a="1"/>
  <c r="C547" i="3" s="1"/>
  <c r="B548" i="3"/>
  <c r="C548" i="3" s="1" a="1"/>
  <c r="C548" i="3" s="1"/>
  <c r="B549" i="3"/>
  <c r="C549" i="3" s="1" a="1"/>
  <c r="C549" i="3" s="1"/>
  <c r="B550" i="3"/>
  <c r="C550" i="3" s="1" a="1"/>
  <c r="C550" i="3" s="1"/>
  <c r="B551" i="3"/>
  <c r="C551" i="3" s="1" a="1"/>
  <c r="C551" i="3" s="1"/>
  <c r="B552" i="3"/>
  <c r="C552" i="3" s="1" a="1"/>
  <c r="C552" i="3" s="1"/>
  <c r="B553" i="3"/>
  <c r="C553" i="3" s="1" a="1"/>
  <c r="C553" i="3" s="1"/>
  <c r="B554" i="3"/>
  <c r="C554" i="3" s="1" a="1"/>
  <c r="C554" i="3" s="1"/>
  <c r="B555" i="3"/>
  <c r="C555" i="3" s="1" a="1"/>
  <c r="C555" i="3" s="1"/>
  <c r="B556" i="3"/>
  <c r="C556" i="3" s="1" a="1"/>
  <c r="C556" i="3" s="1"/>
  <c r="B557" i="3"/>
  <c r="C557" i="3" s="1" a="1"/>
  <c r="C557" i="3" s="1"/>
  <c r="B558" i="3"/>
  <c r="C558" i="3" s="1" a="1"/>
  <c r="C558" i="3" s="1"/>
  <c r="B559" i="3"/>
  <c r="C559" i="3" s="1" a="1"/>
  <c r="C559" i="3" s="1"/>
  <c r="B560" i="3"/>
  <c r="C560" i="3" s="1" a="1"/>
  <c r="C560" i="3" s="1"/>
  <c r="B561" i="3"/>
  <c r="C561" i="3" s="1" a="1"/>
  <c r="C561" i="3" s="1"/>
  <c r="B562" i="3"/>
  <c r="C562" i="3" s="1" a="1"/>
  <c r="C562" i="3" s="1"/>
  <c r="B563" i="3"/>
  <c r="C563" i="3" s="1" a="1"/>
  <c r="C563" i="3" s="1"/>
  <c r="B564" i="3"/>
  <c r="C564" i="3" s="1" a="1"/>
  <c r="C564" i="3" s="1"/>
  <c r="B565" i="3"/>
  <c r="C565" i="3" s="1" a="1"/>
  <c r="C565" i="3" s="1"/>
  <c r="B566" i="3"/>
  <c r="C566" i="3" s="1" a="1"/>
  <c r="C566" i="3" s="1"/>
  <c r="B567" i="3"/>
  <c r="C567" i="3" s="1" a="1"/>
  <c r="C567" i="3" s="1"/>
  <c r="B568" i="3"/>
  <c r="C568" i="3" s="1" a="1"/>
  <c r="C568" i="3" s="1"/>
  <c r="B569" i="3"/>
  <c r="C569" i="3" s="1" a="1"/>
  <c r="C569" i="3" s="1"/>
  <c r="B570" i="3"/>
  <c r="C570" i="3" s="1" a="1"/>
  <c r="C570" i="3" s="1"/>
  <c r="B571" i="3"/>
  <c r="C571" i="3" s="1" a="1"/>
  <c r="C571" i="3" s="1"/>
  <c r="B572" i="3"/>
  <c r="C572" i="3" s="1" a="1"/>
  <c r="C572" i="3" s="1"/>
  <c r="B573" i="3"/>
  <c r="C573" i="3" s="1" a="1"/>
  <c r="C573" i="3" s="1"/>
  <c r="B574" i="3"/>
  <c r="C574" i="3" s="1" a="1"/>
  <c r="C574" i="3" s="1"/>
  <c r="B575" i="3"/>
  <c r="C575" i="3" s="1" a="1"/>
  <c r="C575" i="3" s="1"/>
  <c r="B576" i="3"/>
  <c r="C576" i="3" s="1" a="1"/>
  <c r="C576" i="3" s="1"/>
  <c r="B577" i="3"/>
  <c r="C577" i="3" s="1" a="1"/>
  <c r="C577" i="3" s="1"/>
  <c r="B578" i="3"/>
  <c r="C578" i="3" s="1" a="1"/>
  <c r="C578" i="3" s="1"/>
  <c r="B579" i="3"/>
  <c r="C579" i="3" s="1" a="1"/>
  <c r="C579" i="3" s="1"/>
  <c r="B580" i="3"/>
  <c r="C580" i="3" s="1" a="1"/>
  <c r="C580" i="3" s="1"/>
  <c r="B581" i="3"/>
  <c r="C581" i="3" s="1" a="1"/>
  <c r="C581" i="3" s="1"/>
  <c r="B582" i="3"/>
  <c r="C582" i="3" s="1" a="1"/>
  <c r="C582" i="3" s="1"/>
  <c r="B583" i="3"/>
  <c r="C583" i="3" s="1" a="1"/>
  <c r="C583" i="3" s="1"/>
  <c r="B584" i="3"/>
  <c r="C584" i="3" s="1" a="1"/>
  <c r="C584" i="3" s="1"/>
  <c r="B585" i="3"/>
  <c r="C585" i="3" s="1" a="1"/>
  <c r="C585" i="3" s="1"/>
  <c r="B586" i="3"/>
  <c r="C586" i="3" s="1" a="1"/>
  <c r="C586" i="3" s="1"/>
  <c r="B587" i="3"/>
  <c r="C587" i="3" s="1" a="1"/>
  <c r="C587" i="3" s="1"/>
  <c r="B588" i="3"/>
  <c r="C588" i="3" s="1" a="1"/>
  <c r="C588" i="3" s="1"/>
  <c r="B589" i="3"/>
  <c r="C589" i="3" s="1" a="1"/>
  <c r="C589" i="3" s="1"/>
  <c r="B590" i="3"/>
  <c r="C590" i="3" s="1" a="1"/>
  <c r="C590" i="3" s="1"/>
  <c r="B591" i="3"/>
  <c r="C591" i="3" s="1" a="1"/>
  <c r="C591" i="3" s="1"/>
  <c r="B592" i="3"/>
  <c r="C592" i="3" s="1" a="1"/>
  <c r="C592" i="3" s="1"/>
  <c r="B593" i="3"/>
  <c r="C593" i="3" s="1" a="1"/>
  <c r="C593" i="3" s="1"/>
  <c r="B594" i="3"/>
  <c r="C594" i="3" s="1" a="1"/>
  <c r="C594" i="3" s="1"/>
  <c r="B595" i="3"/>
  <c r="C595" i="3" s="1" a="1"/>
  <c r="C595" i="3" s="1"/>
  <c r="B596" i="3"/>
  <c r="C596" i="3" s="1" a="1"/>
  <c r="C596" i="3" s="1"/>
  <c r="B597" i="3"/>
  <c r="C597" i="3" s="1" a="1"/>
  <c r="C597" i="3" s="1"/>
  <c r="B598" i="3"/>
  <c r="C598" i="3" s="1" a="1"/>
  <c r="C598" i="3" s="1"/>
  <c r="B599" i="3"/>
  <c r="C599" i="3" s="1" a="1"/>
  <c r="C599" i="3" s="1"/>
  <c r="B600" i="3"/>
  <c r="C600" i="3" s="1" a="1"/>
  <c r="C600" i="3" s="1"/>
  <c r="B601" i="3"/>
  <c r="C601" i="3" s="1" a="1"/>
  <c r="C601" i="3" s="1"/>
  <c r="B602" i="3"/>
  <c r="C602" i="3" s="1" a="1"/>
  <c r="C602" i="3" s="1"/>
  <c r="B603" i="3"/>
  <c r="C603" i="3" s="1" a="1"/>
  <c r="C603" i="3" s="1"/>
  <c r="B604" i="3"/>
  <c r="C604" i="3" s="1" a="1"/>
  <c r="C604" i="3" s="1"/>
  <c r="B605" i="3"/>
  <c r="C605" i="3" s="1" a="1"/>
  <c r="C605" i="3" s="1"/>
  <c r="B606" i="3"/>
  <c r="C606" i="3" s="1" a="1"/>
  <c r="C606" i="3" s="1"/>
  <c r="B607" i="3"/>
  <c r="C607" i="3" s="1" a="1"/>
  <c r="C607" i="3" s="1"/>
  <c r="B608" i="3"/>
  <c r="C608" i="3" s="1" a="1"/>
  <c r="C608" i="3" s="1"/>
  <c r="B609" i="3"/>
  <c r="C609" i="3" s="1" a="1"/>
  <c r="C609" i="3" s="1"/>
  <c r="B610" i="3"/>
  <c r="C610" i="3" s="1" a="1"/>
  <c r="C610" i="3" s="1"/>
  <c r="B611" i="3"/>
  <c r="C611" i="3" s="1" a="1"/>
  <c r="C611" i="3" s="1"/>
  <c r="B612" i="3"/>
  <c r="C612" i="3" s="1" a="1"/>
  <c r="C612" i="3" s="1"/>
  <c r="B613" i="3"/>
  <c r="C613" i="3" s="1" a="1"/>
  <c r="C613" i="3" s="1"/>
  <c r="B614" i="3"/>
  <c r="C614" i="3" s="1" a="1"/>
  <c r="C614" i="3" s="1"/>
  <c r="B615" i="3"/>
  <c r="C615" i="3" s="1" a="1"/>
  <c r="C615" i="3" s="1"/>
  <c r="B616" i="3"/>
  <c r="C616" i="3" s="1" a="1"/>
  <c r="C616" i="3" s="1"/>
  <c r="B617" i="3"/>
  <c r="C617" i="3" s="1" a="1"/>
  <c r="C617" i="3" s="1"/>
  <c r="B618" i="3"/>
  <c r="C618" i="3" s="1" a="1"/>
  <c r="C618" i="3" s="1"/>
  <c r="B619" i="3"/>
  <c r="C619" i="3" s="1" a="1"/>
  <c r="C619" i="3" s="1"/>
  <c r="B620" i="3"/>
  <c r="C620" i="3" s="1" a="1"/>
  <c r="C620" i="3" s="1"/>
  <c r="B621" i="3"/>
  <c r="C621" i="3" s="1" a="1"/>
  <c r="C621" i="3" s="1"/>
  <c r="B622" i="3"/>
  <c r="C622" i="3" s="1" a="1"/>
  <c r="C622" i="3" s="1"/>
  <c r="B623" i="3"/>
  <c r="C623" i="3" s="1" a="1"/>
  <c r="C623" i="3" s="1"/>
  <c r="B624" i="3"/>
  <c r="C624" i="3" s="1" a="1"/>
  <c r="C624" i="3" s="1"/>
  <c r="B625" i="3"/>
  <c r="C625" i="3" s="1" a="1"/>
  <c r="C625" i="3" s="1"/>
  <c r="B626" i="3"/>
  <c r="C626" i="3" s="1" a="1"/>
  <c r="C626" i="3" s="1"/>
  <c r="B627" i="3"/>
  <c r="C627" i="3" s="1" a="1"/>
  <c r="C627" i="3" s="1"/>
  <c r="B628" i="3"/>
  <c r="C628" i="3" s="1" a="1"/>
  <c r="C628" i="3" s="1"/>
  <c r="B629" i="3"/>
  <c r="C629" i="3" s="1" a="1"/>
  <c r="C629" i="3" s="1"/>
  <c r="B630" i="3"/>
  <c r="C630" i="3" s="1" a="1"/>
  <c r="C630" i="3" s="1"/>
  <c r="B631" i="3"/>
  <c r="C631" i="3" s="1" a="1"/>
  <c r="C631" i="3" s="1"/>
  <c r="B632" i="3"/>
  <c r="C632" i="3" s="1" a="1"/>
  <c r="C632" i="3" s="1"/>
  <c r="B633" i="3"/>
  <c r="C633" i="3" s="1" a="1"/>
  <c r="C633" i="3" s="1"/>
  <c r="B634" i="3"/>
  <c r="C634" i="3" s="1" a="1"/>
  <c r="C634" i="3" s="1"/>
  <c r="B635" i="3"/>
  <c r="C635" i="3" s="1" a="1"/>
  <c r="C635" i="3" s="1"/>
  <c r="B636" i="3"/>
  <c r="C636" i="3" s="1" a="1"/>
  <c r="C636" i="3" s="1"/>
  <c r="B637" i="3"/>
  <c r="C637" i="3" s="1" a="1"/>
  <c r="C637" i="3" s="1"/>
  <c r="B638" i="3"/>
  <c r="C638" i="3" s="1" a="1"/>
  <c r="C638" i="3" s="1"/>
  <c r="B639" i="3"/>
  <c r="C639" i="3" s="1" a="1"/>
  <c r="C639" i="3" s="1"/>
  <c r="B640" i="3"/>
  <c r="C640" i="3" s="1" a="1"/>
  <c r="C640" i="3" s="1"/>
  <c r="B641" i="3"/>
  <c r="C641" i="3" s="1" a="1"/>
  <c r="C641" i="3" s="1"/>
  <c r="B642" i="3"/>
  <c r="C642" i="3" s="1" a="1"/>
  <c r="C642" i="3" s="1"/>
  <c r="B643" i="3"/>
  <c r="C643" i="3" s="1" a="1"/>
  <c r="C643" i="3" s="1"/>
  <c r="B644" i="3"/>
  <c r="C644" i="3" s="1" a="1"/>
  <c r="C644" i="3" s="1"/>
  <c r="B645" i="3"/>
  <c r="C645" i="3" s="1" a="1"/>
  <c r="C645" i="3" s="1"/>
  <c r="B646" i="3"/>
  <c r="C646" i="3" s="1" a="1"/>
  <c r="C646" i="3" s="1"/>
  <c r="B647" i="3"/>
  <c r="C647" i="3" s="1" a="1"/>
  <c r="C647" i="3" s="1"/>
  <c r="B648" i="3"/>
  <c r="C648" i="3" s="1" a="1"/>
  <c r="C648" i="3" s="1"/>
  <c r="B649" i="3"/>
  <c r="C649" i="3" s="1" a="1"/>
  <c r="C649" i="3" s="1"/>
  <c r="B650" i="3"/>
  <c r="C650" i="3" s="1" a="1"/>
  <c r="C650" i="3" s="1"/>
  <c r="B651" i="3"/>
  <c r="C651" i="3" s="1" a="1"/>
  <c r="C651" i="3" s="1"/>
  <c r="B652" i="3"/>
  <c r="C652" i="3" s="1" a="1"/>
  <c r="C652" i="3" s="1"/>
  <c r="B653" i="3"/>
  <c r="C653" i="3" s="1" a="1"/>
  <c r="C653" i="3" s="1"/>
  <c r="B654" i="3"/>
  <c r="C654" i="3" s="1" a="1"/>
  <c r="C654" i="3" s="1"/>
  <c r="B655" i="3"/>
  <c r="C655" i="3" s="1" a="1"/>
  <c r="C655" i="3" s="1"/>
  <c r="B656" i="3"/>
  <c r="C656" i="3" s="1" a="1"/>
  <c r="C656" i="3" s="1"/>
  <c r="B657" i="3"/>
  <c r="C657" i="3" s="1" a="1"/>
  <c r="C657" i="3" s="1"/>
  <c r="B658" i="3"/>
  <c r="C658" i="3" s="1" a="1"/>
  <c r="C658" i="3" s="1"/>
  <c r="B659" i="3"/>
  <c r="C659" i="3" s="1" a="1"/>
  <c r="C659" i="3" s="1"/>
  <c r="B660" i="3"/>
  <c r="C660" i="3" s="1" a="1"/>
  <c r="C660" i="3" s="1"/>
  <c r="B661" i="3"/>
  <c r="C661" i="3" s="1" a="1"/>
  <c r="C661" i="3" s="1"/>
  <c r="B662" i="3"/>
  <c r="C662" i="3" s="1" a="1"/>
  <c r="C662" i="3" s="1"/>
  <c r="B663" i="3"/>
  <c r="C663" i="3" s="1" a="1"/>
  <c r="C663" i="3" s="1"/>
  <c r="B664" i="3"/>
  <c r="C664" i="3" s="1" a="1"/>
  <c r="C664" i="3" s="1"/>
  <c r="B665" i="3"/>
  <c r="C665" i="3" s="1" a="1"/>
  <c r="C665" i="3" s="1"/>
  <c r="B666" i="3"/>
  <c r="C666" i="3" s="1" a="1"/>
  <c r="C666" i="3" s="1"/>
  <c r="B667" i="3"/>
  <c r="C667" i="3" s="1" a="1"/>
  <c r="C667" i="3" s="1"/>
  <c r="B668" i="3"/>
  <c r="C668" i="3" s="1" a="1"/>
  <c r="C668" i="3" s="1"/>
  <c r="B669" i="3"/>
  <c r="C669" i="3" s="1" a="1"/>
  <c r="C669" i="3" s="1"/>
  <c r="B670" i="3"/>
  <c r="C670" i="3" s="1" a="1"/>
  <c r="C670" i="3" s="1"/>
  <c r="B671" i="3"/>
  <c r="C671" i="3" s="1" a="1"/>
  <c r="C671" i="3" s="1"/>
  <c r="B672" i="3"/>
  <c r="C672" i="3" s="1" a="1"/>
  <c r="C672" i="3" s="1"/>
  <c r="B673" i="3"/>
  <c r="C673" i="3" s="1" a="1"/>
  <c r="C673" i="3" s="1"/>
  <c r="B674" i="3"/>
  <c r="C674" i="3" s="1" a="1"/>
  <c r="C674" i="3" s="1"/>
  <c r="B675" i="3"/>
  <c r="C675" i="3" s="1" a="1"/>
  <c r="C675" i="3" s="1"/>
  <c r="B676" i="3"/>
  <c r="C676" i="3" s="1" a="1"/>
  <c r="C676" i="3" s="1"/>
  <c r="B677" i="3"/>
  <c r="C677" i="3" s="1" a="1"/>
  <c r="C677" i="3" s="1"/>
  <c r="B678" i="3"/>
  <c r="C678" i="3" s="1" a="1"/>
  <c r="C678" i="3" s="1"/>
  <c r="B679" i="3"/>
  <c r="C679" i="3" s="1" a="1"/>
  <c r="C679" i="3" s="1"/>
  <c r="B680" i="3"/>
  <c r="C680" i="3" s="1" a="1"/>
  <c r="C680" i="3" s="1"/>
  <c r="B681" i="3"/>
  <c r="C681" i="3" s="1" a="1"/>
  <c r="C681" i="3" s="1"/>
  <c r="B682" i="3"/>
  <c r="C682" i="3" s="1" a="1"/>
  <c r="C682" i="3" s="1"/>
  <c r="B683" i="3"/>
  <c r="C683" i="3" s="1" a="1"/>
  <c r="C683" i="3" s="1"/>
  <c r="B684" i="3"/>
  <c r="C684" i="3" s="1" a="1"/>
  <c r="C684" i="3" s="1"/>
  <c r="B685" i="3"/>
  <c r="C685" i="3" s="1" a="1"/>
  <c r="C685" i="3" s="1"/>
  <c r="B686" i="3"/>
  <c r="C686" i="3" s="1" a="1"/>
  <c r="C686" i="3" s="1"/>
  <c r="B687" i="3"/>
  <c r="C687" i="3" s="1" a="1"/>
  <c r="C687" i="3" s="1"/>
  <c r="B688" i="3"/>
  <c r="C688" i="3" s="1" a="1"/>
  <c r="C688" i="3" s="1"/>
  <c r="B689" i="3"/>
  <c r="C689" i="3" s="1" a="1"/>
  <c r="C689" i="3" s="1"/>
  <c r="B690" i="3"/>
  <c r="C690" i="3" s="1" a="1"/>
  <c r="C690" i="3" s="1"/>
  <c r="B691" i="3"/>
  <c r="C691" i="3" s="1" a="1"/>
  <c r="C691" i="3" s="1"/>
  <c r="B692" i="3"/>
  <c r="C692" i="3" s="1" a="1"/>
  <c r="C692" i="3" s="1"/>
  <c r="B693" i="3"/>
  <c r="C693" i="3" s="1" a="1"/>
  <c r="C693" i="3" s="1"/>
  <c r="B694" i="3"/>
  <c r="C694" i="3" s="1" a="1"/>
  <c r="C694" i="3" s="1"/>
  <c r="B695" i="3"/>
  <c r="C695" i="3" s="1" a="1"/>
  <c r="C695" i="3" s="1"/>
  <c r="B696" i="3"/>
  <c r="C696" i="3" s="1" a="1"/>
  <c r="C696" i="3" s="1"/>
  <c r="B697" i="3"/>
  <c r="C697" i="3" s="1" a="1"/>
  <c r="C697" i="3" s="1"/>
  <c r="B698" i="3"/>
  <c r="C698" i="3" s="1" a="1"/>
  <c r="C698" i="3" s="1"/>
  <c r="B699" i="3"/>
  <c r="C699" i="3" s="1" a="1"/>
  <c r="C699" i="3" s="1"/>
  <c r="B700" i="3"/>
  <c r="C700" i="3" s="1" a="1"/>
  <c r="C700" i="3" s="1"/>
  <c r="B701" i="3"/>
  <c r="C701" i="3" s="1" a="1"/>
  <c r="C701" i="3" s="1"/>
  <c r="B702" i="3"/>
  <c r="C702" i="3" s="1" a="1"/>
  <c r="C702" i="3" s="1"/>
  <c r="B703" i="3"/>
  <c r="C703" i="3" s="1" a="1"/>
  <c r="C703" i="3" s="1"/>
  <c r="B704" i="3"/>
  <c r="C704" i="3" s="1" a="1"/>
  <c r="C704" i="3" s="1"/>
  <c r="B705" i="3"/>
  <c r="C705" i="3" s="1" a="1"/>
  <c r="C705" i="3" s="1"/>
  <c r="B706" i="3"/>
  <c r="C706" i="3" s="1" a="1"/>
  <c r="C706" i="3" s="1"/>
  <c r="B707" i="3"/>
  <c r="C707" i="3" s="1" a="1"/>
  <c r="C707" i="3" s="1"/>
  <c r="B708" i="3"/>
  <c r="C708" i="3" s="1" a="1"/>
  <c r="C708" i="3" s="1"/>
  <c r="B709" i="3"/>
  <c r="C709" i="3" s="1" a="1"/>
  <c r="C709" i="3" s="1"/>
  <c r="B710" i="3"/>
  <c r="C710" i="3" s="1" a="1"/>
  <c r="C710" i="3" s="1"/>
  <c r="B711" i="3"/>
  <c r="C711" i="3" s="1" a="1"/>
  <c r="C711" i="3" s="1"/>
  <c r="B712" i="3"/>
  <c r="C712" i="3" s="1" a="1"/>
  <c r="C712" i="3" s="1"/>
  <c r="B713" i="3"/>
  <c r="C713" i="3" s="1" a="1"/>
  <c r="C713" i="3" s="1"/>
  <c r="B714" i="3"/>
  <c r="C714" i="3" s="1" a="1"/>
  <c r="C714" i="3" s="1"/>
  <c r="B715" i="3"/>
  <c r="C715" i="3" s="1" a="1"/>
  <c r="C715" i="3" s="1"/>
  <c r="B716" i="3"/>
  <c r="C716" i="3" s="1" a="1"/>
  <c r="C716" i="3" s="1"/>
  <c r="B717" i="3"/>
  <c r="C717" i="3" s="1" a="1"/>
  <c r="C717" i="3" s="1"/>
  <c r="B718" i="3"/>
  <c r="C718" i="3" s="1" a="1"/>
  <c r="C718" i="3" s="1"/>
  <c r="B719" i="3"/>
  <c r="C719" i="3" s="1" a="1"/>
  <c r="C719" i="3" s="1"/>
  <c r="B720" i="3"/>
  <c r="C720" i="3" s="1" a="1"/>
  <c r="C720" i="3" s="1"/>
  <c r="B721" i="3"/>
  <c r="C721" i="3" s="1" a="1"/>
  <c r="C721" i="3" s="1"/>
  <c r="B722" i="3"/>
  <c r="C722" i="3" s="1" a="1"/>
  <c r="C722" i="3" s="1"/>
  <c r="B723" i="3"/>
  <c r="C723" i="3" s="1" a="1"/>
  <c r="C723" i="3" s="1"/>
  <c r="B724" i="3"/>
  <c r="C724" i="3" s="1" a="1"/>
  <c r="C724" i="3" s="1"/>
  <c r="B725" i="3"/>
  <c r="C725" i="3" s="1" a="1"/>
  <c r="C725" i="3" s="1"/>
  <c r="B726" i="3"/>
  <c r="C726" i="3" s="1" a="1"/>
  <c r="C726" i="3" s="1"/>
  <c r="B727" i="3"/>
  <c r="C727" i="3" s="1" a="1"/>
  <c r="C727" i="3" s="1"/>
  <c r="B728" i="3"/>
  <c r="C728" i="3" s="1" a="1"/>
  <c r="C728" i="3" s="1"/>
  <c r="B729" i="3"/>
  <c r="C729" i="3" s="1" a="1"/>
  <c r="C729" i="3" s="1"/>
  <c r="B730" i="3"/>
  <c r="C730" i="3" s="1" a="1"/>
  <c r="C730" i="3" s="1"/>
  <c r="B731" i="3"/>
  <c r="C731" i="3" s="1" a="1"/>
  <c r="C731" i="3" s="1"/>
  <c r="B732" i="3"/>
  <c r="C732" i="3" s="1" a="1"/>
  <c r="C732" i="3" s="1"/>
  <c r="B733" i="3"/>
  <c r="C733" i="3" s="1" a="1"/>
  <c r="C733" i="3" s="1"/>
  <c r="B734" i="3"/>
  <c r="C734" i="3" s="1" a="1"/>
  <c r="C734" i="3" s="1"/>
  <c r="B735" i="3"/>
  <c r="C735" i="3" s="1" a="1"/>
  <c r="C735" i="3" s="1"/>
  <c r="B736" i="3"/>
  <c r="C736" i="3" s="1" a="1"/>
  <c r="C736" i="3" s="1"/>
  <c r="B737" i="3"/>
  <c r="C737" i="3" s="1" a="1"/>
  <c r="C737" i="3" s="1"/>
  <c r="B738" i="3"/>
  <c r="C738" i="3" s="1" a="1"/>
  <c r="C738" i="3" s="1"/>
  <c r="B739" i="3"/>
  <c r="C739" i="3" s="1" a="1"/>
  <c r="C739" i="3" s="1"/>
  <c r="B740" i="3"/>
  <c r="C740" i="3" s="1" a="1"/>
  <c r="C740" i="3" s="1"/>
  <c r="B741" i="3"/>
  <c r="C741" i="3" s="1" a="1"/>
  <c r="C741" i="3" s="1"/>
  <c r="B742" i="3"/>
  <c r="C742" i="3" s="1" a="1"/>
  <c r="C742" i="3" s="1"/>
  <c r="B743" i="3"/>
  <c r="C743" i="3" s="1" a="1"/>
  <c r="C743" i="3" s="1"/>
  <c r="B744" i="3"/>
  <c r="C744" i="3" s="1" a="1"/>
  <c r="C744" i="3" s="1"/>
  <c r="B745" i="3"/>
  <c r="C745" i="3" s="1" a="1"/>
  <c r="C745" i="3" s="1"/>
  <c r="B746" i="3"/>
  <c r="C746" i="3" s="1" a="1"/>
  <c r="C746" i="3" s="1"/>
  <c r="B747" i="3"/>
  <c r="C747" i="3" s="1" a="1"/>
  <c r="C747" i="3" s="1"/>
  <c r="B748" i="3"/>
  <c r="C748" i="3" s="1" a="1"/>
  <c r="C748" i="3" s="1"/>
  <c r="B749" i="3"/>
  <c r="C749" i="3" s="1" a="1"/>
  <c r="C749" i="3" s="1"/>
  <c r="B750" i="3"/>
  <c r="C750" i="3" s="1" a="1"/>
  <c r="C750" i="3" s="1"/>
  <c r="B751" i="3"/>
  <c r="C751" i="3" s="1" a="1"/>
  <c r="C751" i="3" s="1"/>
  <c r="B752" i="3"/>
  <c r="C752" i="3" s="1" a="1"/>
  <c r="C752" i="3" s="1"/>
  <c r="B753" i="3"/>
  <c r="C753" i="3" s="1" a="1"/>
  <c r="C753" i="3" s="1"/>
  <c r="B754" i="3"/>
  <c r="C754" i="3" s="1" a="1"/>
  <c r="C754" i="3" s="1"/>
  <c r="B755" i="3"/>
  <c r="C755" i="3" s="1" a="1"/>
  <c r="C755" i="3" s="1"/>
  <c r="B756" i="3"/>
  <c r="C756" i="3" s="1" a="1"/>
  <c r="C756" i="3" s="1"/>
  <c r="B757" i="3"/>
  <c r="C757" i="3" s="1" a="1"/>
  <c r="C757" i="3" s="1"/>
  <c r="B758" i="3"/>
  <c r="C758" i="3" s="1" a="1"/>
  <c r="C758" i="3" s="1"/>
  <c r="B759" i="3"/>
  <c r="C759" i="3" s="1" a="1"/>
  <c r="C759" i="3" s="1"/>
  <c r="B760" i="3"/>
  <c r="C760" i="3" s="1" a="1"/>
  <c r="C760" i="3" s="1"/>
  <c r="B761" i="3"/>
  <c r="C761" i="3" s="1" a="1"/>
  <c r="C761" i="3" s="1"/>
  <c r="B762" i="3"/>
  <c r="C762" i="3" s="1" a="1"/>
  <c r="C762" i="3" s="1"/>
  <c r="B763" i="3"/>
  <c r="C763" i="3" s="1" a="1"/>
  <c r="C763" i="3" s="1"/>
  <c r="B764" i="3"/>
  <c r="C764" i="3" s="1" a="1"/>
  <c r="C764" i="3" s="1"/>
  <c r="B765" i="3"/>
  <c r="C765" i="3" s="1" a="1"/>
  <c r="C765" i="3" s="1"/>
  <c r="B766" i="3"/>
  <c r="C766" i="3" s="1" a="1"/>
  <c r="C766" i="3" s="1"/>
  <c r="B767" i="3"/>
  <c r="C767" i="3" s="1" a="1"/>
  <c r="C767" i="3" s="1"/>
  <c r="B768" i="3"/>
  <c r="C768" i="3" s="1" a="1"/>
  <c r="C768" i="3" s="1"/>
  <c r="B769" i="3"/>
  <c r="C769" i="3" s="1" a="1"/>
  <c r="C769" i="3" s="1"/>
  <c r="B770" i="3"/>
  <c r="C770" i="3" s="1" a="1"/>
  <c r="C770" i="3" s="1"/>
  <c r="B771" i="3"/>
  <c r="C771" i="3" s="1" a="1"/>
  <c r="C771" i="3" s="1"/>
  <c r="B772" i="3"/>
  <c r="C772" i="3" s="1" a="1"/>
  <c r="C772" i="3" s="1"/>
  <c r="B773" i="3"/>
  <c r="C773" i="3" s="1" a="1"/>
  <c r="C773" i="3" s="1"/>
  <c r="B774" i="3"/>
  <c r="C774" i="3" s="1" a="1"/>
  <c r="C774" i="3" s="1"/>
  <c r="B775" i="3"/>
  <c r="C775" i="3" s="1" a="1"/>
  <c r="C775" i="3" s="1"/>
  <c r="B776" i="3"/>
  <c r="C776" i="3" s="1" a="1"/>
  <c r="C776" i="3" s="1"/>
  <c r="B777" i="3"/>
  <c r="C777" i="3" s="1" a="1"/>
  <c r="C777" i="3" s="1"/>
  <c r="B778" i="3"/>
  <c r="C778" i="3" s="1" a="1"/>
  <c r="C778" i="3" s="1"/>
  <c r="B779" i="3"/>
  <c r="C779" i="3" s="1" a="1"/>
  <c r="C779" i="3" s="1"/>
  <c r="B780" i="3"/>
  <c r="C780" i="3" s="1" a="1"/>
  <c r="C780" i="3" s="1"/>
  <c r="B781" i="3"/>
  <c r="C781" i="3" s="1" a="1"/>
  <c r="C781" i="3" s="1"/>
  <c r="B782" i="3"/>
  <c r="C782" i="3" s="1" a="1"/>
  <c r="C782" i="3" s="1"/>
  <c r="B783" i="3"/>
  <c r="C783" i="3" s="1" a="1"/>
  <c r="C783" i="3" s="1"/>
  <c r="B784" i="3"/>
  <c r="C784" i="3" s="1" a="1"/>
  <c r="C784" i="3" s="1"/>
  <c r="B785" i="3"/>
  <c r="C785" i="3" s="1" a="1"/>
  <c r="C785" i="3" s="1"/>
  <c r="B786" i="3"/>
  <c r="C786" i="3" s="1" a="1"/>
  <c r="C786" i="3" s="1"/>
  <c r="B787" i="3"/>
  <c r="C787" i="3" s="1" a="1"/>
  <c r="C787" i="3" s="1"/>
  <c r="B788" i="3"/>
  <c r="C788" i="3" s="1" a="1"/>
  <c r="C788" i="3" s="1"/>
  <c r="B789" i="3"/>
  <c r="C789" i="3" s="1" a="1"/>
  <c r="C789" i="3" s="1"/>
  <c r="B790" i="3"/>
  <c r="C790" i="3" s="1" a="1"/>
  <c r="C790" i="3" s="1"/>
  <c r="B791" i="3"/>
  <c r="C791" i="3" s="1" a="1"/>
  <c r="C791" i="3" s="1"/>
  <c r="B792" i="3"/>
  <c r="C792" i="3" s="1" a="1"/>
  <c r="C792" i="3" s="1"/>
  <c r="B793" i="3"/>
  <c r="C793" i="3" s="1" a="1"/>
  <c r="C793" i="3" s="1"/>
  <c r="B794" i="3"/>
  <c r="C794" i="3" s="1" a="1"/>
  <c r="C794" i="3" s="1"/>
  <c r="B795" i="3"/>
  <c r="C795" i="3" s="1" a="1"/>
  <c r="C795" i="3" s="1"/>
  <c r="B796" i="3"/>
  <c r="C796" i="3" s="1" a="1"/>
  <c r="C796" i="3" s="1"/>
  <c r="B797" i="3"/>
  <c r="C797" i="3" s="1" a="1"/>
  <c r="C797" i="3" s="1"/>
  <c r="B798" i="3"/>
  <c r="C798" i="3" s="1" a="1"/>
  <c r="C798" i="3" s="1"/>
  <c r="B799" i="3"/>
  <c r="C799" i="3" s="1" a="1"/>
  <c r="C799" i="3" s="1"/>
  <c r="B800" i="3"/>
  <c r="C800" i="3" s="1" a="1"/>
  <c r="C800" i="3" s="1"/>
  <c r="B801" i="3"/>
  <c r="C801" i="3" s="1" a="1"/>
  <c r="C801" i="3" s="1"/>
  <c r="B802" i="3"/>
  <c r="C802" i="3" s="1" a="1"/>
  <c r="C802" i="3" s="1"/>
  <c r="B803" i="3"/>
  <c r="C803" i="3" s="1" a="1"/>
  <c r="C803" i="3" s="1"/>
  <c r="B804" i="3"/>
  <c r="C804" i="3" s="1" a="1"/>
  <c r="C804" i="3" s="1"/>
  <c r="B805" i="3"/>
  <c r="C805" i="3" s="1" a="1"/>
  <c r="C805" i="3" s="1"/>
  <c r="B806" i="3"/>
  <c r="C806" i="3" s="1" a="1"/>
  <c r="C806" i="3" s="1"/>
  <c r="B807" i="3"/>
  <c r="C807" i="3" s="1" a="1"/>
  <c r="C807" i="3" s="1"/>
  <c r="B808" i="3"/>
  <c r="C808" i="3" s="1" a="1"/>
  <c r="C808" i="3" s="1"/>
  <c r="B809" i="3"/>
  <c r="C809" i="3" s="1" a="1"/>
  <c r="C809" i="3" s="1"/>
  <c r="B810" i="3"/>
  <c r="C810" i="3" s="1" a="1"/>
  <c r="C810" i="3" s="1"/>
  <c r="B811" i="3"/>
  <c r="C811" i="3" s="1" a="1"/>
  <c r="C811" i="3" s="1"/>
  <c r="B812" i="3"/>
  <c r="C812" i="3" s="1" a="1"/>
  <c r="C812" i="3" s="1"/>
  <c r="B813" i="3"/>
  <c r="C813" i="3" s="1" a="1"/>
  <c r="C813" i="3" s="1"/>
  <c r="B814" i="3"/>
  <c r="C814" i="3" s="1" a="1"/>
  <c r="C814" i="3" s="1"/>
  <c r="B815" i="3"/>
  <c r="C815" i="3" s="1" a="1"/>
  <c r="C815" i="3" s="1"/>
  <c r="B816" i="3"/>
  <c r="C816" i="3" s="1" a="1"/>
  <c r="C816" i="3" s="1"/>
  <c r="B817" i="3"/>
  <c r="C817" i="3" s="1" a="1"/>
  <c r="C817" i="3" s="1"/>
  <c r="B818" i="3"/>
  <c r="C818" i="3" s="1" a="1"/>
  <c r="C818" i="3" s="1"/>
  <c r="B819" i="3"/>
  <c r="C819" i="3" s="1" a="1"/>
  <c r="C819" i="3" s="1"/>
  <c r="B820" i="3"/>
  <c r="C820" i="3" s="1" a="1"/>
  <c r="C820" i="3" s="1"/>
  <c r="B821" i="3"/>
  <c r="C821" i="3" s="1" a="1"/>
  <c r="C821" i="3" s="1"/>
  <c r="B822" i="3"/>
  <c r="C822" i="3" s="1" a="1"/>
  <c r="C822" i="3" s="1"/>
  <c r="B823" i="3"/>
  <c r="C823" i="3" s="1" a="1"/>
  <c r="C823" i="3" s="1"/>
  <c r="B824" i="3"/>
  <c r="C824" i="3" s="1" a="1"/>
  <c r="C824" i="3" s="1"/>
  <c r="B825" i="3"/>
  <c r="C825" i="3" s="1" a="1"/>
  <c r="C825" i="3" s="1"/>
  <c r="B826" i="3"/>
  <c r="C826" i="3" s="1" a="1"/>
  <c r="C826" i="3" s="1"/>
  <c r="B827" i="3"/>
  <c r="C827" i="3" s="1" a="1"/>
  <c r="C827" i="3" s="1"/>
  <c r="B828" i="3"/>
  <c r="C828" i="3" s="1" a="1"/>
  <c r="C828" i="3" s="1"/>
  <c r="B829" i="3"/>
  <c r="C829" i="3" s="1" a="1"/>
  <c r="C829" i="3" s="1"/>
  <c r="B830" i="3"/>
  <c r="C830" i="3" s="1" a="1"/>
  <c r="C830" i="3" s="1"/>
  <c r="B831" i="3"/>
  <c r="C831" i="3" s="1" a="1"/>
  <c r="C831" i="3" s="1"/>
  <c r="B832" i="3"/>
  <c r="C832" i="3" s="1" a="1"/>
  <c r="C832" i="3" s="1"/>
  <c r="B833" i="3"/>
  <c r="C833" i="3" s="1" a="1"/>
  <c r="C833" i="3" s="1"/>
  <c r="B834" i="3"/>
  <c r="C834" i="3" s="1" a="1"/>
  <c r="C834" i="3" s="1"/>
  <c r="B835" i="3"/>
  <c r="C835" i="3" s="1" a="1"/>
  <c r="C835" i="3" s="1"/>
  <c r="B836" i="3"/>
  <c r="C836" i="3" s="1" a="1"/>
  <c r="C836" i="3" s="1"/>
  <c r="B837" i="3"/>
  <c r="C837" i="3" s="1" a="1"/>
  <c r="C837" i="3" s="1"/>
  <c r="B838" i="3"/>
  <c r="C838" i="3" s="1" a="1"/>
  <c r="C838" i="3" s="1"/>
  <c r="B839" i="3"/>
  <c r="C839" i="3" s="1" a="1"/>
  <c r="C839" i="3" s="1"/>
  <c r="B840" i="3"/>
  <c r="C840" i="3" s="1" a="1"/>
  <c r="C840" i="3" s="1"/>
  <c r="B841" i="3"/>
  <c r="C841" i="3" s="1" a="1"/>
  <c r="C841" i="3" s="1"/>
  <c r="B842" i="3"/>
  <c r="C842" i="3" s="1" a="1"/>
  <c r="C842" i="3" s="1"/>
  <c r="B843" i="3"/>
  <c r="C843" i="3" s="1" a="1"/>
  <c r="C843" i="3" s="1"/>
  <c r="B844" i="3"/>
  <c r="C844" i="3" s="1" a="1"/>
  <c r="C844" i="3" s="1"/>
  <c r="B845" i="3"/>
  <c r="C845" i="3" s="1" a="1"/>
  <c r="C845" i="3" s="1"/>
  <c r="B846" i="3"/>
  <c r="C846" i="3" s="1" a="1"/>
  <c r="C846" i="3" s="1"/>
  <c r="B847" i="3"/>
  <c r="C847" i="3" s="1" a="1"/>
  <c r="C847" i="3" s="1"/>
  <c r="B848" i="3"/>
  <c r="C848" i="3" s="1" a="1"/>
  <c r="C848" i="3" s="1"/>
  <c r="B849" i="3"/>
  <c r="C849" i="3" s="1" a="1"/>
  <c r="C849" i="3" s="1"/>
  <c r="B850" i="3"/>
  <c r="C850" i="3" s="1" a="1"/>
  <c r="C850" i="3" s="1"/>
  <c r="B851" i="3"/>
  <c r="C851" i="3" s="1" a="1"/>
  <c r="C851" i="3" s="1"/>
  <c r="B852" i="3"/>
  <c r="C852" i="3" s="1" a="1"/>
  <c r="C852" i="3" s="1"/>
  <c r="B853" i="3"/>
  <c r="C853" i="3" s="1" a="1"/>
  <c r="C853" i="3" s="1"/>
  <c r="B854" i="3"/>
  <c r="C854" i="3" s="1" a="1"/>
  <c r="C854" i="3" s="1"/>
  <c r="B855" i="3"/>
  <c r="C855" i="3" s="1" a="1"/>
  <c r="C855" i="3" s="1"/>
  <c r="B856" i="3"/>
  <c r="C856" i="3" s="1" a="1"/>
  <c r="C856" i="3" s="1"/>
  <c r="B857" i="3"/>
  <c r="C857" i="3" s="1" a="1"/>
  <c r="C857" i="3" s="1"/>
  <c r="B858" i="3"/>
  <c r="C858" i="3" s="1" a="1"/>
  <c r="C858" i="3" s="1"/>
  <c r="B859" i="3"/>
  <c r="C859" i="3" s="1" a="1"/>
  <c r="C859" i="3" s="1"/>
  <c r="B860" i="3"/>
  <c r="C860" i="3" s="1" a="1"/>
  <c r="C860" i="3" s="1"/>
  <c r="B861" i="3"/>
  <c r="C861" i="3" s="1" a="1"/>
  <c r="C861" i="3" s="1"/>
  <c r="B862" i="3"/>
  <c r="C862" i="3" s="1" a="1"/>
  <c r="C862" i="3" s="1"/>
  <c r="B863" i="3"/>
  <c r="C863" i="3" s="1" a="1"/>
  <c r="C863" i="3" s="1"/>
  <c r="B864" i="3"/>
  <c r="C864" i="3" s="1" a="1"/>
  <c r="C864" i="3" s="1"/>
  <c r="B865" i="3"/>
  <c r="C865" i="3" s="1" a="1"/>
  <c r="C865" i="3" s="1"/>
  <c r="B866" i="3"/>
  <c r="C866" i="3" s="1" a="1"/>
  <c r="C866" i="3" s="1"/>
  <c r="B867" i="3"/>
  <c r="C867" i="3" s="1" a="1"/>
  <c r="C867" i="3" s="1"/>
  <c r="B868" i="3"/>
  <c r="C868" i="3" s="1" a="1"/>
  <c r="C868" i="3" s="1"/>
  <c r="B869" i="3"/>
  <c r="C869" i="3" s="1" a="1"/>
  <c r="C869" i="3" s="1"/>
  <c r="B870" i="3"/>
  <c r="C870" i="3" s="1" a="1"/>
  <c r="C870" i="3" s="1"/>
  <c r="B871" i="3"/>
  <c r="C871" i="3" s="1" a="1"/>
  <c r="C871" i="3" s="1"/>
  <c r="B872" i="3"/>
  <c r="C872" i="3" s="1" a="1"/>
  <c r="C872" i="3" s="1"/>
  <c r="B873" i="3"/>
  <c r="C873" i="3" s="1" a="1"/>
  <c r="C873" i="3" s="1"/>
  <c r="B874" i="3"/>
  <c r="C874" i="3" s="1" a="1"/>
  <c r="C874" i="3" s="1"/>
  <c r="B875" i="3"/>
  <c r="C875" i="3" s="1" a="1"/>
  <c r="C875" i="3" s="1"/>
  <c r="B876" i="3"/>
  <c r="C876" i="3" s="1" a="1"/>
  <c r="C876" i="3" s="1"/>
  <c r="B877" i="3"/>
  <c r="C877" i="3" s="1" a="1"/>
  <c r="C877" i="3" s="1"/>
  <c r="B878" i="3"/>
  <c r="C878" i="3" s="1" a="1"/>
  <c r="C878" i="3" s="1"/>
  <c r="B879" i="3"/>
  <c r="C879" i="3" s="1" a="1"/>
  <c r="C879" i="3" s="1"/>
  <c r="B880" i="3"/>
  <c r="C880" i="3" s="1" a="1"/>
  <c r="C880" i="3" s="1"/>
  <c r="B881" i="3"/>
  <c r="C881" i="3" s="1" a="1"/>
  <c r="C881" i="3" s="1"/>
  <c r="B882" i="3"/>
  <c r="C882" i="3" s="1" a="1"/>
  <c r="C882" i="3" s="1"/>
  <c r="B883" i="3"/>
  <c r="C883" i="3" s="1" a="1"/>
  <c r="C883" i="3" s="1"/>
  <c r="B884" i="3"/>
  <c r="C884" i="3" s="1" a="1"/>
  <c r="C884" i="3" s="1"/>
  <c r="B885" i="3"/>
  <c r="C885" i="3" s="1" a="1"/>
  <c r="C885" i="3" s="1"/>
  <c r="B886" i="3"/>
  <c r="C886" i="3" s="1" a="1"/>
  <c r="C886" i="3" s="1"/>
  <c r="B887" i="3"/>
  <c r="C887" i="3" s="1" a="1"/>
  <c r="C887" i="3" s="1"/>
  <c r="B888" i="3"/>
  <c r="C888" i="3" s="1" a="1"/>
  <c r="C888" i="3" s="1"/>
  <c r="B889" i="3"/>
  <c r="C889" i="3" s="1" a="1"/>
  <c r="C889" i="3" s="1"/>
  <c r="B890" i="3"/>
  <c r="C890" i="3" s="1" a="1"/>
  <c r="C890" i="3" s="1"/>
  <c r="B891" i="3"/>
  <c r="C891" i="3" s="1" a="1"/>
  <c r="C891" i="3" s="1"/>
  <c r="B892" i="3"/>
  <c r="C892" i="3" s="1" a="1"/>
  <c r="C892" i="3" s="1"/>
  <c r="B893" i="3"/>
  <c r="C893" i="3" s="1" a="1"/>
  <c r="C893" i="3" s="1"/>
  <c r="B894" i="3"/>
  <c r="C894" i="3" s="1" a="1"/>
  <c r="C894" i="3" s="1"/>
  <c r="B895" i="3"/>
  <c r="C895" i="3" s="1" a="1"/>
  <c r="C895" i="3" s="1"/>
  <c r="B896" i="3"/>
  <c r="C896" i="3" s="1" a="1"/>
  <c r="C896" i="3" s="1"/>
  <c r="B897" i="3"/>
  <c r="C897" i="3" s="1" a="1"/>
  <c r="C897" i="3" s="1"/>
  <c r="B898" i="3"/>
  <c r="C898" i="3" s="1" a="1"/>
  <c r="C898" i="3" s="1"/>
  <c r="B899" i="3"/>
  <c r="C899" i="3" s="1" a="1"/>
  <c r="C899" i="3" s="1"/>
  <c r="B900" i="3"/>
  <c r="C900" i="3" s="1" a="1"/>
  <c r="C900" i="3" s="1"/>
  <c r="B901" i="3"/>
  <c r="C901" i="3" s="1" a="1"/>
  <c r="C901" i="3" s="1"/>
  <c r="B902" i="3"/>
  <c r="C902" i="3" s="1" a="1"/>
  <c r="C902" i="3" s="1"/>
  <c r="B903" i="3"/>
  <c r="C903" i="3" s="1" a="1"/>
  <c r="C903" i="3" s="1"/>
  <c r="B904" i="3"/>
  <c r="C904" i="3" s="1" a="1"/>
  <c r="C904" i="3" s="1"/>
  <c r="B905" i="3"/>
  <c r="C905" i="3" s="1" a="1"/>
  <c r="C905" i="3" s="1"/>
  <c r="B906" i="3"/>
  <c r="C906" i="3" s="1" a="1"/>
  <c r="C906" i="3" s="1"/>
  <c r="B907" i="3"/>
  <c r="C907" i="3" s="1" a="1"/>
  <c r="C907" i="3" s="1"/>
  <c r="B908" i="3"/>
  <c r="C908" i="3" s="1" a="1"/>
  <c r="C908" i="3" s="1"/>
  <c r="B909" i="3"/>
  <c r="C909" i="3" s="1" a="1"/>
  <c r="C909" i="3" s="1"/>
  <c r="B910" i="3"/>
  <c r="C910" i="3" s="1" a="1"/>
  <c r="C910" i="3" s="1"/>
  <c r="B911" i="3"/>
  <c r="C911" i="3" s="1" a="1"/>
  <c r="C911" i="3" s="1"/>
  <c r="B912" i="3"/>
  <c r="C912" i="3" s="1" a="1"/>
  <c r="C912" i="3" s="1"/>
  <c r="B913" i="3"/>
  <c r="C913" i="3" s="1" a="1"/>
  <c r="C913" i="3" s="1"/>
  <c r="B914" i="3"/>
  <c r="C914" i="3" s="1" a="1"/>
  <c r="C914" i="3" s="1"/>
  <c r="B915" i="3"/>
  <c r="C915" i="3" s="1" a="1"/>
  <c r="C915" i="3" s="1"/>
  <c r="B916" i="3"/>
  <c r="C916" i="3" s="1" a="1"/>
  <c r="C916" i="3" s="1"/>
  <c r="B917" i="3"/>
  <c r="C917" i="3" s="1" a="1"/>
  <c r="C917" i="3" s="1"/>
  <c r="B918" i="3"/>
  <c r="C918" i="3" s="1" a="1"/>
  <c r="C918" i="3" s="1"/>
  <c r="B919" i="3"/>
  <c r="C919" i="3" s="1" a="1"/>
  <c r="C919" i="3" s="1"/>
  <c r="B920" i="3"/>
  <c r="C920" i="3" s="1" a="1"/>
  <c r="C920" i="3" s="1"/>
  <c r="B921" i="3"/>
  <c r="C921" i="3" s="1" a="1"/>
  <c r="C921" i="3" s="1"/>
  <c r="B922" i="3"/>
  <c r="C922" i="3" s="1" a="1"/>
  <c r="C922" i="3" s="1"/>
  <c r="B923" i="3"/>
  <c r="C923" i="3" s="1" a="1"/>
  <c r="C923" i="3" s="1"/>
  <c r="B924" i="3"/>
  <c r="C924" i="3" s="1" a="1"/>
  <c r="C924" i="3" s="1"/>
  <c r="B925" i="3"/>
  <c r="C925" i="3" s="1" a="1"/>
  <c r="C925" i="3" s="1"/>
  <c r="B926" i="3"/>
  <c r="C926" i="3" s="1" a="1"/>
  <c r="C926" i="3" s="1"/>
  <c r="B927" i="3"/>
  <c r="C927" i="3" s="1" a="1"/>
  <c r="C927" i="3" s="1"/>
  <c r="B928" i="3"/>
  <c r="C928" i="3" s="1" a="1"/>
  <c r="C928" i="3" s="1"/>
  <c r="B929" i="3"/>
  <c r="C929" i="3" s="1" a="1"/>
  <c r="C929" i="3" s="1"/>
  <c r="B930" i="3"/>
  <c r="C930" i="3" s="1" a="1"/>
  <c r="C930" i="3" s="1"/>
  <c r="B931" i="3"/>
  <c r="C931" i="3" s="1" a="1"/>
  <c r="C931" i="3" s="1"/>
  <c r="B932" i="3"/>
  <c r="C932" i="3" s="1" a="1"/>
  <c r="C932" i="3" s="1"/>
  <c r="B933" i="3"/>
  <c r="C933" i="3" s="1" a="1"/>
  <c r="C933" i="3" s="1"/>
  <c r="B934" i="3"/>
  <c r="C934" i="3" s="1" a="1"/>
  <c r="C934" i="3" s="1"/>
  <c r="B935" i="3"/>
  <c r="C935" i="3" s="1" a="1"/>
  <c r="C935" i="3" s="1"/>
  <c r="B936" i="3"/>
  <c r="C936" i="3" s="1" a="1"/>
  <c r="C936" i="3" s="1"/>
  <c r="B937" i="3"/>
  <c r="C937" i="3" s="1" a="1"/>
  <c r="C937" i="3" s="1"/>
  <c r="B938" i="3"/>
  <c r="C938" i="3" s="1" a="1"/>
  <c r="C938" i="3" s="1"/>
  <c r="B939" i="3"/>
  <c r="C939" i="3" s="1" a="1"/>
  <c r="C939" i="3" s="1"/>
  <c r="B940" i="3"/>
  <c r="C940" i="3" s="1" a="1"/>
  <c r="C940" i="3" s="1"/>
  <c r="B941" i="3"/>
  <c r="C941" i="3" s="1" a="1"/>
  <c r="C941" i="3" s="1"/>
  <c r="B942" i="3"/>
  <c r="C942" i="3" s="1" a="1"/>
  <c r="C942" i="3" s="1"/>
  <c r="B943" i="3"/>
  <c r="C943" i="3" s="1" a="1"/>
  <c r="C943" i="3" s="1"/>
  <c r="B944" i="3"/>
  <c r="C944" i="3" s="1" a="1"/>
  <c r="C944" i="3" s="1"/>
  <c r="B945" i="3"/>
  <c r="C945" i="3" s="1" a="1"/>
  <c r="C945" i="3" s="1"/>
  <c r="B946" i="3"/>
  <c r="C946" i="3" s="1" a="1"/>
  <c r="C946" i="3" s="1"/>
  <c r="B947" i="3"/>
  <c r="C947" i="3" s="1" a="1"/>
  <c r="C947" i="3" s="1"/>
  <c r="B948" i="3"/>
  <c r="C948" i="3" s="1" a="1"/>
  <c r="C948" i="3" s="1"/>
  <c r="B949" i="3"/>
  <c r="C949" i="3" s="1" a="1"/>
  <c r="C949" i="3" s="1"/>
  <c r="B950" i="3"/>
  <c r="C950" i="3" s="1" a="1"/>
  <c r="C950" i="3" s="1"/>
  <c r="B951" i="3"/>
  <c r="C951" i="3" s="1" a="1"/>
  <c r="C951" i="3" s="1"/>
  <c r="B952" i="3"/>
  <c r="C952" i="3" s="1" a="1"/>
  <c r="C952" i="3" s="1"/>
  <c r="B953" i="3"/>
  <c r="C953" i="3" s="1" a="1"/>
  <c r="C953" i="3" s="1"/>
  <c r="B954" i="3"/>
  <c r="C954" i="3" s="1" a="1"/>
  <c r="C954" i="3" s="1"/>
  <c r="B955" i="3"/>
  <c r="C955" i="3" s="1" a="1"/>
  <c r="C955" i="3" s="1"/>
  <c r="B956" i="3"/>
  <c r="C956" i="3" s="1" a="1"/>
  <c r="C956" i="3" s="1"/>
  <c r="B957" i="3"/>
  <c r="C957" i="3" s="1" a="1"/>
  <c r="C957" i="3" s="1"/>
  <c r="B958" i="3"/>
  <c r="C958" i="3" s="1" a="1"/>
  <c r="C958" i="3" s="1"/>
  <c r="B959" i="3"/>
  <c r="C959" i="3" s="1" a="1"/>
  <c r="C959" i="3" s="1"/>
  <c r="B960" i="3"/>
  <c r="C960" i="3" s="1" a="1"/>
  <c r="C960" i="3" s="1"/>
  <c r="B961" i="3"/>
  <c r="C961" i="3" s="1" a="1"/>
  <c r="C961" i="3" s="1"/>
  <c r="B962" i="3"/>
  <c r="C962" i="3" s="1" a="1"/>
  <c r="C962" i="3" s="1"/>
  <c r="B963" i="3"/>
  <c r="C963" i="3" s="1" a="1"/>
  <c r="C963" i="3" s="1"/>
  <c r="B964" i="3"/>
  <c r="C964" i="3" s="1" a="1"/>
  <c r="C964" i="3" s="1"/>
  <c r="B965" i="3"/>
  <c r="C965" i="3" s="1" a="1"/>
  <c r="C965" i="3" s="1"/>
  <c r="B966" i="3"/>
  <c r="C966" i="3" s="1" a="1"/>
  <c r="C966" i="3" s="1"/>
  <c r="B967" i="3"/>
  <c r="C967" i="3" s="1" a="1"/>
  <c r="C967" i="3" s="1"/>
  <c r="B968" i="3"/>
  <c r="C968" i="3" s="1" a="1"/>
  <c r="C968" i="3" s="1"/>
  <c r="B969" i="3"/>
  <c r="C969" i="3" s="1" a="1"/>
  <c r="C969" i="3" s="1"/>
  <c r="B970" i="3"/>
  <c r="C970" i="3" s="1" a="1"/>
  <c r="C970" i="3" s="1"/>
  <c r="B971" i="3"/>
  <c r="C971" i="3" s="1" a="1"/>
  <c r="C971" i="3" s="1"/>
  <c r="B972" i="3"/>
  <c r="C972" i="3" s="1" a="1"/>
  <c r="C972" i="3" s="1"/>
  <c r="B973" i="3"/>
  <c r="C973" i="3" s="1" a="1"/>
  <c r="C973" i="3" s="1"/>
  <c r="B974" i="3"/>
  <c r="C974" i="3" s="1" a="1"/>
  <c r="C974" i="3" s="1"/>
  <c r="B975" i="3"/>
  <c r="C975" i="3" s="1" a="1"/>
  <c r="C975" i="3" s="1"/>
  <c r="B976" i="3"/>
  <c r="C976" i="3" s="1" a="1"/>
  <c r="C976" i="3" s="1"/>
  <c r="B977" i="3"/>
  <c r="C977" i="3" s="1" a="1"/>
  <c r="C977" i="3" s="1"/>
  <c r="B978" i="3"/>
  <c r="C978" i="3" s="1" a="1"/>
  <c r="C978" i="3" s="1"/>
  <c r="B979" i="3"/>
  <c r="C979" i="3" s="1" a="1"/>
  <c r="C979" i="3" s="1"/>
  <c r="B980" i="3"/>
  <c r="C980" i="3" s="1" a="1"/>
  <c r="C980" i="3" s="1"/>
  <c r="B981" i="3"/>
  <c r="C981" i="3" s="1" a="1"/>
  <c r="C981" i="3" s="1"/>
  <c r="B982" i="3"/>
  <c r="C982" i="3" s="1" a="1"/>
  <c r="C982" i="3" s="1"/>
  <c r="B983" i="3"/>
  <c r="C983" i="3" s="1" a="1"/>
  <c r="C983" i="3" s="1"/>
  <c r="B984" i="3"/>
  <c r="C984" i="3" s="1" a="1"/>
  <c r="C984" i="3" s="1"/>
  <c r="B985" i="3"/>
  <c r="C985" i="3" s="1" a="1"/>
  <c r="C985" i="3" s="1"/>
  <c r="B986" i="3"/>
  <c r="C986" i="3" s="1" a="1"/>
  <c r="C986" i="3" s="1"/>
  <c r="B987" i="3"/>
  <c r="C987" i="3" s="1" a="1"/>
  <c r="C987" i="3" s="1"/>
  <c r="B988" i="3"/>
  <c r="C988" i="3" s="1" a="1"/>
  <c r="C988" i="3" s="1"/>
  <c r="B989" i="3"/>
  <c r="C989" i="3" s="1" a="1"/>
  <c r="C989" i="3" s="1"/>
  <c r="B990" i="3"/>
  <c r="C990" i="3" s="1" a="1"/>
  <c r="C990" i="3" s="1"/>
  <c r="B991" i="3"/>
  <c r="C991" i="3" s="1" a="1"/>
  <c r="C991" i="3" s="1"/>
  <c r="B992" i="3"/>
  <c r="C992" i="3" s="1" a="1"/>
  <c r="C992" i="3" s="1"/>
  <c r="B993" i="3"/>
  <c r="C993" i="3" s="1" a="1"/>
  <c r="C993" i="3" s="1"/>
  <c r="B994" i="3"/>
  <c r="C994" i="3" s="1" a="1"/>
  <c r="C994" i="3" s="1"/>
  <c r="B995" i="3"/>
  <c r="C995" i="3" s="1" a="1"/>
  <c r="C995" i="3" s="1"/>
  <c r="B996" i="3"/>
  <c r="C996" i="3" s="1" a="1"/>
  <c r="C996" i="3" s="1"/>
  <c r="B997" i="3"/>
  <c r="C997" i="3" s="1" a="1"/>
  <c r="C997" i="3" s="1"/>
  <c r="B998" i="3"/>
  <c r="C998" i="3" s="1" a="1"/>
  <c r="C998" i="3" s="1"/>
  <c r="B999" i="3"/>
  <c r="C999" i="3" s="1" a="1"/>
  <c r="C999" i="3" s="1"/>
  <c r="B1000" i="3"/>
  <c r="C1000" i="3" s="1" a="1"/>
  <c r="C1000" i="3" s="1"/>
  <c r="B1001" i="3"/>
  <c r="C1001" i="3" s="1" a="1"/>
  <c r="C1001" i="3" s="1"/>
  <c r="B1002" i="3"/>
  <c r="C1002" i="3" s="1" a="1"/>
  <c r="C1002" i="3" s="1"/>
  <c r="B1003" i="3"/>
  <c r="C1003" i="3" s="1" a="1"/>
  <c r="C1003" i="3" s="1"/>
  <c r="B1004" i="3"/>
  <c r="C1004" i="3" s="1" a="1"/>
  <c r="C1004" i="3" s="1"/>
  <c r="B1005" i="3"/>
  <c r="C1005" i="3" s="1" a="1"/>
  <c r="C1005" i="3" s="1"/>
  <c r="B1006" i="3"/>
  <c r="C1006" i="3" s="1" a="1"/>
  <c r="C1006" i="3" s="1"/>
  <c r="B1007" i="3"/>
  <c r="C1007" i="3" s="1" a="1"/>
  <c r="C1007" i="3" s="1"/>
  <c r="B1008" i="3"/>
  <c r="C1008" i="3" s="1" a="1"/>
  <c r="C1008" i="3" s="1"/>
  <c r="B1009" i="3"/>
  <c r="C1009" i="3" s="1" a="1"/>
  <c r="C1009" i="3" s="1"/>
  <c r="B1010" i="3"/>
  <c r="C1010" i="3" s="1" a="1"/>
  <c r="C1010" i="3" s="1"/>
  <c r="B1011" i="3"/>
  <c r="C1011" i="3" s="1" a="1"/>
  <c r="C1011" i="3" s="1"/>
  <c r="B1012" i="3"/>
  <c r="C1012" i="3" s="1" a="1"/>
  <c r="C1012" i="3" s="1"/>
  <c r="B1013" i="3"/>
  <c r="C1013" i="3" s="1" a="1"/>
  <c r="C1013" i="3" s="1"/>
  <c r="B1014" i="3"/>
  <c r="C1014" i="3" s="1" a="1"/>
  <c r="C1014" i="3" s="1"/>
  <c r="B1015" i="3"/>
  <c r="C1015" i="3" s="1" a="1"/>
  <c r="C1015" i="3" s="1"/>
  <c r="B1016" i="3"/>
  <c r="C1016" i="3" s="1" a="1"/>
  <c r="C1016" i="3" s="1"/>
  <c r="B1017" i="3"/>
  <c r="C1017" i="3" s="1" a="1"/>
  <c r="C1017" i="3" s="1"/>
  <c r="B1018" i="3"/>
  <c r="C1018" i="3" s="1" a="1"/>
  <c r="C1018" i="3" s="1"/>
  <c r="B1019" i="3"/>
  <c r="C1019" i="3" s="1" a="1"/>
  <c r="C1019" i="3" s="1"/>
  <c r="B1020" i="3"/>
  <c r="C1020" i="3" s="1" a="1"/>
  <c r="C1020" i="3" s="1"/>
  <c r="B1021" i="3"/>
  <c r="C1021" i="3" s="1" a="1"/>
  <c r="C1021" i="3" s="1"/>
  <c r="B1022" i="3"/>
  <c r="C1022" i="3" s="1" a="1"/>
  <c r="C1022" i="3" s="1"/>
  <c r="B1023" i="3"/>
  <c r="C1023" i="3" s="1" a="1"/>
  <c r="C1023" i="3" s="1"/>
  <c r="B1024" i="3"/>
  <c r="C1024" i="3" s="1" a="1"/>
  <c r="C1024" i="3" s="1"/>
  <c r="B1025" i="3"/>
  <c r="C1025" i="3" s="1" a="1"/>
  <c r="C1025" i="3" s="1"/>
  <c r="B1026" i="3"/>
  <c r="C1026" i="3" s="1" a="1"/>
  <c r="C1026" i="3" s="1"/>
  <c r="B1027" i="3"/>
  <c r="C1027" i="3" s="1" a="1"/>
  <c r="C1027" i="3" s="1"/>
  <c r="B1028" i="3"/>
  <c r="C1028" i="3" s="1" a="1"/>
  <c r="C1028" i="3" s="1"/>
  <c r="B1029" i="3"/>
  <c r="C1029" i="3" s="1" a="1"/>
  <c r="C1029" i="3" s="1"/>
  <c r="B1030" i="3"/>
  <c r="C1030" i="3" s="1" a="1"/>
  <c r="C1030" i="3" s="1"/>
  <c r="B1031" i="3"/>
  <c r="C1031" i="3" s="1" a="1"/>
  <c r="C1031" i="3" s="1"/>
  <c r="B1032" i="3"/>
  <c r="C1032" i="3" s="1" a="1"/>
  <c r="C1032" i="3" s="1"/>
  <c r="B1033" i="3"/>
  <c r="C1033" i="3" s="1" a="1"/>
  <c r="C1033" i="3" s="1"/>
  <c r="B1034" i="3"/>
  <c r="C1034" i="3" s="1" a="1"/>
  <c r="C1034" i="3" s="1"/>
  <c r="B1035" i="3"/>
  <c r="C1035" i="3" s="1" a="1"/>
  <c r="C1035" i="3" s="1"/>
  <c r="B1036" i="3"/>
  <c r="C1036" i="3" s="1" a="1"/>
  <c r="C1036" i="3" s="1"/>
  <c r="B1037" i="3"/>
  <c r="C1037" i="3" s="1" a="1"/>
  <c r="C1037" i="3" s="1"/>
  <c r="B1038" i="3"/>
  <c r="C1038" i="3" s="1" a="1"/>
  <c r="C1038" i="3" s="1"/>
  <c r="B1039" i="3"/>
  <c r="C1039" i="3" s="1" a="1"/>
  <c r="C1039" i="3" s="1"/>
  <c r="B1040" i="3"/>
  <c r="C1040" i="3" s="1" a="1"/>
  <c r="C1040" i="3" s="1"/>
  <c r="B1041" i="3"/>
  <c r="C1041" i="3" s="1" a="1"/>
  <c r="C1041" i="3" s="1"/>
  <c r="B1042" i="3"/>
  <c r="C1042" i="3" s="1" a="1"/>
  <c r="C1042" i="3" s="1"/>
  <c r="B1043" i="3"/>
  <c r="C1043" i="3" s="1" a="1"/>
  <c r="C1043" i="3" s="1"/>
  <c r="B1044" i="3"/>
  <c r="C1044" i="3" s="1" a="1"/>
  <c r="C1044" i="3" s="1"/>
  <c r="B1045" i="3"/>
  <c r="C1045" i="3" s="1" a="1"/>
  <c r="C1045" i="3" s="1"/>
  <c r="B1046" i="3"/>
  <c r="C1046" i="3" s="1" a="1"/>
  <c r="C1046" i="3" s="1"/>
  <c r="B1047" i="3"/>
  <c r="C1047" i="3" s="1" a="1"/>
  <c r="C1047" i="3" s="1"/>
  <c r="B1048" i="3"/>
  <c r="C1048" i="3" s="1" a="1"/>
  <c r="C1048" i="3" s="1"/>
  <c r="B1049" i="3"/>
  <c r="C1049" i="3" s="1" a="1"/>
  <c r="C1049" i="3" s="1"/>
  <c r="B1050" i="3"/>
  <c r="C1050" i="3" s="1" a="1"/>
  <c r="C1050" i="3" s="1"/>
  <c r="B1051" i="3"/>
  <c r="C1051" i="3" s="1" a="1"/>
  <c r="C1051" i="3" s="1"/>
  <c r="B1052" i="3"/>
  <c r="C1052" i="3" s="1" a="1"/>
  <c r="C1052" i="3" s="1"/>
  <c r="B1053" i="3"/>
  <c r="C1053" i="3" s="1" a="1"/>
  <c r="C1053" i="3" s="1"/>
  <c r="B1054" i="3"/>
  <c r="C1054" i="3" s="1" a="1"/>
  <c r="C1054" i="3" s="1"/>
  <c r="B1055" i="3"/>
  <c r="C1055" i="3" s="1" a="1"/>
  <c r="C1055" i="3" s="1"/>
  <c r="B1056" i="3"/>
  <c r="C1056" i="3" s="1" a="1"/>
  <c r="C1056" i="3" s="1"/>
  <c r="B1057" i="3"/>
  <c r="C1057" i="3" s="1" a="1"/>
  <c r="C1057" i="3" s="1"/>
  <c r="B1058" i="3"/>
  <c r="C1058" i="3" s="1" a="1"/>
  <c r="C1058" i="3" s="1"/>
  <c r="B1059" i="3"/>
  <c r="C1059" i="3" s="1" a="1"/>
  <c r="C1059" i="3" s="1"/>
  <c r="B1060" i="3"/>
  <c r="C1060" i="3" s="1" a="1"/>
  <c r="C1060" i="3" s="1"/>
  <c r="B1061" i="3"/>
  <c r="C1061" i="3" s="1" a="1"/>
  <c r="C1061" i="3" s="1"/>
  <c r="B1062" i="3"/>
  <c r="C1062" i="3" s="1" a="1"/>
  <c r="C1062" i="3" s="1"/>
  <c r="B1063" i="3"/>
  <c r="C1063" i="3" s="1" a="1"/>
  <c r="C1063" i="3" s="1"/>
  <c r="B1064" i="3"/>
  <c r="C1064" i="3" s="1" a="1"/>
  <c r="C1064" i="3" s="1"/>
  <c r="B1065" i="3"/>
  <c r="C1065" i="3" s="1" a="1"/>
  <c r="C1065" i="3" s="1"/>
  <c r="B1066" i="3"/>
  <c r="C1066" i="3" s="1" a="1"/>
  <c r="C1066" i="3" s="1"/>
  <c r="B1067" i="3"/>
  <c r="C1067" i="3" s="1" a="1"/>
  <c r="C1067" i="3" s="1"/>
  <c r="B1068" i="3"/>
  <c r="C1068" i="3" s="1" a="1"/>
  <c r="C1068" i="3" s="1"/>
  <c r="B1069" i="3"/>
  <c r="C1069" i="3" s="1" a="1"/>
  <c r="C1069" i="3" s="1"/>
  <c r="B1070" i="3"/>
  <c r="C1070" i="3" s="1" a="1"/>
  <c r="C1070" i="3" s="1"/>
  <c r="B1071" i="3"/>
  <c r="C1071" i="3" s="1" a="1"/>
  <c r="C1071" i="3" s="1"/>
  <c r="B1072" i="3"/>
  <c r="C1072" i="3" s="1" a="1"/>
  <c r="C1072" i="3" s="1"/>
  <c r="B1073" i="3"/>
  <c r="C1073" i="3" s="1" a="1"/>
  <c r="C1073" i="3" s="1"/>
  <c r="B1074" i="3"/>
  <c r="C1074" i="3" s="1" a="1"/>
  <c r="C1074" i="3" s="1"/>
  <c r="B1075" i="3"/>
  <c r="C1075" i="3" s="1" a="1"/>
  <c r="C1075" i="3" s="1"/>
  <c r="B1076" i="3"/>
  <c r="C1076" i="3" s="1" a="1"/>
  <c r="C1076" i="3" s="1"/>
  <c r="B1077" i="3"/>
  <c r="C1077" i="3" s="1" a="1"/>
  <c r="C1077" i="3" s="1"/>
  <c r="B1078" i="3"/>
  <c r="C1078" i="3" s="1" a="1"/>
  <c r="C1078" i="3" s="1"/>
  <c r="B1079" i="3"/>
  <c r="C1079" i="3" s="1" a="1"/>
  <c r="C1079" i="3" s="1"/>
  <c r="B1080" i="3"/>
  <c r="C1080" i="3" s="1" a="1"/>
  <c r="C1080" i="3" s="1"/>
  <c r="B1081" i="3"/>
  <c r="C1081" i="3" s="1" a="1"/>
  <c r="C1081" i="3" s="1"/>
  <c r="B1082" i="3"/>
  <c r="C1082" i="3" s="1" a="1"/>
  <c r="C1082" i="3" s="1"/>
  <c r="B1083" i="3"/>
  <c r="C1083" i="3" s="1" a="1"/>
  <c r="C1083" i="3" s="1"/>
  <c r="B1084" i="3"/>
  <c r="C1084" i="3" s="1" a="1"/>
  <c r="C1084" i="3" s="1"/>
  <c r="B1085" i="3"/>
  <c r="C1085" i="3" s="1" a="1"/>
  <c r="C1085" i="3" s="1"/>
  <c r="B1086" i="3"/>
  <c r="C1086" i="3" s="1" a="1"/>
  <c r="C1086" i="3" s="1"/>
  <c r="B1087" i="3"/>
  <c r="C1087" i="3" s="1" a="1"/>
  <c r="C1087" i="3" s="1"/>
  <c r="B1088" i="3"/>
  <c r="C1088" i="3" s="1" a="1"/>
  <c r="C1088" i="3" s="1"/>
  <c r="B1089" i="3"/>
  <c r="C1089" i="3" s="1" a="1"/>
  <c r="C1089" i="3" s="1"/>
  <c r="B1090" i="3"/>
  <c r="C1090" i="3" s="1" a="1"/>
  <c r="C1090" i="3" s="1"/>
  <c r="B1091" i="3"/>
  <c r="C1091" i="3" s="1" a="1"/>
  <c r="C1091" i="3" s="1"/>
  <c r="B1092" i="3"/>
  <c r="C1092" i="3" s="1" a="1"/>
  <c r="C1092" i="3" s="1"/>
  <c r="B1093" i="3"/>
  <c r="C1093" i="3" s="1" a="1"/>
  <c r="C1093" i="3" s="1"/>
  <c r="B1094" i="3"/>
  <c r="C1094" i="3" s="1" a="1"/>
  <c r="C1094" i="3" s="1"/>
  <c r="B1095" i="3"/>
  <c r="C1095" i="3" s="1" a="1"/>
  <c r="C1095" i="3" s="1"/>
  <c r="B1096" i="3"/>
  <c r="C1096" i="3" s="1" a="1"/>
  <c r="C1096" i="3" s="1"/>
  <c r="B1097" i="3"/>
  <c r="C1097" i="3" s="1" a="1"/>
  <c r="C1097" i="3" s="1"/>
  <c r="B1098" i="3"/>
  <c r="C1098" i="3" s="1" a="1"/>
  <c r="C1098" i="3" s="1"/>
  <c r="B1099" i="3"/>
  <c r="C1099" i="3" s="1" a="1"/>
  <c r="C1099" i="3" s="1"/>
  <c r="B1100" i="3"/>
  <c r="C1100" i="3" s="1" a="1"/>
  <c r="C1100" i="3" s="1"/>
  <c r="B1101" i="3"/>
  <c r="C1101" i="3" s="1" a="1"/>
  <c r="C1101" i="3" s="1"/>
  <c r="B1102" i="3"/>
  <c r="C1102" i="3" s="1" a="1"/>
  <c r="C1102" i="3" s="1"/>
  <c r="B1103" i="3"/>
  <c r="C1103" i="3" s="1" a="1"/>
  <c r="C1103" i="3" s="1"/>
  <c r="B1104" i="3"/>
  <c r="C1104" i="3" s="1" a="1"/>
  <c r="C1104" i="3" s="1"/>
  <c r="B1105" i="3"/>
  <c r="C1105" i="3" s="1" a="1"/>
  <c r="C1105" i="3" s="1"/>
  <c r="B1106" i="3"/>
  <c r="C1106" i="3" s="1" a="1"/>
  <c r="C1106" i="3" s="1"/>
  <c r="B1107" i="3"/>
  <c r="C1107" i="3" s="1" a="1"/>
  <c r="C1107" i="3" s="1"/>
  <c r="B1108" i="3"/>
  <c r="C1108" i="3" s="1" a="1"/>
  <c r="C1108" i="3" s="1"/>
  <c r="B1109" i="3"/>
  <c r="C1109" i="3" s="1" a="1"/>
  <c r="C1109" i="3" s="1"/>
  <c r="B1110" i="3"/>
  <c r="C1110" i="3" s="1" a="1"/>
  <c r="C1110" i="3" s="1"/>
  <c r="B1111" i="3"/>
  <c r="C1111" i="3" s="1" a="1"/>
  <c r="C1111" i="3" s="1"/>
  <c r="B1112" i="3"/>
  <c r="C1112" i="3" s="1" a="1"/>
  <c r="C1112" i="3" s="1"/>
  <c r="B1113" i="3"/>
  <c r="C1113" i="3" s="1" a="1"/>
  <c r="C1113" i="3" s="1"/>
  <c r="B1114" i="3"/>
  <c r="C1114" i="3" s="1" a="1"/>
  <c r="C1114" i="3" s="1"/>
  <c r="B1115" i="3"/>
  <c r="C1115" i="3" s="1" a="1"/>
  <c r="C1115" i="3" s="1"/>
  <c r="B1116" i="3"/>
  <c r="C1116" i="3" s="1" a="1"/>
  <c r="C1116" i="3" s="1"/>
  <c r="B1117" i="3"/>
  <c r="C1117" i="3" s="1" a="1"/>
  <c r="C1117" i="3" s="1"/>
  <c r="B1118" i="3"/>
  <c r="C1118" i="3" s="1" a="1"/>
  <c r="C1118" i="3" s="1"/>
  <c r="B1119" i="3"/>
  <c r="C1119" i="3" s="1" a="1"/>
  <c r="C1119" i="3" s="1"/>
  <c r="B1120" i="3"/>
  <c r="C1120" i="3" s="1" a="1"/>
  <c r="C1120" i="3" s="1"/>
  <c r="B1121" i="3"/>
  <c r="C1121" i="3" s="1" a="1"/>
  <c r="C1121" i="3" s="1"/>
  <c r="B1122" i="3"/>
  <c r="C1122" i="3" s="1" a="1"/>
  <c r="C1122" i="3" s="1"/>
  <c r="B1123" i="3"/>
  <c r="C1123" i="3" s="1" a="1"/>
  <c r="C1123" i="3" s="1"/>
  <c r="B1124" i="3"/>
  <c r="C1124" i="3" s="1" a="1"/>
  <c r="C1124" i="3" s="1"/>
  <c r="B1125" i="3"/>
  <c r="C1125" i="3" s="1" a="1"/>
  <c r="C1125" i="3" s="1"/>
  <c r="B1126" i="3"/>
  <c r="C1126" i="3" s="1" a="1"/>
  <c r="C1126" i="3" s="1"/>
  <c r="B1127" i="3"/>
  <c r="C1127" i="3" s="1" a="1"/>
  <c r="C1127" i="3" s="1"/>
  <c r="B1128" i="3"/>
  <c r="C1128" i="3" s="1" a="1"/>
  <c r="C1128" i="3" s="1"/>
  <c r="B1129" i="3"/>
  <c r="C1129" i="3" s="1" a="1"/>
  <c r="C1129" i="3" s="1"/>
  <c r="B1130" i="3"/>
  <c r="C1130" i="3" s="1" a="1"/>
  <c r="C1130" i="3" s="1"/>
  <c r="B1131" i="3"/>
  <c r="C1131" i="3" s="1" a="1"/>
  <c r="C1131" i="3" s="1"/>
  <c r="B1132" i="3"/>
  <c r="C1132" i="3" s="1" a="1"/>
  <c r="C1132" i="3" s="1"/>
  <c r="B1133" i="3"/>
  <c r="C1133" i="3" s="1" a="1"/>
  <c r="C1133" i="3" s="1"/>
  <c r="B1134" i="3"/>
  <c r="C1134" i="3" s="1" a="1"/>
  <c r="C1134" i="3" s="1"/>
  <c r="B1135" i="3"/>
  <c r="C1135" i="3" s="1" a="1"/>
  <c r="C1135" i="3" s="1"/>
  <c r="B1136" i="3"/>
  <c r="C1136" i="3" s="1" a="1"/>
  <c r="C1136" i="3" s="1"/>
  <c r="B1137" i="3"/>
  <c r="C1137" i="3" s="1" a="1"/>
  <c r="C1137" i="3" s="1"/>
  <c r="B1138" i="3"/>
  <c r="C1138" i="3" s="1" a="1"/>
  <c r="C1138" i="3" s="1"/>
  <c r="B1139" i="3"/>
  <c r="C1139" i="3" s="1" a="1"/>
  <c r="C1139" i="3" s="1"/>
  <c r="B1140" i="3"/>
  <c r="C1140" i="3" s="1" a="1"/>
  <c r="C1140" i="3" s="1"/>
  <c r="B1141" i="3"/>
  <c r="C1141" i="3" s="1" a="1"/>
  <c r="C1141" i="3" s="1"/>
  <c r="B1142" i="3"/>
  <c r="C1142" i="3" s="1" a="1"/>
  <c r="C1142" i="3" s="1"/>
  <c r="B1143" i="3"/>
  <c r="C1143" i="3" s="1" a="1"/>
  <c r="C1143" i="3" s="1"/>
  <c r="B1144" i="3"/>
  <c r="C1144" i="3" s="1" a="1"/>
  <c r="C1144" i="3" s="1"/>
  <c r="B1145" i="3"/>
  <c r="C1145" i="3" s="1" a="1"/>
  <c r="C1145" i="3" s="1"/>
  <c r="B1146" i="3"/>
  <c r="C1146" i="3" s="1" a="1"/>
  <c r="C1146" i="3" s="1"/>
  <c r="B1147" i="3"/>
  <c r="C1147" i="3" s="1" a="1"/>
  <c r="C1147" i="3" s="1"/>
  <c r="B1148" i="3"/>
  <c r="C1148" i="3" s="1" a="1"/>
  <c r="C1148" i="3" s="1"/>
  <c r="B1149" i="3"/>
  <c r="C1149" i="3" s="1" a="1"/>
  <c r="C1149" i="3" s="1"/>
  <c r="B1150" i="3"/>
  <c r="C1150" i="3" s="1" a="1"/>
  <c r="C1150" i="3" s="1"/>
  <c r="B1151" i="3"/>
  <c r="C1151" i="3" s="1" a="1"/>
  <c r="C1151" i="3" s="1"/>
  <c r="B1152" i="3"/>
  <c r="C1152" i="3" s="1" a="1"/>
  <c r="C1152" i="3" s="1"/>
  <c r="B1153" i="3"/>
  <c r="C1153" i="3" s="1" a="1"/>
  <c r="C1153" i="3" s="1"/>
  <c r="B1154" i="3"/>
  <c r="C1154" i="3" s="1" a="1"/>
  <c r="C1154" i="3" s="1"/>
  <c r="B1155" i="3"/>
  <c r="C1155" i="3" s="1" a="1"/>
  <c r="C1155" i="3" s="1"/>
  <c r="B1156" i="3"/>
  <c r="C1156" i="3" s="1" a="1"/>
  <c r="C1156" i="3" s="1"/>
  <c r="B1157" i="3"/>
  <c r="C1157" i="3" s="1" a="1"/>
  <c r="C1157" i="3" s="1"/>
  <c r="B1158" i="3"/>
  <c r="C1158" i="3" s="1" a="1"/>
  <c r="C1158" i="3" s="1"/>
  <c r="B1159" i="3"/>
  <c r="C1159" i="3" s="1" a="1"/>
  <c r="C1159" i="3" s="1"/>
  <c r="B1160" i="3"/>
  <c r="C1160" i="3" s="1" a="1"/>
  <c r="C1160" i="3" s="1"/>
  <c r="B1161" i="3"/>
  <c r="C1161" i="3" s="1" a="1"/>
  <c r="C1161" i="3" s="1"/>
  <c r="B1162" i="3"/>
  <c r="C1162" i="3" s="1" a="1"/>
  <c r="C1162" i="3" s="1"/>
  <c r="B1163" i="3"/>
  <c r="C1163" i="3" s="1" a="1"/>
  <c r="C1163" i="3" s="1"/>
  <c r="B1164" i="3"/>
  <c r="C1164" i="3" s="1" a="1"/>
  <c r="C1164" i="3" s="1"/>
  <c r="B1165" i="3"/>
  <c r="C1165" i="3" s="1" a="1"/>
  <c r="C1165" i="3" s="1"/>
  <c r="B1166" i="3"/>
  <c r="C1166" i="3" s="1" a="1"/>
  <c r="C1166" i="3" s="1"/>
  <c r="B1167" i="3"/>
  <c r="C1167" i="3" s="1" a="1"/>
  <c r="C1167" i="3" s="1"/>
  <c r="B1168" i="3"/>
  <c r="C1168" i="3" s="1" a="1"/>
  <c r="C1168" i="3" s="1"/>
  <c r="B1169" i="3"/>
  <c r="C1169" i="3" s="1" a="1"/>
  <c r="C1169" i="3" s="1"/>
  <c r="B1170" i="3"/>
  <c r="C1170" i="3" s="1" a="1"/>
  <c r="C1170" i="3" s="1"/>
  <c r="B1171" i="3"/>
  <c r="C1171" i="3" s="1" a="1"/>
  <c r="C1171" i="3" s="1"/>
  <c r="B1172" i="3"/>
  <c r="C1172" i="3" s="1" a="1"/>
  <c r="C1172" i="3" s="1"/>
  <c r="B1173" i="3"/>
  <c r="C1173" i="3" s="1" a="1"/>
  <c r="C1173" i="3" s="1"/>
  <c r="B1174" i="3"/>
  <c r="C1174" i="3" s="1" a="1"/>
  <c r="C1174" i="3" s="1"/>
  <c r="B1175" i="3"/>
  <c r="C1175" i="3" s="1" a="1"/>
  <c r="C1175" i="3" s="1"/>
  <c r="B1176" i="3"/>
  <c r="C1176" i="3" s="1" a="1"/>
  <c r="C1176" i="3" s="1"/>
  <c r="B1177" i="3"/>
  <c r="C1177" i="3" s="1" a="1"/>
  <c r="C1177" i="3" s="1"/>
  <c r="B1178" i="3"/>
  <c r="C1178" i="3" s="1" a="1"/>
  <c r="C1178" i="3" s="1"/>
  <c r="B1179" i="3"/>
  <c r="C1179" i="3" s="1" a="1"/>
  <c r="C1179" i="3" s="1"/>
  <c r="B1180" i="3"/>
  <c r="C1180" i="3" s="1" a="1"/>
  <c r="C1180" i="3" s="1"/>
  <c r="B1181" i="3"/>
  <c r="C1181" i="3" s="1" a="1"/>
  <c r="C1181" i="3" s="1"/>
  <c r="B1182" i="3"/>
  <c r="C1182" i="3" s="1" a="1"/>
  <c r="C1182" i="3" s="1"/>
  <c r="B1183" i="3"/>
  <c r="C1183" i="3" s="1" a="1"/>
  <c r="C1183" i="3" s="1"/>
  <c r="B1184" i="3"/>
  <c r="C1184" i="3" s="1" a="1"/>
  <c r="C1184" i="3" s="1"/>
  <c r="B1185" i="3"/>
  <c r="C1185" i="3" s="1" a="1"/>
  <c r="C1185" i="3" s="1"/>
  <c r="B1186" i="3"/>
  <c r="C1186" i="3" s="1" a="1"/>
  <c r="C1186" i="3" s="1"/>
  <c r="B1187" i="3"/>
  <c r="C1187" i="3" s="1" a="1"/>
  <c r="C1187" i="3" s="1"/>
  <c r="B1188" i="3"/>
  <c r="C1188" i="3" s="1" a="1"/>
  <c r="C1188" i="3" s="1"/>
  <c r="B1189" i="3"/>
  <c r="C1189" i="3" s="1" a="1"/>
  <c r="C1189" i="3" s="1"/>
  <c r="B1190" i="3"/>
  <c r="C1190" i="3" s="1" a="1"/>
  <c r="C1190" i="3" s="1"/>
  <c r="B1191" i="3"/>
  <c r="C1191" i="3" s="1" a="1"/>
  <c r="C1191" i="3" s="1"/>
  <c r="B1192" i="3"/>
  <c r="C1192" i="3" s="1" a="1"/>
  <c r="C1192" i="3" s="1"/>
  <c r="B1193" i="3"/>
  <c r="C1193" i="3" s="1" a="1"/>
  <c r="C1193" i="3" s="1"/>
  <c r="B1194" i="3"/>
  <c r="C1194" i="3" s="1" a="1"/>
  <c r="C1194" i="3" s="1"/>
  <c r="B1195" i="3"/>
  <c r="C1195" i="3" s="1" a="1"/>
  <c r="C1195" i="3" s="1"/>
  <c r="B1196" i="3"/>
  <c r="C1196" i="3" s="1" a="1"/>
  <c r="C1196" i="3" s="1"/>
  <c r="B1197" i="3"/>
  <c r="C1197" i="3" s="1" a="1"/>
  <c r="C1197" i="3" s="1"/>
  <c r="B1198" i="3"/>
  <c r="C1198" i="3" s="1" a="1"/>
  <c r="C1198" i="3" s="1"/>
  <c r="B1199" i="3"/>
  <c r="C1199" i="3" s="1" a="1"/>
  <c r="C1199" i="3" s="1"/>
  <c r="B1200" i="3"/>
  <c r="C1200" i="3" s="1" a="1"/>
  <c r="C1200" i="3" s="1"/>
  <c r="B1201" i="3"/>
  <c r="C1201" i="3" s="1" a="1"/>
  <c r="C1201" i="3" s="1"/>
  <c r="B1202" i="3"/>
  <c r="C1202" i="3" s="1" a="1"/>
  <c r="C1202" i="3" s="1"/>
  <c r="B1203" i="3"/>
  <c r="C1203" i="3" s="1" a="1"/>
  <c r="C1203" i="3" s="1"/>
  <c r="B1204" i="3"/>
  <c r="C1204" i="3" s="1" a="1"/>
  <c r="C1204" i="3" s="1"/>
  <c r="B1205" i="3"/>
  <c r="C1205" i="3" s="1" a="1"/>
  <c r="C1205" i="3" s="1"/>
  <c r="B1206" i="3"/>
  <c r="C1206" i="3" s="1" a="1"/>
  <c r="C1206" i="3" s="1"/>
  <c r="B1207" i="3"/>
  <c r="C1207" i="3" s="1" a="1"/>
  <c r="C1207" i="3" s="1"/>
  <c r="B1208" i="3"/>
  <c r="C1208" i="3" s="1" a="1"/>
  <c r="C1208" i="3" s="1"/>
  <c r="B1209" i="3"/>
  <c r="C1209" i="3" s="1" a="1"/>
  <c r="C1209" i="3" s="1"/>
  <c r="B1210" i="3"/>
  <c r="C1210" i="3" s="1" a="1"/>
  <c r="C1210" i="3" s="1"/>
  <c r="B1211" i="3"/>
  <c r="C1211" i="3" s="1" a="1"/>
  <c r="C1211" i="3" s="1"/>
  <c r="B1212" i="3"/>
  <c r="C1212" i="3" s="1" a="1"/>
  <c r="C1212" i="3" s="1"/>
  <c r="B1213" i="3"/>
  <c r="C1213" i="3" s="1" a="1"/>
  <c r="C1213" i="3" s="1"/>
  <c r="B1214" i="3"/>
  <c r="C1214" i="3" s="1" a="1"/>
  <c r="C1214" i="3" s="1"/>
  <c r="B1215" i="3"/>
  <c r="C1215" i="3" s="1" a="1"/>
  <c r="C1215" i="3" s="1"/>
  <c r="B1216" i="3"/>
  <c r="C1216" i="3" s="1" a="1"/>
  <c r="C1216" i="3" s="1"/>
  <c r="B1217" i="3"/>
  <c r="C1217" i="3" s="1" a="1"/>
  <c r="C1217" i="3" s="1"/>
  <c r="B1218" i="3"/>
  <c r="C1218" i="3" s="1" a="1"/>
  <c r="C1218" i="3" s="1"/>
  <c r="B1219" i="3"/>
  <c r="C1219" i="3" s="1" a="1"/>
  <c r="C1219" i="3" s="1"/>
  <c r="B1220" i="3"/>
  <c r="C1220" i="3" s="1" a="1"/>
  <c r="C1220" i="3" s="1"/>
  <c r="B1221" i="3"/>
  <c r="C1221" i="3" s="1" a="1"/>
  <c r="C1221" i="3" s="1"/>
  <c r="B1222" i="3"/>
  <c r="C1222" i="3" s="1" a="1"/>
  <c r="C1222" i="3" s="1"/>
  <c r="B1223" i="3"/>
  <c r="C1223" i="3" s="1" a="1"/>
  <c r="C1223" i="3" s="1"/>
  <c r="B1224" i="3"/>
  <c r="C1224" i="3" s="1" a="1"/>
  <c r="C1224" i="3" s="1"/>
  <c r="B1225" i="3"/>
  <c r="C1225" i="3" s="1" a="1"/>
  <c r="C1225" i="3" s="1"/>
  <c r="B1226" i="3"/>
  <c r="C1226" i="3" s="1" a="1"/>
  <c r="C1226" i="3" s="1"/>
  <c r="B1227" i="3"/>
  <c r="C1227" i="3" s="1" a="1"/>
  <c r="C1227" i="3" s="1"/>
  <c r="B1228" i="3"/>
  <c r="C1228" i="3" s="1" a="1"/>
  <c r="C1228" i="3" s="1"/>
  <c r="B1229" i="3"/>
  <c r="C1229" i="3" s="1" a="1"/>
  <c r="C1229" i="3" s="1"/>
  <c r="B1230" i="3"/>
  <c r="C1230" i="3" s="1" a="1"/>
  <c r="C1230" i="3" s="1"/>
  <c r="B1231" i="3"/>
  <c r="C1231" i="3" s="1" a="1"/>
  <c r="C1231" i="3" s="1"/>
  <c r="B1232" i="3"/>
  <c r="C1232" i="3" s="1" a="1"/>
  <c r="C1232" i="3" s="1"/>
  <c r="B1233" i="3"/>
  <c r="C1233" i="3" s="1" a="1"/>
  <c r="C1233" i="3" s="1"/>
  <c r="B1234" i="3"/>
  <c r="C1234" i="3" s="1" a="1"/>
  <c r="C1234" i="3" s="1"/>
  <c r="B1235" i="3"/>
  <c r="C1235" i="3" s="1" a="1"/>
  <c r="C1235" i="3" s="1"/>
  <c r="B1236" i="3"/>
  <c r="C1236" i="3" s="1" a="1"/>
  <c r="C1236" i="3" s="1"/>
  <c r="B1237" i="3"/>
  <c r="C1237" i="3" s="1" a="1"/>
  <c r="C1237" i="3" s="1"/>
  <c r="B1238" i="3"/>
  <c r="C1238" i="3" s="1" a="1"/>
  <c r="C1238" i="3" s="1"/>
  <c r="B1239" i="3"/>
  <c r="C1239" i="3" s="1" a="1"/>
  <c r="C1239" i="3" s="1"/>
  <c r="B1240" i="3"/>
  <c r="C1240" i="3" s="1" a="1"/>
  <c r="C1240" i="3" s="1"/>
  <c r="B1241" i="3"/>
  <c r="C1241" i="3" s="1" a="1"/>
  <c r="C1241" i="3" s="1"/>
  <c r="B1242" i="3"/>
  <c r="C1242" i="3" s="1" a="1"/>
  <c r="C1242" i="3" s="1"/>
  <c r="B1243" i="3"/>
  <c r="C1243" i="3" s="1" a="1"/>
  <c r="C1243" i="3" s="1"/>
  <c r="B1244" i="3"/>
  <c r="C1244" i="3" s="1" a="1"/>
  <c r="C1244" i="3" s="1"/>
  <c r="B1245" i="3"/>
  <c r="C1245" i="3" s="1" a="1"/>
  <c r="C1245" i="3" s="1"/>
  <c r="B1246" i="3"/>
  <c r="C1246" i="3" s="1" a="1"/>
  <c r="C1246" i="3" s="1"/>
  <c r="B1247" i="3"/>
  <c r="C1247" i="3" s="1" a="1"/>
  <c r="C1247" i="3" s="1"/>
  <c r="B1248" i="3"/>
  <c r="C1248" i="3" s="1" a="1"/>
  <c r="C1248" i="3" s="1"/>
  <c r="B1249" i="3"/>
  <c r="C1249" i="3" s="1" a="1"/>
  <c r="C1249" i="3" s="1"/>
  <c r="B1250" i="3"/>
  <c r="C1250" i="3" s="1" a="1"/>
  <c r="C1250" i="3" s="1"/>
  <c r="B1251" i="3"/>
  <c r="C1251" i="3" s="1" a="1"/>
  <c r="C1251" i="3" s="1"/>
  <c r="B1252" i="3"/>
  <c r="C1252" i="3" s="1" a="1"/>
  <c r="C1252" i="3" s="1"/>
  <c r="B1253" i="3"/>
  <c r="C1253" i="3" s="1" a="1"/>
  <c r="C1253" i="3" s="1"/>
  <c r="B1254" i="3"/>
  <c r="C1254" i="3" s="1" a="1"/>
  <c r="C1254" i="3" s="1"/>
  <c r="B1255" i="3"/>
  <c r="C1255" i="3" s="1" a="1"/>
  <c r="C1255" i="3" s="1"/>
  <c r="B1256" i="3"/>
  <c r="C1256" i="3" s="1" a="1"/>
  <c r="C1256" i="3" s="1"/>
  <c r="B1257" i="3"/>
  <c r="C1257" i="3" s="1" a="1"/>
  <c r="C1257" i="3" s="1"/>
  <c r="B1258" i="3"/>
  <c r="C1258" i="3" s="1" a="1"/>
  <c r="C1258" i="3" s="1"/>
  <c r="B1259" i="3"/>
  <c r="C1259" i="3" s="1" a="1"/>
  <c r="C1259" i="3" s="1"/>
  <c r="B1260" i="3"/>
  <c r="C1260" i="3" s="1" a="1"/>
  <c r="C1260" i="3" s="1"/>
  <c r="B1261" i="3"/>
  <c r="C1261" i="3" s="1" a="1"/>
  <c r="C1261" i="3" s="1"/>
  <c r="B1262" i="3"/>
  <c r="C1262" i="3" s="1" a="1"/>
  <c r="C1262" i="3" s="1"/>
  <c r="B1263" i="3"/>
  <c r="C1263" i="3" s="1" a="1"/>
  <c r="C1263" i="3" s="1"/>
  <c r="B1264" i="3"/>
  <c r="C1264" i="3" s="1" a="1"/>
  <c r="C1264" i="3" s="1"/>
  <c r="B1265" i="3"/>
  <c r="C1265" i="3" s="1" a="1"/>
  <c r="C1265" i="3" s="1"/>
  <c r="B1266" i="3"/>
  <c r="C1266" i="3" s="1" a="1"/>
  <c r="C1266" i="3" s="1"/>
  <c r="B1267" i="3"/>
  <c r="C1267" i="3" s="1" a="1"/>
  <c r="C1267" i="3" s="1"/>
  <c r="B1268" i="3"/>
  <c r="C1268" i="3" s="1" a="1"/>
  <c r="C1268" i="3" s="1"/>
  <c r="B1269" i="3"/>
  <c r="C1269" i="3" s="1" a="1"/>
  <c r="C1269" i="3" s="1"/>
  <c r="B1270" i="3"/>
  <c r="C1270" i="3" s="1" a="1"/>
  <c r="C1270" i="3" s="1"/>
  <c r="B1271" i="3"/>
  <c r="C1271" i="3" s="1" a="1"/>
  <c r="C1271" i="3" s="1"/>
  <c r="B1272" i="3"/>
  <c r="C1272" i="3" s="1" a="1"/>
  <c r="C1272" i="3" s="1"/>
  <c r="B1273" i="3"/>
  <c r="C1273" i="3" s="1" a="1"/>
  <c r="C1273" i="3" s="1"/>
  <c r="B1274" i="3"/>
  <c r="C1274" i="3" s="1" a="1"/>
  <c r="C1274" i="3" s="1"/>
  <c r="B1275" i="3"/>
  <c r="C1275" i="3" s="1" a="1"/>
  <c r="C1275" i="3" s="1"/>
  <c r="B1276" i="3"/>
  <c r="C1276" i="3" s="1" a="1"/>
  <c r="C1276" i="3" s="1"/>
  <c r="B1277" i="3"/>
  <c r="C1277" i="3" s="1" a="1"/>
  <c r="C1277" i="3" s="1"/>
  <c r="B1278" i="3"/>
  <c r="C1278" i="3" s="1" a="1"/>
  <c r="C1278" i="3" s="1"/>
  <c r="B1279" i="3"/>
  <c r="C1279" i="3" s="1" a="1"/>
  <c r="C1279" i="3" s="1"/>
  <c r="B1280" i="3"/>
  <c r="C1280" i="3" s="1" a="1"/>
  <c r="C1280" i="3" s="1"/>
  <c r="B1281" i="3"/>
  <c r="C1281" i="3" s="1" a="1"/>
  <c r="C1281" i="3" s="1"/>
  <c r="B1282" i="3"/>
  <c r="C1282" i="3" s="1" a="1"/>
  <c r="C1282" i="3" s="1"/>
  <c r="B1283" i="3"/>
  <c r="C1283" i="3" s="1" a="1"/>
  <c r="C1283" i="3" s="1"/>
  <c r="B1284" i="3"/>
  <c r="C1284" i="3" s="1" a="1"/>
  <c r="C1284" i="3" s="1"/>
  <c r="B1285" i="3"/>
  <c r="C1285" i="3" s="1" a="1"/>
  <c r="C1285" i="3" s="1"/>
  <c r="B1286" i="3"/>
  <c r="C1286" i="3" s="1" a="1"/>
  <c r="C1286" i="3" s="1"/>
  <c r="B1287" i="3"/>
  <c r="C1287" i="3" s="1" a="1"/>
  <c r="C1287" i="3" s="1"/>
  <c r="B1288" i="3"/>
  <c r="C1288" i="3" s="1" a="1"/>
  <c r="C1288" i="3" s="1"/>
  <c r="B1289" i="3"/>
  <c r="C1289" i="3" s="1" a="1"/>
  <c r="C1289" i="3" s="1"/>
  <c r="B1290" i="3"/>
  <c r="C1290" i="3" s="1" a="1"/>
  <c r="C1290" i="3" s="1"/>
  <c r="B1291" i="3"/>
  <c r="C1291" i="3" s="1" a="1"/>
  <c r="C1291" i="3" s="1"/>
  <c r="B1292" i="3"/>
  <c r="C1292" i="3" s="1" a="1"/>
  <c r="C1292" i="3" s="1"/>
  <c r="B1293" i="3"/>
  <c r="C1293" i="3" s="1" a="1"/>
  <c r="C1293" i="3" s="1"/>
  <c r="B1294" i="3"/>
  <c r="C1294" i="3" s="1" a="1"/>
  <c r="C1294" i="3" s="1"/>
  <c r="B1295" i="3"/>
  <c r="C1295" i="3" s="1" a="1"/>
  <c r="C1295" i="3" s="1"/>
  <c r="B1296" i="3"/>
  <c r="C1296" i="3" s="1" a="1"/>
  <c r="C1296" i="3" s="1"/>
  <c r="B1297" i="3"/>
  <c r="C1297" i="3" s="1" a="1"/>
  <c r="C1297" i="3" s="1"/>
  <c r="B1298" i="3"/>
  <c r="C1298" i="3" s="1" a="1"/>
  <c r="C1298" i="3" s="1"/>
  <c r="B1299" i="3"/>
  <c r="C1299" i="3" s="1" a="1"/>
  <c r="C1299" i="3" s="1"/>
  <c r="B1300" i="3"/>
  <c r="C1300" i="3" s="1" a="1"/>
  <c r="C1300" i="3" s="1"/>
  <c r="B1301" i="3"/>
  <c r="C1301" i="3" s="1" a="1"/>
  <c r="C1301" i="3" s="1"/>
  <c r="B1302" i="3"/>
  <c r="C1302" i="3" s="1" a="1"/>
  <c r="C1302" i="3" s="1"/>
  <c r="B1303" i="3"/>
  <c r="C1303" i="3" s="1" a="1"/>
  <c r="C1303" i="3" s="1"/>
  <c r="B1304" i="3"/>
  <c r="C1304" i="3" s="1" a="1"/>
  <c r="C1304" i="3" s="1"/>
  <c r="B1305" i="3"/>
  <c r="C1305" i="3" s="1" a="1"/>
  <c r="C1305" i="3" s="1"/>
  <c r="B1306" i="3"/>
  <c r="C1306" i="3" s="1" a="1"/>
  <c r="C1306" i="3" s="1"/>
  <c r="B1307" i="3"/>
  <c r="C1307" i="3" s="1" a="1"/>
  <c r="C1307" i="3" s="1"/>
  <c r="B1308" i="3"/>
  <c r="C1308" i="3" s="1" a="1"/>
  <c r="C1308" i="3" s="1"/>
  <c r="B1309" i="3"/>
  <c r="C1309" i="3" s="1" a="1"/>
  <c r="C1309" i="3" s="1"/>
  <c r="B1310" i="3"/>
  <c r="C1310" i="3" s="1" a="1"/>
  <c r="C1310" i="3" s="1"/>
  <c r="B1311" i="3"/>
  <c r="C1311" i="3" s="1" a="1"/>
  <c r="C1311" i="3" s="1"/>
  <c r="B1312" i="3"/>
  <c r="C1312" i="3" s="1" a="1"/>
  <c r="C1312" i="3" s="1"/>
  <c r="B1313" i="3"/>
  <c r="C1313" i="3" s="1" a="1"/>
  <c r="C1313" i="3" s="1"/>
  <c r="B1314" i="3"/>
  <c r="C1314" i="3" s="1" a="1"/>
  <c r="C1314" i="3" s="1"/>
  <c r="B1315" i="3"/>
  <c r="C1315" i="3" s="1" a="1"/>
  <c r="C1315" i="3" s="1"/>
  <c r="B1316" i="3"/>
  <c r="C1316" i="3" s="1" a="1"/>
  <c r="C1316" i="3" s="1"/>
  <c r="B1317" i="3"/>
  <c r="C1317" i="3" s="1" a="1"/>
  <c r="C1317" i="3" s="1"/>
  <c r="B1318" i="3"/>
  <c r="C1318" i="3" s="1" a="1"/>
  <c r="C1318" i="3" s="1"/>
  <c r="B1319" i="3"/>
  <c r="C1319" i="3" s="1" a="1"/>
  <c r="C1319" i="3" s="1"/>
  <c r="B1320" i="3"/>
  <c r="C1320" i="3" s="1" a="1"/>
  <c r="C1320" i="3" s="1"/>
  <c r="B1321" i="3"/>
  <c r="C1321" i="3" s="1" a="1"/>
  <c r="C1321" i="3" s="1"/>
  <c r="B1322" i="3"/>
  <c r="C1322" i="3" s="1" a="1"/>
  <c r="C1322" i="3" s="1"/>
  <c r="B1323" i="3"/>
  <c r="C1323" i="3" s="1" a="1"/>
  <c r="C1323" i="3" s="1"/>
  <c r="B1324" i="3"/>
  <c r="C1324" i="3" s="1" a="1"/>
  <c r="C1324" i="3" s="1"/>
  <c r="B1325" i="3"/>
  <c r="C1325" i="3" s="1" a="1"/>
  <c r="C1325" i="3" s="1"/>
  <c r="B1326" i="3"/>
  <c r="C1326" i="3" s="1" a="1"/>
  <c r="C1326" i="3" s="1"/>
  <c r="B1327" i="3"/>
  <c r="C1327" i="3" s="1" a="1"/>
  <c r="C1327" i="3" s="1"/>
  <c r="B1328" i="3"/>
  <c r="C1328" i="3" s="1" a="1"/>
  <c r="C1328" i="3" s="1"/>
  <c r="B1329" i="3"/>
  <c r="C1329" i="3" s="1" a="1"/>
  <c r="C1329" i="3" s="1"/>
  <c r="B1330" i="3"/>
  <c r="C1330" i="3" s="1" a="1"/>
  <c r="C1330" i="3" s="1"/>
  <c r="B1331" i="3"/>
  <c r="C1331" i="3" s="1" a="1"/>
  <c r="C1331" i="3" s="1"/>
  <c r="B1332" i="3"/>
  <c r="C1332" i="3" s="1" a="1"/>
  <c r="C1332" i="3" s="1"/>
  <c r="B1333" i="3"/>
  <c r="C1333" i="3" s="1" a="1"/>
  <c r="C1333" i="3" s="1"/>
  <c r="B1334" i="3"/>
  <c r="C1334" i="3" s="1" a="1"/>
  <c r="C1334" i="3" s="1"/>
  <c r="B1335" i="3"/>
  <c r="C1335" i="3" s="1" a="1"/>
  <c r="C1335" i="3" s="1"/>
  <c r="B1336" i="3"/>
  <c r="C1336" i="3" s="1" a="1"/>
  <c r="C1336" i="3" s="1"/>
  <c r="B1337" i="3"/>
  <c r="C1337" i="3" s="1" a="1"/>
  <c r="C1337" i="3" s="1"/>
  <c r="B1338" i="3"/>
  <c r="C1338" i="3" s="1" a="1"/>
  <c r="C1338" i="3" s="1"/>
  <c r="B1339" i="3"/>
  <c r="C1339" i="3" s="1" a="1"/>
  <c r="C1339"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54FAD49-4F8A-4E09-9151-8A3B963C5E62}" keepAlive="1" name="Query - Table13" description="Connection to the 'Table13' query in the workbook." type="5" refreshedVersion="8" background="1" saveData="1">
    <dbPr connection="Provider=Microsoft.Mashup.OleDb.1;Data Source=$Workbook$;Location=Table13;Extended Properties=&quot;&quot;" command="SELECT * FROM [Table1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<sst xmlns="http://schemas.openxmlformats.org/spreadsheetml/2006/main" count="12235" uniqueCount="85">
  <si>
    <t>age</t>
  </si>
  <si>
    <t>sex</t>
  </si>
  <si>
    <t>bmi</t>
  </si>
  <si>
    <t>children</t>
  </si>
  <si>
    <t>smoker</t>
  </si>
  <si>
    <t>region</t>
  </si>
  <si>
    <t>charges</t>
  </si>
  <si>
    <t>female</t>
  </si>
  <si>
    <t>yes</t>
  </si>
  <si>
    <t>southwest</t>
  </si>
  <si>
    <t>male</t>
  </si>
  <si>
    <t>no</t>
  </si>
  <si>
    <t>southeast</t>
  </si>
  <si>
    <t>northwest</t>
  </si>
  <si>
    <t>northeast</t>
  </si>
  <si>
    <t>Grand Total</t>
  </si>
  <si>
    <t>Count of smoker</t>
  </si>
  <si>
    <t>Mean</t>
  </si>
  <si>
    <t>Standard Error</t>
  </si>
  <si>
    <t>Median</t>
  </si>
  <si>
    <t>Mode</t>
  </si>
  <si>
    <t>Standard Deviation</t>
  </si>
  <si>
    <t>Sample Variance</t>
  </si>
  <si>
    <t>Kurtosis</t>
  </si>
  <si>
    <t>Skewness</t>
  </si>
  <si>
    <t>Range</t>
  </si>
  <si>
    <t>Minimum</t>
  </si>
  <si>
    <t>Maximum</t>
  </si>
  <si>
    <t>Sum</t>
  </si>
  <si>
    <t>Count</t>
  </si>
  <si>
    <t>15-25</t>
  </si>
  <si>
    <t>25-35</t>
  </si>
  <si>
    <t>35-45</t>
  </si>
  <si>
    <t>45-55</t>
  </si>
  <si>
    <t>Average of charges</t>
  </si>
  <si>
    <t>BMI Ranges</t>
  </si>
  <si>
    <t>Round BMI</t>
  </si>
  <si>
    <t>Healthy Weight</t>
  </si>
  <si>
    <t>Obese</t>
  </si>
  <si>
    <t>Overweight</t>
  </si>
  <si>
    <t>Underweight</t>
  </si>
  <si>
    <t>smoker2</t>
  </si>
  <si>
    <t>SUMMARY OUTPUT</t>
  </si>
  <si>
    <t>Regression Statistics</t>
  </si>
  <si>
    <t>Multiple R</t>
  </si>
  <si>
    <t>R Square</t>
  </si>
  <si>
    <t>Adjusted R Square</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</si>
  <si>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</si>
  <si>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</si>
  <si>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</si>
  <si>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</si>
  <si>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</si>
  <si>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</si>
  <si>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</si>
  <si>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</si>
  <si>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</si>
  <si>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</si>
  <si>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</si>
  <si>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</si>
  <si>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</si>
  <si>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</si>
  <si>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</si>
  <si>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</si>
  <si>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</si>
  <si>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</si>
  <si>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RESIDUAL OUTPUT</t>
  </si>
  <si>
    <t>Observation</t>
  </si>
  <si>
    <t>Residuals</t>
  </si>
  <si>
    <t>Predicted charges</t>
  </si>
  <si>
    <t>Smoker stat</t>
  </si>
  <si>
    <t>non-smoker</t>
  </si>
  <si>
    <t>18-27</t>
  </si>
  <si>
    <t>28-37</t>
  </si>
  <si>
    <t>38-47</t>
  </si>
  <si>
    <t>48-57</t>
  </si>
  <si>
    <t>58-67</t>
  </si>
  <si>
    <t>Medical Charges Estimator</t>
  </si>
  <si>
    <t>Smoker Status</t>
  </si>
  <si>
    <t>Age</t>
  </si>
  <si>
    <t>BMI</t>
  </si>
  <si>
    <t>Estimation Price:</t>
  </si>
  <si>
    <t>No. of children</t>
  </si>
  <si>
    <t>Total BMI</t>
  </si>
  <si>
    <t>Height (m)</t>
  </si>
  <si>
    <t>Weight (kg)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</si>
</sst>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0"/>
    <numFmt numFmtId="165" formatCode="[$$-409]#,##0.00"/>
    <numFmt numFmtId="166" formatCode="_-[$$-409]* #,##0.00_ ;_-[$$-409]* \-#,##0.00\ ;_-[$$-409]* &quot;-&quot;??_ ;_-@_ "/>
  </numFmts>
  <fonts count="30"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i/>
      <sz val="11"/>
      <color theme="1"/>
      <name val="Aptos Narrow"/>
      <family val="2"/>
      <scheme val="minor"/>
    </font>
    <font>
      <sz val="11"/>
      <name val="Aptos Narrow"/>
      <family val="2"/>
      <scheme val="minor"/>
    </font>
    <font>
      <sz val="12"/>
      <color theme="1"/>
      <name val="Britannic Bold"/>
      <family val="2"/>
    </font>
    <font>
      <sz val="18"/>
      <color theme="1"/>
      <name val="Britannic Bold"/>
      <family val="2"/>
    </font>
    <font>
      <sz val="20"/>
      <color theme="1"/>
      <name val="Britannic Bold"/>
      <family val="2"/>
    </font>
    <font>
      <sz val="26"/>
      <color theme="1"/>
      <name val="Britannic Bold"/>
      <family val="2"/>
    </font>
    <font>
      <sz val="28"/>
      <color theme="1"/>
      <name val="Britannic Bold"/>
      <family val="2"/>
    </font>
    <font>
      <u/>
      <sz val="48"/>
      <color theme="1"/>
      <name val="Britannic Bold"/>
      <family val="2"/>
    </font>
    <font>
      <b/>
      <u/>
      <sz val="36"/>
      <color theme="1"/>
      <name val="Britannic Bold"/>
      <family val="2"/>
    </font>
    <font>
      <sz val="30"/>
      <color theme="0"/>
      <name val="Britannic Bold"/>
      <family val="2"/>
    </font>
    <font>
      <sz val="22"/>
      <color rgb="FF000000"/>
      <name val="Aptos Narrow"/>
      <family val="2"/>
    </font>
    <font>
      <sz val="16"/>
      <color theme="1"/>
      <name val="Britannic Bold"/>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5" tint="0.79998168889431442"/>
        <bgColor indexed="64"/>
      </patternFill>
    </fill>
    <fill>
      <patternFill patternType="solid">
        <fgColor theme="9" tint="-0.499984740745262"/>
        <bgColor indexed="64"/>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6">
    <xf numFmtId="0" fontId="0" fillId="0" borderId="0" xfId="0"/>
    <xf numFmtId="0" fontId="0" fillId="0" borderId="0" xfId="0" pivotButton="1"/>
    <xf numFmtId="0" fontId="0" fillId="0" borderId="10" xfId="0" applyBorder="1"/>
    <xf numFmtId="0" fontId="18" fillId="0" borderId="11" xfId="0" applyFont="1" applyBorder="1" applyAlignment="1">
      <alignment horizontal="centerContinuous"/>
    </xf>
    <xf numFmtId="0" fontId="0" fillId="0" borderId="0" xfId="0" applyAlignment="1">
      <alignment vertical="center"/>
    </xf>
    <xf numFmtId="0" fontId="0" fillId="0" borderId="0" xfId="0" applyAlignment="1">
      <alignment horizontal="center" vertical="center"/>
    </xf>
    <xf numFmtId="0" fontId="0" fillId="33" borderId="0" xfId="0" applyFill="1"/>
    <xf numFmtId="0" fontId="19" fillId="33" borderId="0" xfId="0" applyFont="1" applyFill="1"/>
    <xf numFmtId="0" fontId="18" fillId="0" borderId="11" xfId="0" applyFont="1" applyBorder="1" applyAlignment="1">
      <alignment horizontal="center"/>
    </xf>
    <xf numFmtId="0" fontId="18" fillId="0" borderId="0" xfId="0" applyFont="1" applyAlignment="1">
      <alignment horizontal="center"/>
    </xf>
    <xf numFmtId="0" fontId="0" fillId="33" borderId="10" xfId="0" applyFill="1" applyBorder="1"/>
    <xf numFmtId="164" fontId="0" fillId="0" borderId="0" xfId="0" applyNumberFormat="1"/>
    <xf numFmtId="165" fontId="0" fillId="0" borderId="0" xfId="0" applyNumberFormat="1" applyAlignment="1">
      <alignment vertical="center"/>
    </xf>
    <xf numFmtId="0" fontId="0" fillId="33" borderId="12" xfId="0" applyFill="1" applyBorder="1"/>
    <xf numFmtId="0" fontId="20" fillId="0" borderId="0" xfId="0" applyFont="1" applyAlignment="1">
      <alignment vertical="center"/>
    </xf>
    <xf numFmtId="0" fontId="21" fillId="0" borderId="0" xfId="0" applyFont="1" applyAlignment="1">
      <alignment vertical="center"/>
    </xf>
    <xf numFmtId="166" fontId="24" fillId="0" borderId="0" xfId="0" applyNumberFormat="1" applyFont="1" applyAlignment="1">
      <alignment vertical="center"/>
    </xf>
    <xf numFmtId="0" fontId="21" fillId="0" borderId="12" xfId="0" applyFont="1" applyBorder="1" applyAlignment="1">
      <alignment horizontal="center" vertical="center"/>
    </xf>
    <xf numFmtId="0" fontId="22" fillId="34" borderId="12" xfId="0" applyFont="1" applyFill="1" applyBorder="1" applyAlignment="1" applyProtection="1">
      <alignment horizontal="center" vertical="center"/>
      <protection locked="0"/>
    </xf>
    <xf numFmtId="0" fontId="23" fillId="0" borderId="0" xfId="0" applyFont="1" applyAlignment="1">
      <alignment horizontal="center" vertical="center"/>
    </xf>
    <xf numFmtId="166" fontId="27" fillId="35" borderId="13" xfId="0" applyNumberFormat="1" applyFont="1" applyFill="1" applyBorder="1" applyAlignment="1">
      <alignment horizontal="center" vertical="center"/>
    </xf>
    <xf numFmtId="166" fontId="27" fillId="35" borderId="14" xfId="0" applyNumberFormat="1" applyFont="1" applyFill="1" applyBorder="1" applyAlignment="1">
      <alignment horizontal="center" vertical="center"/>
    </xf>
    <xf numFmtId="166" fontId="27" fillId="35" borderId="15" xfId="0" applyNumberFormat="1" applyFont="1" applyFill="1" applyBorder="1" applyAlignment="1">
      <alignment horizontal="center" vertical="center"/>
    </xf>
    <xf numFmtId="166" fontId="27" fillId="35" borderId="16" xfId="0" applyNumberFormat="1" applyFont="1" applyFill="1" applyBorder="1" applyAlignment="1">
      <alignment horizontal="center" vertical="center"/>
    </xf>
    <xf numFmtId="166" fontId="27" fillId="35" borderId="0" xfId="0" applyNumberFormat="1" applyFont="1" applyFill="1" applyAlignment="1">
      <alignment horizontal="center" vertical="center"/>
    </xf>
    <xf numFmtId="166" fontId="27" fillId="35" borderId="17" xfId="0" applyNumberFormat="1" applyFont="1" applyFill="1" applyBorder="1" applyAlignment="1">
      <alignment horizontal="center" vertical="center"/>
    </xf>
    <xf numFmtId="166" fontId="27" fillId="35" borderId="18" xfId="0" applyNumberFormat="1" applyFont="1" applyFill="1" applyBorder="1" applyAlignment="1">
      <alignment horizontal="center" vertical="center"/>
    </xf>
    <xf numFmtId="166" fontId="27" fillId="35" borderId="19" xfId="0" applyNumberFormat="1" applyFont="1" applyFill="1" applyBorder="1" applyAlignment="1">
      <alignment horizontal="center" vertical="center"/>
    </xf>
    <xf numFmtId="166" fontId="27" fillId="35" borderId="20" xfId="0" applyNumberFormat="1" applyFont="1" applyFill="1" applyBorder="1" applyAlignment="1">
      <alignment horizontal="center" vertical="center"/>
    </xf>
    <xf numFmtId="0" fontId="21" fillId="0" borderId="12" xfId="0" applyFont="1" applyBorder="1" applyAlignment="1">
      <alignment horizontal="center" vertical="center" textRotation="90"/>
    </xf>
    <xf numFmtId="0" fontId="26" fillId="0" borderId="0" xfId="0" applyFont="1" applyAlignment="1">
      <alignment horizontal="left" vertical="center"/>
    </xf>
    <xf numFmtId="0" fontId="25" fillId="0" borderId="0" xfId="0" applyFont="1" applyAlignment="1">
      <alignment horizontal="left" vertical="center"/>
    </xf>
    <xf numFmtId="0" fontId="0" fillId="0" borderId="0" xfId="0" applyNumberFormat="1"/>
    <xf numFmtId="0" fontId="0" fillId="0" borderId="0" xfId="0" quotePrefix="1"/>
    <xf numFmtId="0" fontId="29" fillId="0" borderId="12" xfId="0" applyFont="1" applyBorder="1" applyAlignment="1">
      <alignment horizontal="center" vertical="center"/>
    </xf>
    <xf numFmtId="2" fontId="21" fillId="0" borderId="12" xfId="0" applyNumberFormat="1" applyFont="1" applyFill="1" applyBorder="1" applyAlignment="1" applyProtection="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numFmt numFmtId="165" formatCode="[$$-409]#,##0.00"/>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font>
        <b/>
        <color theme="1"/>
      </font>
      <border>
        <bottom style="thin">
          <color theme="4"/>
        </bottom>
        <vertical/>
        <horizontal/>
      </border>
    </dxf>
    <dxf>
      <font>
        <sz val="18"/>
        <color theme="1"/>
      </font>
      <fill>
        <patternFill>
          <bgColor theme="3" tint="0.89996032593768116"/>
        </patternFill>
      </fill>
      <border diagonalUp="0" diagonalDown="0">
        <left/>
        <right/>
        <top/>
        <bottom/>
        <vertical/>
        <horizontal/>
      </border>
    </dxf>
  </dxfs>
  <tableStyles count="1" defaultTableStyle="TableStyleLight1" defaultPivotStyle="PivotStyleLight16">
    <tableStyle name="SlicerStyleDark1 2" pivot="0" table="0" count="10" xr9:uid="{EF4600B9-4BE4-4CF2-B030-D5DC06D9308F}">
      <tableStyleElement type="wholeTable" dxfId="17"/>
      <tableStyleElement type="headerRow" dxfId="16"/>
    </tableStyle>
  </tableStyles>
  <colors>
    <mruColors>
      <color rgb="FF2F5597"/>
      <color rgb="FF44AFD0"/>
      <color rgb="FF9DC3E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sz val="18"/>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eetMetadata" Target="metadata.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7.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kern="1200" spc="0" baseline="0">
                <a:solidFill>
                  <a:sysClr val="windowText" lastClr="000000">
                    <a:lumMod val="65000"/>
                    <a:lumOff val="35000"/>
                  </a:sysClr>
                </a:solidFill>
              </a:rPr>
              <a:t>Age Vs Charges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'insurance (Clean)'!$G$2:$G$1339</c:f>
              <c:numCache>
                <c:formatCode>General</c:formatCode>
                <c:ptCount val="1338"/>
                <c:pt idx="0">
                  <c:v>19</c:v>
                </c:pt>
                <c:pt idx="1">
                  <c:v>18</c:v>
                </c:pt>
                <c:pt idx="2">
                  <c:v>28</c:v>
                </c:pt>
                <c:pt idx="3">
                  <c:v>33</c:v>
                </c:pt>
                <c:pt idx="4">
                  <c:v>32</c:v>
                </c:pt>
                <c:pt idx="5">
                  <c:v>31</c:v>
                </c:pt>
                <c:pt idx="6">
                  <c:v>46</c:v>
                </c:pt>
                <c:pt idx="7">
                  <c:v>37</c:v>
                </c:pt>
                <c:pt idx="8">
                  <c:v>37</c:v>
                </c:pt>
                <c:pt idx="9">
                  <c:v>60</c:v>
                </c:pt>
                <c:pt idx="10">
                  <c:v>25</c:v>
                </c:pt>
                <c:pt idx="11">
                  <c:v>62</c:v>
                </c:pt>
                <c:pt idx="12">
                  <c:v>23</c:v>
                </c:pt>
                <c:pt idx="13">
                  <c:v>56</c:v>
                </c:pt>
                <c:pt idx="14">
                  <c:v>27</c:v>
                </c:pt>
                <c:pt idx="15">
                  <c:v>19</c:v>
                </c:pt>
                <c:pt idx="16">
                  <c:v>52</c:v>
                </c:pt>
                <c:pt idx="17">
                  <c:v>23</c:v>
                </c:pt>
                <c:pt idx="18">
                  <c:v>56</c:v>
                </c:pt>
                <c:pt idx="19">
                  <c:v>30</c:v>
                </c:pt>
                <c:pt idx="20">
                  <c:v>60</c:v>
                </c:pt>
                <c:pt idx="21">
                  <c:v>30</c:v>
                </c:pt>
                <c:pt idx="22">
                  <c:v>18</c:v>
                </c:pt>
                <c:pt idx="23">
                  <c:v>34</c:v>
                </c:pt>
                <c:pt idx="24">
                  <c:v>37</c:v>
                </c:pt>
                <c:pt idx="25">
                  <c:v>59</c:v>
                </c:pt>
                <c:pt idx="26">
                  <c:v>63</c:v>
                </c:pt>
                <c:pt idx="27">
                  <c:v>55</c:v>
                </c:pt>
                <c:pt idx="28">
                  <c:v>23</c:v>
                </c:pt>
                <c:pt idx="29">
                  <c:v>31</c:v>
                </c:pt>
                <c:pt idx="30">
                  <c:v>22</c:v>
                </c:pt>
                <c:pt idx="31">
                  <c:v>18</c:v>
                </c:pt>
                <c:pt idx="32">
                  <c:v>19</c:v>
                </c:pt>
                <c:pt idx="33">
                  <c:v>63</c:v>
                </c:pt>
                <c:pt idx="34">
                  <c:v>28</c:v>
                </c:pt>
                <c:pt idx="35">
                  <c:v>19</c:v>
                </c:pt>
                <c:pt idx="36">
                  <c:v>62</c:v>
                </c:pt>
                <c:pt idx="37">
                  <c:v>26</c:v>
                </c:pt>
                <c:pt idx="38">
                  <c:v>35</c:v>
                </c:pt>
                <c:pt idx="39">
                  <c:v>60</c:v>
                </c:pt>
                <c:pt idx="40">
                  <c:v>24</c:v>
                </c:pt>
                <c:pt idx="41">
                  <c:v>31</c:v>
                </c:pt>
                <c:pt idx="42">
                  <c:v>41</c:v>
                </c:pt>
                <c:pt idx="43">
                  <c:v>37</c:v>
                </c:pt>
                <c:pt idx="44">
                  <c:v>38</c:v>
                </c:pt>
                <c:pt idx="45">
                  <c:v>55</c:v>
                </c:pt>
                <c:pt idx="46">
                  <c:v>18</c:v>
                </c:pt>
                <c:pt idx="47">
                  <c:v>28</c:v>
                </c:pt>
                <c:pt idx="48">
                  <c:v>60</c:v>
                </c:pt>
                <c:pt idx="49">
                  <c:v>36</c:v>
                </c:pt>
                <c:pt idx="50">
                  <c:v>18</c:v>
                </c:pt>
                <c:pt idx="51">
                  <c:v>21</c:v>
                </c:pt>
                <c:pt idx="52">
                  <c:v>48</c:v>
                </c:pt>
                <c:pt idx="53">
                  <c:v>36</c:v>
                </c:pt>
                <c:pt idx="54">
                  <c:v>40</c:v>
                </c:pt>
                <c:pt idx="55">
                  <c:v>58</c:v>
                </c:pt>
                <c:pt idx="56">
                  <c:v>58</c:v>
                </c:pt>
                <c:pt idx="57">
                  <c:v>18</c:v>
                </c:pt>
                <c:pt idx="58">
                  <c:v>53</c:v>
                </c:pt>
                <c:pt idx="59">
                  <c:v>34</c:v>
                </c:pt>
                <c:pt idx="60">
                  <c:v>43</c:v>
                </c:pt>
                <c:pt idx="61">
                  <c:v>25</c:v>
                </c:pt>
                <c:pt idx="62">
                  <c:v>64</c:v>
                </c:pt>
                <c:pt idx="63">
                  <c:v>28</c:v>
                </c:pt>
                <c:pt idx="64">
                  <c:v>20</c:v>
                </c:pt>
                <c:pt idx="65">
                  <c:v>19</c:v>
                </c:pt>
                <c:pt idx="66">
                  <c:v>61</c:v>
                </c:pt>
                <c:pt idx="67">
                  <c:v>40</c:v>
                </c:pt>
                <c:pt idx="68">
                  <c:v>40</c:v>
                </c:pt>
                <c:pt idx="69">
                  <c:v>28</c:v>
                </c:pt>
                <c:pt idx="70">
                  <c:v>27</c:v>
                </c:pt>
                <c:pt idx="71">
                  <c:v>31</c:v>
                </c:pt>
                <c:pt idx="72">
                  <c:v>53</c:v>
                </c:pt>
                <c:pt idx="73">
                  <c:v>58</c:v>
                </c:pt>
                <c:pt idx="74">
                  <c:v>44</c:v>
                </c:pt>
                <c:pt idx="75">
                  <c:v>57</c:v>
                </c:pt>
                <c:pt idx="76">
                  <c:v>29</c:v>
                </c:pt>
                <c:pt idx="77">
                  <c:v>21</c:v>
                </c:pt>
                <c:pt idx="78">
                  <c:v>22</c:v>
                </c:pt>
                <c:pt idx="79">
                  <c:v>41</c:v>
                </c:pt>
                <c:pt idx="80">
                  <c:v>31</c:v>
                </c:pt>
                <c:pt idx="81">
                  <c:v>45</c:v>
                </c:pt>
                <c:pt idx="82">
                  <c:v>22</c:v>
                </c:pt>
                <c:pt idx="83">
                  <c:v>48</c:v>
                </c:pt>
                <c:pt idx="84">
                  <c:v>37</c:v>
                </c:pt>
                <c:pt idx="85">
                  <c:v>45</c:v>
                </c:pt>
                <c:pt idx="86">
                  <c:v>57</c:v>
                </c:pt>
                <c:pt idx="87">
                  <c:v>56</c:v>
                </c:pt>
                <c:pt idx="88">
                  <c:v>46</c:v>
                </c:pt>
                <c:pt idx="89">
                  <c:v>55</c:v>
                </c:pt>
                <c:pt idx="90">
                  <c:v>21</c:v>
                </c:pt>
                <c:pt idx="91">
                  <c:v>53</c:v>
                </c:pt>
                <c:pt idx="92">
                  <c:v>59</c:v>
                </c:pt>
                <c:pt idx="93">
                  <c:v>35</c:v>
                </c:pt>
                <c:pt idx="94">
                  <c:v>64</c:v>
                </c:pt>
                <c:pt idx="95">
                  <c:v>28</c:v>
                </c:pt>
                <c:pt idx="96">
                  <c:v>54</c:v>
                </c:pt>
                <c:pt idx="97">
                  <c:v>55</c:v>
                </c:pt>
                <c:pt idx="98">
                  <c:v>56</c:v>
                </c:pt>
                <c:pt idx="99">
                  <c:v>38</c:v>
                </c:pt>
                <c:pt idx="100">
                  <c:v>41</c:v>
                </c:pt>
                <c:pt idx="101">
                  <c:v>30</c:v>
                </c:pt>
                <c:pt idx="102">
                  <c:v>18</c:v>
                </c:pt>
                <c:pt idx="103">
                  <c:v>61</c:v>
                </c:pt>
                <c:pt idx="104">
                  <c:v>34</c:v>
                </c:pt>
                <c:pt idx="105">
                  <c:v>20</c:v>
                </c:pt>
                <c:pt idx="106">
                  <c:v>19</c:v>
                </c:pt>
                <c:pt idx="107">
                  <c:v>26</c:v>
                </c:pt>
                <c:pt idx="108">
                  <c:v>29</c:v>
                </c:pt>
                <c:pt idx="109">
                  <c:v>63</c:v>
                </c:pt>
                <c:pt idx="110">
                  <c:v>54</c:v>
                </c:pt>
                <c:pt idx="111">
                  <c:v>55</c:v>
                </c:pt>
                <c:pt idx="112">
                  <c:v>37</c:v>
                </c:pt>
                <c:pt idx="113">
                  <c:v>21</c:v>
                </c:pt>
                <c:pt idx="114">
                  <c:v>52</c:v>
                </c:pt>
                <c:pt idx="115">
                  <c:v>60</c:v>
                </c:pt>
                <c:pt idx="116">
                  <c:v>58</c:v>
                </c:pt>
                <c:pt idx="117">
                  <c:v>29</c:v>
                </c:pt>
                <c:pt idx="118">
                  <c:v>49</c:v>
                </c:pt>
                <c:pt idx="119">
                  <c:v>37</c:v>
                </c:pt>
                <c:pt idx="120">
                  <c:v>44</c:v>
                </c:pt>
                <c:pt idx="121">
                  <c:v>18</c:v>
                </c:pt>
                <c:pt idx="122">
                  <c:v>20</c:v>
                </c:pt>
                <c:pt idx="123">
                  <c:v>44</c:v>
                </c:pt>
                <c:pt idx="124">
                  <c:v>47</c:v>
                </c:pt>
                <c:pt idx="125">
                  <c:v>26</c:v>
                </c:pt>
                <c:pt idx="126">
                  <c:v>19</c:v>
                </c:pt>
                <c:pt idx="127">
                  <c:v>52</c:v>
                </c:pt>
                <c:pt idx="128">
                  <c:v>32</c:v>
                </c:pt>
                <c:pt idx="129">
                  <c:v>38</c:v>
                </c:pt>
                <c:pt idx="130">
                  <c:v>59</c:v>
                </c:pt>
                <c:pt idx="131">
                  <c:v>61</c:v>
                </c:pt>
                <c:pt idx="132">
                  <c:v>53</c:v>
                </c:pt>
                <c:pt idx="133">
                  <c:v>19</c:v>
                </c:pt>
                <c:pt idx="134">
                  <c:v>20</c:v>
                </c:pt>
                <c:pt idx="135">
                  <c:v>22</c:v>
                </c:pt>
                <c:pt idx="136">
                  <c:v>19</c:v>
                </c:pt>
                <c:pt idx="137">
                  <c:v>22</c:v>
                </c:pt>
                <c:pt idx="138">
                  <c:v>54</c:v>
                </c:pt>
                <c:pt idx="139">
                  <c:v>22</c:v>
                </c:pt>
                <c:pt idx="140">
                  <c:v>34</c:v>
                </c:pt>
                <c:pt idx="141">
                  <c:v>26</c:v>
                </c:pt>
                <c:pt idx="142">
                  <c:v>34</c:v>
                </c:pt>
                <c:pt idx="143">
                  <c:v>29</c:v>
                </c:pt>
                <c:pt idx="144">
                  <c:v>30</c:v>
                </c:pt>
                <c:pt idx="145">
                  <c:v>29</c:v>
                </c:pt>
                <c:pt idx="146">
                  <c:v>46</c:v>
                </c:pt>
                <c:pt idx="147">
                  <c:v>51</c:v>
                </c:pt>
                <c:pt idx="148">
                  <c:v>53</c:v>
                </c:pt>
                <c:pt idx="149">
                  <c:v>19</c:v>
                </c:pt>
                <c:pt idx="150">
                  <c:v>35</c:v>
                </c:pt>
                <c:pt idx="151">
                  <c:v>48</c:v>
                </c:pt>
                <c:pt idx="152">
                  <c:v>32</c:v>
                </c:pt>
                <c:pt idx="153">
                  <c:v>42</c:v>
                </c:pt>
                <c:pt idx="154">
                  <c:v>40</c:v>
                </c:pt>
                <c:pt idx="155">
                  <c:v>44</c:v>
                </c:pt>
                <c:pt idx="156">
                  <c:v>48</c:v>
                </c:pt>
                <c:pt idx="157">
                  <c:v>18</c:v>
                </c:pt>
                <c:pt idx="158">
                  <c:v>30</c:v>
                </c:pt>
                <c:pt idx="159">
                  <c:v>50</c:v>
                </c:pt>
                <c:pt idx="160">
                  <c:v>42</c:v>
                </c:pt>
                <c:pt idx="161">
                  <c:v>18</c:v>
                </c:pt>
                <c:pt idx="162">
                  <c:v>54</c:v>
                </c:pt>
                <c:pt idx="163">
                  <c:v>32</c:v>
                </c:pt>
                <c:pt idx="164">
                  <c:v>37</c:v>
                </c:pt>
                <c:pt idx="165">
                  <c:v>47</c:v>
                </c:pt>
                <c:pt idx="166">
                  <c:v>20</c:v>
                </c:pt>
                <c:pt idx="167">
                  <c:v>32</c:v>
                </c:pt>
                <c:pt idx="168">
                  <c:v>19</c:v>
                </c:pt>
                <c:pt idx="169">
                  <c:v>27</c:v>
                </c:pt>
                <c:pt idx="170">
                  <c:v>63</c:v>
                </c:pt>
                <c:pt idx="171">
                  <c:v>49</c:v>
                </c:pt>
                <c:pt idx="172">
                  <c:v>18</c:v>
                </c:pt>
                <c:pt idx="173">
                  <c:v>35</c:v>
                </c:pt>
                <c:pt idx="174">
                  <c:v>24</c:v>
                </c:pt>
                <c:pt idx="175">
                  <c:v>63</c:v>
                </c:pt>
                <c:pt idx="176">
                  <c:v>38</c:v>
                </c:pt>
                <c:pt idx="177">
                  <c:v>54</c:v>
                </c:pt>
                <c:pt idx="178">
                  <c:v>46</c:v>
                </c:pt>
                <c:pt idx="179">
                  <c:v>41</c:v>
                </c:pt>
                <c:pt idx="180">
                  <c:v>58</c:v>
                </c:pt>
                <c:pt idx="181">
                  <c:v>18</c:v>
                </c:pt>
                <c:pt idx="182">
                  <c:v>22</c:v>
                </c:pt>
                <c:pt idx="183">
                  <c:v>44</c:v>
                </c:pt>
                <c:pt idx="184">
                  <c:v>44</c:v>
                </c:pt>
                <c:pt idx="185">
                  <c:v>36</c:v>
                </c:pt>
                <c:pt idx="186">
                  <c:v>26</c:v>
                </c:pt>
                <c:pt idx="187">
                  <c:v>30</c:v>
                </c:pt>
                <c:pt idx="188">
                  <c:v>41</c:v>
                </c:pt>
                <c:pt idx="189">
                  <c:v>29</c:v>
                </c:pt>
                <c:pt idx="190">
                  <c:v>61</c:v>
                </c:pt>
                <c:pt idx="191">
                  <c:v>36</c:v>
                </c:pt>
                <c:pt idx="192">
                  <c:v>25</c:v>
                </c:pt>
                <c:pt idx="193">
                  <c:v>56</c:v>
                </c:pt>
                <c:pt idx="194">
                  <c:v>18</c:v>
                </c:pt>
                <c:pt idx="195">
                  <c:v>19</c:v>
                </c:pt>
                <c:pt idx="196">
                  <c:v>39</c:v>
                </c:pt>
                <c:pt idx="197">
                  <c:v>45</c:v>
                </c:pt>
                <c:pt idx="198">
                  <c:v>51</c:v>
                </c:pt>
                <c:pt idx="199">
                  <c:v>64</c:v>
                </c:pt>
                <c:pt idx="200">
                  <c:v>19</c:v>
                </c:pt>
                <c:pt idx="201">
                  <c:v>48</c:v>
                </c:pt>
                <c:pt idx="202">
                  <c:v>60</c:v>
                </c:pt>
                <c:pt idx="203">
                  <c:v>27</c:v>
                </c:pt>
                <c:pt idx="204">
                  <c:v>46</c:v>
                </c:pt>
                <c:pt idx="205">
                  <c:v>28</c:v>
                </c:pt>
                <c:pt idx="206">
                  <c:v>59</c:v>
                </c:pt>
                <c:pt idx="207">
                  <c:v>35</c:v>
                </c:pt>
                <c:pt idx="208">
                  <c:v>63</c:v>
                </c:pt>
                <c:pt idx="209">
                  <c:v>40</c:v>
                </c:pt>
                <c:pt idx="210">
                  <c:v>20</c:v>
                </c:pt>
                <c:pt idx="211">
                  <c:v>40</c:v>
                </c:pt>
                <c:pt idx="212">
                  <c:v>24</c:v>
                </c:pt>
                <c:pt idx="213">
                  <c:v>34</c:v>
                </c:pt>
                <c:pt idx="214">
                  <c:v>45</c:v>
                </c:pt>
                <c:pt idx="215">
                  <c:v>41</c:v>
                </c:pt>
                <c:pt idx="216">
                  <c:v>53</c:v>
                </c:pt>
                <c:pt idx="217">
                  <c:v>27</c:v>
                </c:pt>
                <c:pt idx="218">
                  <c:v>26</c:v>
                </c:pt>
                <c:pt idx="219">
                  <c:v>24</c:v>
                </c:pt>
                <c:pt idx="220">
                  <c:v>34</c:v>
                </c:pt>
                <c:pt idx="221">
                  <c:v>53</c:v>
                </c:pt>
                <c:pt idx="222">
                  <c:v>32</c:v>
                </c:pt>
                <c:pt idx="223">
                  <c:v>19</c:v>
                </c:pt>
                <c:pt idx="224">
                  <c:v>42</c:v>
                </c:pt>
                <c:pt idx="225">
                  <c:v>55</c:v>
                </c:pt>
                <c:pt idx="226">
                  <c:v>28</c:v>
                </c:pt>
                <c:pt idx="227">
                  <c:v>58</c:v>
                </c:pt>
                <c:pt idx="228">
                  <c:v>41</c:v>
                </c:pt>
                <c:pt idx="229">
                  <c:v>47</c:v>
                </c:pt>
                <c:pt idx="230">
                  <c:v>42</c:v>
                </c:pt>
                <c:pt idx="231">
                  <c:v>59</c:v>
                </c:pt>
                <c:pt idx="232">
                  <c:v>19</c:v>
                </c:pt>
                <c:pt idx="233">
                  <c:v>59</c:v>
                </c:pt>
                <c:pt idx="234">
                  <c:v>39</c:v>
                </c:pt>
                <c:pt idx="235">
                  <c:v>40</c:v>
                </c:pt>
                <c:pt idx="236">
                  <c:v>18</c:v>
                </c:pt>
                <c:pt idx="237">
                  <c:v>31</c:v>
                </c:pt>
                <c:pt idx="238">
                  <c:v>19</c:v>
                </c:pt>
                <c:pt idx="239">
                  <c:v>44</c:v>
                </c:pt>
                <c:pt idx="240">
                  <c:v>23</c:v>
                </c:pt>
                <c:pt idx="241">
                  <c:v>33</c:v>
                </c:pt>
                <c:pt idx="242">
                  <c:v>55</c:v>
                </c:pt>
                <c:pt idx="243">
                  <c:v>40</c:v>
                </c:pt>
                <c:pt idx="244">
                  <c:v>63</c:v>
                </c:pt>
                <c:pt idx="245">
                  <c:v>54</c:v>
                </c:pt>
                <c:pt idx="246">
                  <c:v>60</c:v>
                </c:pt>
                <c:pt idx="247">
                  <c:v>24</c:v>
                </c:pt>
                <c:pt idx="248">
                  <c:v>19</c:v>
                </c:pt>
                <c:pt idx="249">
                  <c:v>29</c:v>
                </c:pt>
                <c:pt idx="250">
                  <c:v>18</c:v>
                </c:pt>
                <c:pt idx="251">
                  <c:v>63</c:v>
                </c:pt>
                <c:pt idx="252">
                  <c:v>54</c:v>
                </c:pt>
                <c:pt idx="253">
                  <c:v>27</c:v>
                </c:pt>
                <c:pt idx="254">
                  <c:v>50</c:v>
                </c:pt>
                <c:pt idx="255">
                  <c:v>55</c:v>
                </c:pt>
                <c:pt idx="256">
                  <c:v>56</c:v>
                </c:pt>
                <c:pt idx="257">
                  <c:v>38</c:v>
                </c:pt>
                <c:pt idx="258">
                  <c:v>51</c:v>
                </c:pt>
                <c:pt idx="259">
                  <c:v>19</c:v>
                </c:pt>
                <c:pt idx="260">
                  <c:v>58</c:v>
                </c:pt>
                <c:pt idx="261">
                  <c:v>20</c:v>
                </c:pt>
                <c:pt idx="262">
                  <c:v>52</c:v>
                </c:pt>
                <c:pt idx="263">
                  <c:v>19</c:v>
                </c:pt>
                <c:pt idx="264">
                  <c:v>53</c:v>
                </c:pt>
                <c:pt idx="265">
                  <c:v>46</c:v>
                </c:pt>
                <c:pt idx="266">
                  <c:v>40</c:v>
                </c:pt>
                <c:pt idx="267">
                  <c:v>59</c:v>
                </c:pt>
                <c:pt idx="268">
                  <c:v>45</c:v>
                </c:pt>
                <c:pt idx="269">
                  <c:v>49</c:v>
                </c:pt>
                <c:pt idx="270">
                  <c:v>18</c:v>
                </c:pt>
                <c:pt idx="271">
                  <c:v>50</c:v>
                </c:pt>
                <c:pt idx="272">
                  <c:v>41</c:v>
                </c:pt>
                <c:pt idx="273">
                  <c:v>50</c:v>
                </c:pt>
                <c:pt idx="274">
                  <c:v>25</c:v>
                </c:pt>
                <c:pt idx="275">
                  <c:v>47</c:v>
                </c:pt>
                <c:pt idx="276">
                  <c:v>19</c:v>
                </c:pt>
                <c:pt idx="277">
                  <c:v>22</c:v>
                </c:pt>
                <c:pt idx="278">
                  <c:v>59</c:v>
                </c:pt>
                <c:pt idx="279">
                  <c:v>51</c:v>
                </c:pt>
                <c:pt idx="280">
                  <c:v>40</c:v>
                </c:pt>
                <c:pt idx="281">
                  <c:v>54</c:v>
                </c:pt>
                <c:pt idx="282">
                  <c:v>30</c:v>
                </c:pt>
                <c:pt idx="283">
                  <c:v>55</c:v>
                </c:pt>
                <c:pt idx="284">
                  <c:v>52</c:v>
                </c:pt>
                <c:pt idx="285">
                  <c:v>46</c:v>
                </c:pt>
                <c:pt idx="286">
                  <c:v>46</c:v>
                </c:pt>
                <c:pt idx="287">
                  <c:v>63</c:v>
                </c:pt>
                <c:pt idx="288">
                  <c:v>59</c:v>
                </c:pt>
                <c:pt idx="289">
                  <c:v>52</c:v>
                </c:pt>
                <c:pt idx="290">
                  <c:v>28</c:v>
                </c:pt>
                <c:pt idx="291">
                  <c:v>29</c:v>
                </c:pt>
                <c:pt idx="292">
                  <c:v>25</c:v>
                </c:pt>
                <c:pt idx="293">
                  <c:v>22</c:v>
                </c:pt>
                <c:pt idx="294">
                  <c:v>25</c:v>
                </c:pt>
                <c:pt idx="295">
                  <c:v>18</c:v>
                </c:pt>
                <c:pt idx="296">
                  <c:v>19</c:v>
                </c:pt>
                <c:pt idx="297">
                  <c:v>47</c:v>
                </c:pt>
                <c:pt idx="298">
                  <c:v>31</c:v>
                </c:pt>
                <c:pt idx="299">
                  <c:v>48</c:v>
                </c:pt>
                <c:pt idx="300">
                  <c:v>36</c:v>
                </c:pt>
                <c:pt idx="301">
                  <c:v>53</c:v>
                </c:pt>
                <c:pt idx="302">
                  <c:v>56</c:v>
                </c:pt>
                <c:pt idx="303">
                  <c:v>28</c:v>
                </c:pt>
                <c:pt idx="304">
                  <c:v>57</c:v>
                </c:pt>
                <c:pt idx="305">
                  <c:v>29</c:v>
                </c:pt>
                <c:pt idx="306">
                  <c:v>28</c:v>
                </c:pt>
                <c:pt idx="307">
                  <c:v>30</c:v>
                </c:pt>
                <c:pt idx="308">
                  <c:v>58</c:v>
                </c:pt>
                <c:pt idx="309">
                  <c:v>41</c:v>
                </c:pt>
                <c:pt idx="310">
                  <c:v>50</c:v>
                </c:pt>
                <c:pt idx="311">
                  <c:v>19</c:v>
                </c:pt>
                <c:pt idx="312">
                  <c:v>43</c:v>
                </c:pt>
                <c:pt idx="313">
                  <c:v>49</c:v>
                </c:pt>
                <c:pt idx="314">
                  <c:v>27</c:v>
                </c:pt>
                <c:pt idx="315">
                  <c:v>52</c:v>
                </c:pt>
                <c:pt idx="316">
                  <c:v>50</c:v>
                </c:pt>
                <c:pt idx="317">
                  <c:v>54</c:v>
                </c:pt>
                <c:pt idx="318">
                  <c:v>44</c:v>
                </c:pt>
                <c:pt idx="319">
                  <c:v>32</c:v>
                </c:pt>
                <c:pt idx="320">
                  <c:v>34</c:v>
                </c:pt>
                <c:pt idx="321">
                  <c:v>26</c:v>
                </c:pt>
                <c:pt idx="322">
                  <c:v>34</c:v>
                </c:pt>
                <c:pt idx="323">
                  <c:v>57</c:v>
                </c:pt>
                <c:pt idx="324">
                  <c:v>29</c:v>
                </c:pt>
                <c:pt idx="325">
                  <c:v>40</c:v>
                </c:pt>
                <c:pt idx="326">
                  <c:v>27</c:v>
                </c:pt>
                <c:pt idx="327">
                  <c:v>45</c:v>
                </c:pt>
                <c:pt idx="328">
                  <c:v>64</c:v>
                </c:pt>
                <c:pt idx="329">
                  <c:v>52</c:v>
                </c:pt>
                <c:pt idx="330">
                  <c:v>61</c:v>
                </c:pt>
                <c:pt idx="331">
                  <c:v>52</c:v>
                </c:pt>
                <c:pt idx="332">
                  <c:v>61</c:v>
                </c:pt>
                <c:pt idx="333">
                  <c:v>56</c:v>
                </c:pt>
                <c:pt idx="334">
                  <c:v>43</c:v>
                </c:pt>
                <c:pt idx="335">
                  <c:v>64</c:v>
                </c:pt>
                <c:pt idx="336">
                  <c:v>60</c:v>
                </c:pt>
                <c:pt idx="337">
                  <c:v>62</c:v>
                </c:pt>
                <c:pt idx="338">
                  <c:v>50</c:v>
                </c:pt>
                <c:pt idx="339">
                  <c:v>46</c:v>
                </c:pt>
                <c:pt idx="340">
                  <c:v>24</c:v>
                </c:pt>
                <c:pt idx="341">
                  <c:v>62</c:v>
                </c:pt>
                <c:pt idx="342">
                  <c:v>60</c:v>
                </c:pt>
                <c:pt idx="343">
                  <c:v>63</c:v>
                </c:pt>
                <c:pt idx="344">
                  <c:v>49</c:v>
                </c:pt>
                <c:pt idx="345">
                  <c:v>34</c:v>
                </c:pt>
                <c:pt idx="346">
                  <c:v>33</c:v>
                </c:pt>
                <c:pt idx="347">
                  <c:v>46</c:v>
                </c:pt>
                <c:pt idx="348">
                  <c:v>36</c:v>
                </c:pt>
                <c:pt idx="349">
                  <c:v>19</c:v>
                </c:pt>
                <c:pt idx="350">
                  <c:v>57</c:v>
                </c:pt>
                <c:pt idx="351">
                  <c:v>50</c:v>
                </c:pt>
                <c:pt idx="352">
                  <c:v>30</c:v>
                </c:pt>
                <c:pt idx="353">
                  <c:v>33</c:v>
                </c:pt>
                <c:pt idx="354">
                  <c:v>18</c:v>
                </c:pt>
                <c:pt idx="355">
                  <c:v>46</c:v>
                </c:pt>
                <c:pt idx="356">
                  <c:v>46</c:v>
                </c:pt>
                <c:pt idx="357">
                  <c:v>47</c:v>
                </c:pt>
                <c:pt idx="358">
                  <c:v>23</c:v>
                </c:pt>
                <c:pt idx="359">
                  <c:v>18</c:v>
                </c:pt>
                <c:pt idx="360">
                  <c:v>48</c:v>
                </c:pt>
                <c:pt idx="361">
                  <c:v>35</c:v>
                </c:pt>
                <c:pt idx="362">
                  <c:v>19</c:v>
                </c:pt>
                <c:pt idx="363">
                  <c:v>21</c:v>
                </c:pt>
                <c:pt idx="364">
                  <c:v>21</c:v>
                </c:pt>
                <c:pt idx="365">
                  <c:v>49</c:v>
                </c:pt>
                <c:pt idx="366">
                  <c:v>56</c:v>
                </c:pt>
                <c:pt idx="367">
                  <c:v>42</c:v>
                </c:pt>
                <c:pt idx="368">
                  <c:v>44</c:v>
                </c:pt>
                <c:pt idx="369">
                  <c:v>18</c:v>
                </c:pt>
                <c:pt idx="370">
                  <c:v>61</c:v>
                </c:pt>
                <c:pt idx="371">
                  <c:v>57</c:v>
                </c:pt>
                <c:pt idx="372">
                  <c:v>42</c:v>
                </c:pt>
                <c:pt idx="373">
                  <c:v>26</c:v>
                </c:pt>
                <c:pt idx="374">
                  <c:v>20</c:v>
                </c:pt>
                <c:pt idx="375">
                  <c:v>23</c:v>
                </c:pt>
                <c:pt idx="376">
                  <c:v>39</c:v>
                </c:pt>
                <c:pt idx="377">
                  <c:v>24</c:v>
                </c:pt>
                <c:pt idx="378">
                  <c:v>64</c:v>
                </c:pt>
                <c:pt idx="379">
                  <c:v>62</c:v>
                </c:pt>
                <c:pt idx="380">
                  <c:v>27</c:v>
                </c:pt>
                <c:pt idx="381">
                  <c:v>55</c:v>
                </c:pt>
                <c:pt idx="382">
                  <c:v>55</c:v>
                </c:pt>
                <c:pt idx="383">
                  <c:v>35</c:v>
                </c:pt>
                <c:pt idx="384">
                  <c:v>44</c:v>
                </c:pt>
                <c:pt idx="385">
                  <c:v>19</c:v>
                </c:pt>
                <c:pt idx="386">
                  <c:v>58</c:v>
                </c:pt>
                <c:pt idx="387">
                  <c:v>50</c:v>
                </c:pt>
                <c:pt idx="388">
                  <c:v>26</c:v>
                </c:pt>
                <c:pt idx="389">
                  <c:v>24</c:v>
                </c:pt>
                <c:pt idx="390">
                  <c:v>48</c:v>
                </c:pt>
                <c:pt idx="391">
                  <c:v>19</c:v>
                </c:pt>
                <c:pt idx="392">
                  <c:v>48</c:v>
                </c:pt>
                <c:pt idx="393">
                  <c:v>49</c:v>
                </c:pt>
                <c:pt idx="394">
                  <c:v>46</c:v>
                </c:pt>
                <c:pt idx="395">
                  <c:v>46</c:v>
                </c:pt>
                <c:pt idx="396">
                  <c:v>43</c:v>
                </c:pt>
                <c:pt idx="397">
                  <c:v>21</c:v>
                </c:pt>
                <c:pt idx="398">
                  <c:v>64</c:v>
                </c:pt>
                <c:pt idx="399">
                  <c:v>18</c:v>
                </c:pt>
                <c:pt idx="400">
                  <c:v>51</c:v>
                </c:pt>
                <c:pt idx="401">
                  <c:v>47</c:v>
                </c:pt>
                <c:pt idx="402">
                  <c:v>64</c:v>
                </c:pt>
                <c:pt idx="403">
                  <c:v>49</c:v>
                </c:pt>
                <c:pt idx="404">
                  <c:v>31</c:v>
                </c:pt>
                <c:pt idx="405">
                  <c:v>52</c:v>
                </c:pt>
                <c:pt idx="406">
                  <c:v>33</c:v>
                </c:pt>
                <c:pt idx="407">
                  <c:v>47</c:v>
                </c:pt>
                <c:pt idx="408">
                  <c:v>38</c:v>
                </c:pt>
                <c:pt idx="409">
                  <c:v>32</c:v>
                </c:pt>
                <c:pt idx="410">
                  <c:v>19</c:v>
                </c:pt>
                <c:pt idx="411">
                  <c:v>44</c:v>
                </c:pt>
                <c:pt idx="412">
                  <c:v>26</c:v>
                </c:pt>
                <c:pt idx="413">
                  <c:v>25</c:v>
                </c:pt>
                <c:pt idx="414">
                  <c:v>19</c:v>
                </c:pt>
                <c:pt idx="415">
                  <c:v>43</c:v>
                </c:pt>
                <c:pt idx="416">
                  <c:v>52</c:v>
                </c:pt>
                <c:pt idx="417">
                  <c:v>36</c:v>
                </c:pt>
                <c:pt idx="418">
                  <c:v>64</c:v>
                </c:pt>
                <c:pt idx="419">
                  <c:v>63</c:v>
                </c:pt>
                <c:pt idx="420">
                  <c:v>64</c:v>
                </c:pt>
                <c:pt idx="421">
                  <c:v>61</c:v>
                </c:pt>
                <c:pt idx="422">
                  <c:v>40</c:v>
                </c:pt>
                <c:pt idx="423">
                  <c:v>25</c:v>
                </c:pt>
                <c:pt idx="424">
                  <c:v>48</c:v>
                </c:pt>
                <c:pt idx="425">
                  <c:v>45</c:v>
                </c:pt>
                <c:pt idx="426">
                  <c:v>38</c:v>
                </c:pt>
                <c:pt idx="427">
                  <c:v>18</c:v>
                </c:pt>
                <c:pt idx="428">
                  <c:v>21</c:v>
                </c:pt>
                <c:pt idx="429">
                  <c:v>27</c:v>
                </c:pt>
                <c:pt idx="430">
                  <c:v>19</c:v>
                </c:pt>
                <c:pt idx="431">
                  <c:v>29</c:v>
                </c:pt>
                <c:pt idx="432">
                  <c:v>42</c:v>
                </c:pt>
                <c:pt idx="433">
                  <c:v>60</c:v>
                </c:pt>
                <c:pt idx="434">
                  <c:v>31</c:v>
                </c:pt>
                <c:pt idx="435">
                  <c:v>60</c:v>
                </c:pt>
                <c:pt idx="436">
                  <c:v>22</c:v>
                </c:pt>
                <c:pt idx="437">
                  <c:v>35</c:v>
                </c:pt>
                <c:pt idx="438">
                  <c:v>52</c:v>
                </c:pt>
                <c:pt idx="439">
                  <c:v>26</c:v>
                </c:pt>
                <c:pt idx="440">
                  <c:v>31</c:v>
                </c:pt>
                <c:pt idx="441">
                  <c:v>33</c:v>
                </c:pt>
                <c:pt idx="442">
                  <c:v>18</c:v>
                </c:pt>
                <c:pt idx="443">
                  <c:v>59</c:v>
                </c:pt>
                <c:pt idx="444">
                  <c:v>56</c:v>
                </c:pt>
                <c:pt idx="445">
                  <c:v>45</c:v>
                </c:pt>
                <c:pt idx="446">
                  <c:v>60</c:v>
                </c:pt>
                <c:pt idx="447">
                  <c:v>56</c:v>
                </c:pt>
                <c:pt idx="448">
                  <c:v>40</c:v>
                </c:pt>
                <c:pt idx="449">
                  <c:v>35</c:v>
                </c:pt>
                <c:pt idx="450">
                  <c:v>39</c:v>
                </c:pt>
                <c:pt idx="451">
                  <c:v>30</c:v>
                </c:pt>
                <c:pt idx="452">
                  <c:v>24</c:v>
                </c:pt>
                <c:pt idx="453">
                  <c:v>20</c:v>
                </c:pt>
                <c:pt idx="454">
                  <c:v>32</c:v>
                </c:pt>
                <c:pt idx="455">
                  <c:v>59</c:v>
                </c:pt>
                <c:pt idx="456">
                  <c:v>55</c:v>
                </c:pt>
                <c:pt idx="457">
                  <c:v>57</c:v>
                </c:pt>
                <c:pt idx="458">
                  <c:v>56</c:v>
                </c:pt>
                <c:pt idx="459">
                  <c:v>40</c:v>
                </c:pt>
                <c:pt idx="460">
                  <c:v>49</c:v>
                </c:pt>
                <c:pt idx="461">
                  <c:v>42</c:v>
                </c:pt>
                <c:pt idx="462">
                  <c:v>62</c:v>
                </c:pt>
                <c:pt idx="463">
                  <c:v>56</c:v>
                </c:pt>
                <c:pt idx="464">
                  <c:v>19</c:v>
                </c:pt>
                <c:pt idx="465">
                  <c:v>30</c:v>
                </c:pt>
                <c:pt idx="466">
                  <c:v>60</c:v>
                </c:pt>
                <c:pt idx="467">
                  <c:v>56</c:v>
                </c:pt>
                <c:pt idx="468">
                  <c:v>28</c:v>
                </c:pt>
                <c:pt idx="469">
                  <c:v>18</c:v>
                </c:pt>
                <c:pt idx="470">
                  <c:v>27</c:v>
                </c:pt>
                <c:pt idx="471">
                  <c:v>18</c:v>
                </c:pt>
                <c:pt idx="472">
                  <c:v>19</c:v>
                </c:pt>
                <c:pt idx="473">
                  <c:v>47</c:v>
                </c:pt>
                <c:pt idx="474">
                  <c:v>54</c:v>
                </c:pt>
                <c:pt idx="475">
                  <c:v>61</c:v>
                </c:pt>
                <c:pt idx="476">
                  <c:v>24</c:v>
                </c:pt>
                <c:pt idx="477">
                  <c:v>25</c:v>
                </c:pt>
                <c:pt idx="478">
                  <c:v>21</c:v>
                </c:pt>
                <c:pt idx="479">
                  <c:v>23</c:v>
                </c:pt>
                <c:pt idx="480">
                  <c:v>63</c:v>
                </c:pt>
                <c:pt idx="481">
                  <c:v>49</c:v>
                </c:pt>
                <c:pt idx="482">
                  <c:v>18</c:v>
                </c:pt>
                <c:pt idx="483">
                  <c:v>51</c:v>
                </c:pt>
                <c:pt idx="484">
                  <c:v>48</c:v>
                </c:pt>
                <c:pt idx="485">
                  <c:v>31</c:v>
                </c:pt>
                <c:pt idx="486">
                  <c:v>54</c:v>
                </c:pt>
                <c:pt idx="487">
                  <c:v>19</c:v>
                </c:pt>
                <c:pt idx="488">
                  <c:v>44</c:v>
                </c:pt>
                <c:pt idx="489">
                  <c:v>53</c:v>
                </c:pt>
                <c:pt idx="490">
                  <c:v>19</c:v>
                </c:pt>
                <c:pt idx="491">
                  <c:v>61</c:v>
                </c:pt>
                <c:pt idx="492">
                  <c:v>18</c:v>
                </c:pt>
                <c:pt idx="493">
                  <c:v>61</c:v>
                </c:pt>
                <c:pt idx="494">
                  <c:v>21</c:v>
                </c:pt>
                <c:pt idx="495">
                  <c:v>20</c:v>
                </c:pt>
                <c:pt idx="496">
                  <c:v>31</c:v>
                </c:pt>
                <c:pt idx="497">
                  <c:v>45</c:v>
                </c:pt>
                <c:pt idx="498">
                  <c:v>44</c:v>
                </c:pt>
                <c:pt idx="499">
                  <c:v>62</c:v>
                </c:pt>
                <c:pt idx="500">
                  <c:v>29</c:v>
                </c:pt>
                <c:pt idx="501">
                  <c:v>43</c:v>
                </c:pt>
                <c:pt idx="502">
                  <c:v>51</c:v>
                </c:pt>
                <c:pt idx="503">
                  <c:v>19</c:v>
                </c:pt>
                <c:pt idx="504">
                  <c:v>38</c:v>
                </c:pt>
                <c:pt idx="505">
                  <c:v>37</c:v>
                </c:pt>
                <c:pt idx="506">
                  <c:v>22</c:v>
                </c:pt>
                <c:pt idx="507">
                  <c:v>21</c:v>
                </c:pt>
                <c:pt idx="508">
                  <c:v>24</c:v>
                </c:pt>
                <c:pt idx="509">
                  <c:v>57</c:v>
                </c:pt>
                <c:pt idx="510">
                  <c:v>56</c:v>
                </c:pt>
                <c:pt idx="511">
                  <c:v>27</c:v>
                </c:pt>
                <c:pt idx="512">
                  <c:v>51</c:v>
                </c:pt>
                <c:pt idx="513">
                  <c:v>19</c:v>
                </c:pt>
                <c:pt idx="514">
                  <c:v>39</c:v>
                </c:pt>
                <c:pt idx="515">
                  <c:v>58</c:v>
                </c:pt>
                <c:pt idx="516">
                  <c:v>20</c:v>
                </c:pt>
                <c:pt idx="517">
                  <c:v>45</c:v>
                </c:pt>
                <c:pt idx="518">
                  <c:v>35</c:v>
                </c:pt>
                <c:pt idx="519">
                  <c:v>31</c:v>
                </c:pt>
                <c:pt idx="520">
                  <c:v>50</c:v>
                </c:pt>
                <c:pt idx="521">
                  <c:v>32</c:v>
                </c:pt>
                <c:pt idx="522">
                  <c:v>51</c:v>
                </c:pt>
                <c:pt idx="523">
                  <c:v>38</c:v>
                </c:pt>
                <c:pt idx="524">
                  <c:v>42</c:v>
                </c:pt>
                <c:pt idx="525">
                  <c:v>18</c:v>
                </c:pt>
                <c:pt idx="526">
                  <c:v>19</c:v>
                </c:pt>
                <c:pt idx="527">
                  <c:v>51</c:v>
                </c:pt>
                <c:pt idx="528">
                  <c:v>46</c:v>
                </c:pt>
                <c:pt idx="529">
                  <c:v>18</c:v>
                </c:pt>
                <c:pt idx="530">
                  <c:v>57</c:v>
                </c:pt>
                <c:pt idx="531">
                  <c:v>62</c:v>
                </c:pt>
                <c:pt idx="532">
                  <c:v>59</c:v>
                </c:pt>
                <c:pt idx="533">
                  <c:v>37</c:v>
                </c:pt>
                <c:pt idx="534">
                  <c:v>64</c:v>
                </c:pt>
                <c:pt idx="535">
                  <c:v>38</c:v>
                </c:pt>
                <c:pt idx="536">
                  <c:v>33</c:v>
                </c:pt>
                <c:pt idx="537">
                  <c:v>46</c:v>
                </c:pt>
                <c:pt idx="538">
                  <c:v>46</c:v>
                </c:pt>
                <c:pt idx="539">
                  <c:v>53</c:v>
                </c:pt>
                <c:pt idx="540">
                  <c:v>34</c:v>
                </c:pt>
                <c:pt idx="541">
                  <c:v>20</c:v>
                </c:pt>
                <c:pt idx="542">
                  <c:v>63</c:v>
                </c:pt>
                <c:pt idx="543">
                  <c:v>54</c:v>
                </c:pt>
                <c:pt idx="544">
                  <c:v>54</c:v>
                </c:pt>
                <c:pt idx="545">
                  <c:v>49</c:v>
                </c:pt>
                <c:pt idx="546">
                  <c:v>28</c:v>
                </c:pt>
                <c:pt idx="547">
                  <c:v>54</c:v>
                </c:pt>
                <c:pt idx="548">
                  <c:v>25</c:v>
                </c:pt>
                <c:pt idx="549">
                  <c:v>43</c:v>
                </c:pt>
                <c:pt idx="550">
                  <c:v>63</c:v>
                </c:pt>
                <c:pt idx="551">
                  <c:v>32</c:v>
                </c:pt>
                <c:pt idx="552">
                  <c:v>62</c:v>
                </c:pt>
                <c:pt idx="553">
                  <c:v>52</c:v>
                </c:pt>
                <c:pt idx="554">
                  <c:v>25</c:v>
                </c:pt>
                <c:pt idx="555">
                  <c:v>28</c:v>
                </c:pt>
                <c:pt idx="556">
                  <c:v>46</c:v>
                </c:pt>
                <c:pt idx="557">
                  <c:v>34</c:v>
                </c:pt>
                <c:pt idx="558">
                  <c:v>35</c:v>
                </c:pt>
                <c:pt idx="559">
                  <c:v>19</c:v>
                </c:pt>
                <c:pt idx="560">
                  <c:v>46</c:v>
                </c:pt>
                <c:pt idx="561">
                  <c:v>54</c:v>
                </c:pt>
                <c:pt idx="562">
                  <c:v>27</c:v>
                </c:pt>
                <c:pt idx="563">
                  <c:v>50</c:v>
                </c:pt>
                <c:pt idx="564">
                  <c:v>18</c:v>
                </c:pt>
                <c:pt idx="565">
                  <c:v>19</c:v>
                </c:pt>
                <c:pt idx="566">
                  <c:v>38</c:v>
                </c:pt>
                <c:pt idx="567">
                  <c:v>41</c:v>
                </c:pt>
                <c:pt idx="568">
                  <c:v>49</c:v>
                </c:pt>
                <c:pt idx="569">
                  <c:v>48</c:v>
                </c:pt>
                <c:pt idx="570">
                  <c:v>31</c:v>
                </c:pt>
                <c:pt idx="571">
                  <c:v>18</c:v>
                </c:pt>
                <c:pt idx="572">
                  <c:v>30</c:v>
                </c:pt>
                <c:pt idx="573">
                  <c:v>62</c:v>
                </c:pt>
                <c:pt idx="574">
                  <c:v>57</c:v>
                </c:pt>
                <c:pt idx="575">
                  <c:v>58</c:v>
                </c:pt>
                <c:pt idx="576">
                  <c:v>22</c:v>
                </c:pt>
                <c:pt idx="577">
                  <c:v>31</c:v>
                </c:pt>
                <c:pt idx="578">
                  <c:v>52</c:v>
                </c:pt>
                <c:pt idx="579">
                  <c:v>25</c:v>
                </c:pt>
                <c:pt idx="580">
                  <c:v>59</c:v>
                </c:pt>
                <c:pt idx="581">
                  <c:v>19</c:v>
                </c:pt>
                <c:pt idx="582">
                  <c:v>39</c:v>
                </c:pt>
                <c:pt idx="583">
                  <c:v>32</c:v>
                </c:pt>
                <c:pt idx="584">
                  <c:v>19</c:v>
                </c:pt>
                <c:pt idx="585">
                  <c:v>33</c:v>
                </c:pt>
                <c:pt idx="586">
                  <c:v>21</c:v>
                </c:pt>
                <c:pt idx="587">
                  <c:v>34</c:v>
                </c:pt>
                <c:pt idx="588">
                  <c:v>61</c:v>
                </c:pt>
                <c:pt idx="589">
                  <c:v>38</c:v>
                </c:pt>
                <c:pt idx="590">
                  <c:v>58</c:v>
                </c:pt>
                <c:pt idx="591">
                  <c:v>47</c:v>
                </c:pt>
                <c:pt idx="592">
                  <c:v>20</c:v>
                </c:pt>
                <c:pt idx="593">
                  <c:v>21</c:v>
                </c:pt>
                <c:pt idx="594">
                  <c:v>41</c:v>
                </c:pt>
                <c:pt idx="595">
                  <c:v>46</c:v>
                </c:pt>
                <c:pt idx="596">
                  <c:v>42</c:v>
                </c:pt>
                <c:pt idx="597">
                  <c:v>34</c:v>
                </c:pt>
                <c:pt idx="598">
                  <c:v>43</c:v>
                </c:pt>
                <c:pt idx="599">
                  <c:v>52</c:v>
                </c:pt>
                <c:pt idx="600">
                  <c:v>18</c:v>
                </c:pt>
                <c:pt idx="601">
                  <c:v>51</c:v>
                </c:pt>
                <c:pt idx="602">
                  <c:v>56</c:v>
                </c:pt>
                <c:pt idx="603">
                  <c:v>64</c:v>
                </c:pt>
                <c:pt idx="604">
                  <c:v>19</c:v>
                </c:pt>
                <c:pt idx="605">
                  <c:v>51</c:v>
                </c:pt>
                <c:pt idx="606">
                  <c:v>27</c:v>
                </c:pt>
                <c:pt idx="607">
                  <c:v>59</c:v>
                </c:pt>
                <c:pt idx="608">
                  <c:v>28</c:v>
                </c:pt>
                <c:pt idx="609">
                  <c:v>30</c:v>
                </c:pt>
                <c:pt idx="610">
                  <c:v>47</c:v>
                </c:pt>
                <c:pt idx="611">
                  <c:v>38</c:v>
                </c:pt>
                <c:pt idx="612">
                  <c:v>18</c:v>
                </c:pt>
                <c:pt idx="613">
                  <c:v>34</c:v>
                </c:pt>
                <c:pt idx="614">
                  <c:v>20</c:v>
                </c:pt>
                <c:pt idx="615">
                  <c:v>47</c:v>
                </c:pt>
                <c:pt idx="616">
                  <c:v>56</c:v>
                </c:pt>
                <c:pt idx="617">
                  <c:v>49</c:v>
                </c:pt>
                <c:pt idx="618">
                  <c:v>19</c:v>
                </c:pt>
                <c:pt idx="619">
                  <c:v>55</c:v>
                </c:pt>
                <c:pt idx="620">
                  <c:v>30</c:v>
                </c:pt>
                <c:pt idx="621">
                  <c:v>37</c:v>
                </c:pt>
                <c:pt idx="622">
                  <c:v>49</c:v>
                </c:pt>
                <c:pt idx="623">
                  <c:v>18</c:v>
                </c:pt>
                <c:pt idx="624">
                  <c:v>59</c:v>
                </c:pt>
                <c:pt idx="625">
                  <c:v>29</c:v>
                </c:pt>
                <c:pt idx="626">
                  <c:v>36</c:v>
                </c:pt>
                <c:pt idx="627">
                  <c:v>33</c:v>
                </c:pt>
                <c:pt idx="628">
                  <c:v>58</c:v>
                </c:pt>
                <c:pt idx="629">
                  <c:v>44</c:v>
                </c:pt>
                <c:pt idx="630">
                  <c:v>53</c:v>
                </c:pt>
                <c:pt idx="631">
                  <c:v>24</c:v>
                </c:pt>
                <c:pt idx="632">
                  <c:v>29</c:v>
                </c:pt>
                <c:pt idx="633">
                  <c:v>40</c:v>
                </c:pt>
                <c:pt idx="634">
                  <c:v>51</c:v>
                </c:pt>
                <c:pt idx="635">
                  <c:v>64</c:v>
                </c:pt>
                <c:pt idx="636">
                  <c:v>19</c:v>
                </c:pt>
                <c:pt idx="637">
                  <c:v>35</c:v>
                </c:pt>
                <c:pt idx="638">
                  <c:v>39</c:v>
                </c:pt>
                <c:pt idx="639">
                  <c:v>56</c:v>
                </c:pt>
                <c:pt idx="640">
                  <c:v>33</c:v>
                </c:pt>
                <c:pt idx="641">
                  <c:v>42</c:v>
                </c:pt>
                <c:pt idx="642">
                  <c:v>61</c:v>
                </c:pt>
                <c:pt idx="643">
                  <c:v>23</c:v>
                </c:pt>
                <c:pt idx="644">
                  <c:v>43</c:v>
                </c:pt>
                <c:pt idx="645">
                  <c:v>48</c:v>
                </c:pt>
                <c:pt idx="646">
                  <c:v>39</c:v>
                </c:pt>
                <c:pt idx="647">
                  <c:v>40</c:v>
                </c:pt>
                <c:pt idx="648">
                  <c:v>18</c:v>
                </c:pt>
                <c:pt idx="649">
                  <c:v>58</c:v>
                </c:pt>
                <c:pt idx="650">
                  <c:v>49</c:v>
                </c:pt>
                <c:pt idx="651">
                  <c:v>53</c:v>
                </c:pt>
                <c:pt idx="652">
                  <c:v>48</c:v>
                </c:pt>
                <c:pt idx="653">
                  <c:v>45</c:v>
                </c:pt>
                <c:pt idx="654">
                  <c:v>59</c:v>
                </c:pt>
                <c:pt idx="655">
                  <c:v>52</c:v>
                </c:pt>
                <c:pt idx="656">
                  <c:v>26</c:v>
                </c:pt>
                <c:pt idx="657">
                  <c:v>27</c:v>
                </c:pt>
                <c:pt idx="658">
                  <c:v>48</c:v>
                </c:pt>
                <c:pt idx="659">
                  <c:v>57</c:v>
                </c:pt>
                <c:pt idx="660">
                  <c:v>37</c:v>
                </c:pt>
                <c:pt idx="661">
                  <c:v>57</c:v>
                </c:pt>
                <c:pt idx="662">
                  <c:v>32</c:v>
                </c:pt>
                <c:pt idx="663">
                  <c:v>18</c:v>
                </c:pt>
                <c:pt idx="664">
                  <c:v>64</c:v>
                </c:pt>
                <c:pt idx="665">
                  <c:v>43</c:v>
                </c:pt>
                <c:pt idx="666">
                  <c:v>49</c:v>
                </c:pt>
                <c:pt idx="667">
                  <c:v>40</c:v>
                </c:pt>
                <c:pt idx="668">
                  <c:v>62</c:v>
                </c:pt>
                <c:pt idx="669">
                  <c:v>40</c:v>
                </c:pt>
                <c:pt idx="670">
                  <c:v>30</c:v>
                </c:pt>
                <c:pt idx="671">
                  <c:v>29</c:v>
                </c:pt>
                <c:pt idx="672">
                  <c:v>36</c:v>
                </c:pt>
                <c:pt idx="673">
                  <c:v>41</c:v>
                </c:pt>
                <c:pt idx="674">
                  <c:v>44</c:v>
                </c:pt>
                <c:pt idx="675">
                  <c:v>45</c:v>
                </c:pt>
                <c:pt idx="676">
                  <c:v>55</c:v>
                </c:pt>
                <c:pt idx="677">
                  <c:v>60</c:v>
                </c:pt>
                <c:pt idx="678">
                  <c:v>56</c:v>
                </c:pt>
                <c:pt idx="679">
                  <c:v>49</c:v>
                </c:pt>
                <c:pt idx="680">
                  <c:v>21</c:v>
                </c:pt>
                <c:pt idx="681">
                  <c:v>19</c:v>
                </c:pt>
                <c:pt idx="682">
                  <c:v>39</c:v>
                </c:pt>
                <c:pt idx="683">
                  <c:v>53</c:v>
                </c:pt>
                <c:pt idx="684">
                  <c:v>33</c:v>
                </c:pt>
                <c:pt idx="685">
                  <c:v>53</c:v>
                </c:pt>
                <c:pt idx="686">
                  <c:v>42</c:v>
                </c:pt>
                <c:pt idx="687">
                  <c:v>40</c:v>
                </c:pt>
                <c:pt idx="688">
                  <c:v>47</c:v>
                </c:pt>
                <c:pt idx="689">
                  <c:v>27</c:v>
                </c:pt>
                <c:pt idx="690">
                  <c:v>21</c:v>
                </c:pt>
                <c:pt idx="691">
                  <c:v>47</c:v>
                </c:pt>
                <c:pt idx="692">
                  <c:v>20</c:v>
                </c:pt>
                <c:pt idx="693">
                  <c:v>24</c:v>
                </c:pt>
                <c:pt idx="694">
                  <c:v>27</c:v>
                </c:pt>
                <c:pt idx="695">
                  <c:v>26</c:v>
                </c:pt>
                <c:pt idx="696">
                  <c:v>53</c:v>
                </c:pt>
                <c:pt idx="697">
                  <c:v>41</c:v>
                </c:pt>
                <c:pt idx="698">
                  <c:v>56</c:v>
                </c:pt>
                <c:pt idx="699">
                  <c:v>23</c:v>
                </c:pt>
                <c:pt idx="700">
                  <c:v>21</c:v>
                </c:pt>
                <c:pt idx="701">
                  <c:v>50</c:v>
                </c:pt>
                <c:pt idx="702">
                  <c:v>53</c:v>
                </c:pt>
                <c:pt idx="703">
                  <c:v>34</c:v>
                </c:pt>
                <c:pt idx="704">
                  <c:v>47</c:v>
                </c:pt>
                <c:pt idx="705">
                  <c:v>33</c:v>
                </c:pt>
                <c:pt idx="706">
                  <c:v>51</c:v>
                </c:pt>
                <c:pt idx="707">
                  <c:v>49</c:v>
                </c:pt>
                <c:pt idx="708">
                  <c:v>31</c:v>
                </c:pt>
                <c:pt idx="709">
                  <c:v>36</c:v>
                </c:pt>
                <c:pt idx="710">
                  <c:v>18</c:v>
                </c:pt>
                <c:pt idx="711">
                  <c:v>50</c:v>
                </c:pt>
                <c:pt idx="712">
                  <c:v>43</c:v>
                </c:pt>
                <c:pt idx="713">
                  <c:v>20</c:v>
                </c:pt>
                <c:pt idx="714">
                  <c:v>24</c:v>
                </c:pt>
                <c:pt idx="715">
                  <c:v>60</c:v>
                </c:pt>
                <c:pt idx="716">
                  <c:v>49</c:v>
                </c:pt>
                <c:pt idx="717">
                  <c:v>60</c:v>
                </c:pt>
                <c:pt idx="718">
                  <c:v>51</c:v>
                </c:pt>
                <c:pt idx="719">
                  <c:v>58</c:v>
                </c:pt>
                <c:pt idx="720">
                  <c:v>51</c:v>
                </c:pt>
                <c:pt idx="721">
                  <c:v>53</c:v>
                </c:pt>
                <c:pt idx="722">
                  <c:v>62</c:v>
                </c:pt>
                <c:pt idx="723">
                  <c:v>19</c:v>
                </c:pt>
                <c:pt idx="724">
                  <c:v>50</c:v>
                </c:pt>
                <c:pt idx="725">
                  <c:v>30</c:v>
                </c:pt>
                <c:pt idx="726">
                  <c:v>41</c:v>
                </c:pt>
                <c:pt idx="727">
                  <c:v>29</c:v>
                </c:pt>
                <c:pt idx="728">
                  <c:v>18</c:v>
                </c:pt>
                <c:pt idx="729">
                  <c:v>41</c:v>
                </c:pt>
                <c:pt idx="730">
                  <c:v>35</c:v>
                </c:pt>
                <c:pt idx="731">
                  <c:v>53</c:v>
                </c:pt>
                <c:pt idx="732">
                  <c:v>24</c:v>
                </c:pt>
                <c:pt idx="733">
                  <c:v>48</c:v>
                </c:pt>
                <c:pt idx="734">
                  <c:v>59</c:v>
                </c:pt>
                <c:pt idx="735">
                  <c:v>49</c:v>
                </c:pt>
                <c:pt idx="736">
                  <c:v>37</c:v>
                </c:pt>
                <c:pt idx="737">
                  <c:v>26</c:v>
                </c:pt>
                <c:pt idx="738">
                  <c:v>23</c:v>
                </c:pt>
                <c:pt idx="739">
                  <c:v>29</c:v>
                </c:pt>
                <c:pt idx="740">
                  <c:v>45</c:v>
                </c:pt>
                <c:pt idx="741">
                  <c:v>27</c:v>
                </c:pt>
                <c:pt idx="742">
                  <c:v>53</c:v>
                </c:pt>
                <c:pt idx="743">
                  <c:v>31</c:v>
                </c:pt>
                <c:pt idx="744">
                  <c:v>50</c:v>
                </c:pt>
                <c:pt idx="745">
                  <c:v>50</c:v>
                </c:pt>
                <c:pt idx="746">
                  <c:v>34</c:v>
                </c:pt>
                <c:pt idx="747">
                  <c:v>19</c:v>
                </c:pt>
                <c:pt idx="748">
                  <c:v>47</c:v>
                </c:pt>
                <c:pt idx="749">
                  <c:v>28</c:v>
                </c:pt>
                <c:pt idx="750">
                  <c:v>37</c:v>
                </c:pt>
                <c:pt idx="751">
                  <c:v>21</c:v>
                </c:pt>
                <c:pt idx="752">
                  <c:v>64</c:v>
                </c:pt>
                <c:pt idx="753">
                  <c:v>58</c:v>
                </c:pt>
                <c:pt idx="754">
                  <c:v>24</c:v>
                </c:pt>
                <c:pt idx="755">
                  <c:v>31</c:v>
                </c:pt>
                <c:pt idx="756">
                  <c:v>39</c:v>
                </c:pt>
                <c:pt idx="757">
                  <c:v>47</c:v>
                </c:pt>
                <c:pt idx="758">
                  <c:v>30</c:v>
                </c:pt>
                <c:pt idx="759">
                  <c:v>18</c:v>
                </c:pt>
                <c:pt idx="760">
                  <c:v>22</c:v>
                </c:pt>
                <c:pt idx="761">
                  <c:v>23</c:v>
                </c:pt>
                <c:pt idx="762">
                  <c:v>33</c:v>
                </c:pt>
                <c:pt idx="763">
                  <c:v>27</c:v>
                </c:pt>
                <c:pt idx="764">
                  <c:v>45</c:v>
                </c:pt>
                <c:pt idx="765">
                  <c:v>57</c:v>
                </c:pt>
                <c:pt idx="766">
                  <c:v>47</c:v>
                </c:pt>
                <c:pt idx="767">
                  <c:v>42</c:v>
                </c:pt>
                <c:pt idx="768">
                  <c:v>64</c:v>
                </c:pt>
                <c:pt idx="769">
                  <c:v>38</c:v>
                </c:pt>
                <c:pt idx="770">
                  <c:v>61</c:v>
                </c:pt>
                <c:pt idx="771">
                  <c:v>53</c:v>
                </c:pt>
                <c:pt idx="772">
                  <c:v>44</c:v>
                </c:pt>
                <c:pt idx="773">
                  <c:v>19</c:v>
                </c:pt>
                <c:pt idx="774">
                  <c:v>41</c:v>
                </c:pt>
                <c:pt idx="775">
                  <c:v>51</c:v>
                </c:pt>
                <c:pt idx="776">
                  <c:v>40</c:v>
                </c:pt>
                <c:pt idx="777">
                  <c:v>45</c:v>
                </c:pt>
                <c:pt idx="778">
                  <c:v>35</c:v>
                </c:pt>
                <c:pt idx="779">
                  <c:v>53</c:v>
                </c:pt>
                <c:pt idx="780">
                  <c:v>30</c:v>
                </c:pt>
                <c:pt idx="781">
                  <c:v>18</c:v>
                </c:pt>
                <c:pt idx="782">
                  <c:v>51</c:v>
                </c:pt>
                <c:pt idx="783">
                  <c:v>50</c:v>
                </c:pt>
                <c:pt idx="784">
                  <c:v>31</c:v>
                </c:pt>
                <c:pt idx="785">
                  <c:v>35</c:v>
                </c:pt>
                <c:pt idx="786">
                  <c:v>60</c:v>
                </c:pt>
                <c:pt idx="787">
                  <c:v>21</c:v>
                </c:pt>
                <c:pt idx="788">
                  <c:v>29</c:v>
                </c:pt>
                <c:pt idx="789">
                  <c:v>62</c:v>
                </c:pt>
                <c:pt idx="790">
                  <c:v>39</c:v>
                </c:pt>
                <c:pt idx="791">
                  <c:v>19</c:v>
                </c:pt>
                <c:pt idx="792">
                  <c:v>22</c:v>
                </c:pt>
                <c:pt idx="793">
                  <c:v>53</c:v>
                </c:pt>
                <c:pt idx="794">
                  <c:v>39</c:v>
                </c:pt>
                <c:pt idx="795">
                  <c:v>27</c:v>
                </c:pt>
                <c:pt idx="796">
                  <c:v>30</c:v>
                </c:pt>
                <c:pt idx="797">
                  <c:v>30</c:v>
                </c:pt>
                <c:pt idx="798">
                  <c:v>58</c:v>
                </c:pt>
                <c:pt idx="799">
                  <c:v>33</c:v>
                </c:pt>
                <c:pt idx="800">
                  <c:v>42</c:v>
                </c:pt>
                <c:pt idx="801">
                  <c:v>64</c:v>
                </c:pt>
                <c:pt idx="802">
                  <c:v>21</c:v>
                </c:pt>
                <c:pt idx="803">
                  <c:v>18</c:v>
                </c:pt>
                <c:pt idx="804">
                  <c:v>23</c:v>
                </c:pt>
                <c:pt idx="805">
                  <c:v>45</c:v>
                </c:pt>
                <c:pt idx="806">
                  <c:v>40</c:v>
                </c:pt>
                <c:pt idx="807">
                  <c:v>19</c:v>
                </c:pt>
                <c:pt idx="808">
                  <c:v>18</c:v>
                </c:pt>
                <c:pt idx="809">
                  <c:v>25</c:v>
                </c:pt>
                <c:pt idx="810">
                  <c:v>46</c:v>
                </c:pt>
                <c:pt idx="811">
                  <c:v>33</c:v>
                </c:pt>
                <c:pt idx="812">
                  <c:v>54</c:v>
                </c:pt>
                <c:pt idx="813">
                  <c:v>28</c:v>
                </c:pt>
                <c:pt idx="814">
                  <c:v>36</c:v>
                </c:pt>
                <c:pt idx="815">
                  <c:v>20</c:v>
                </c:pt>
                <c:pt idx="816">
                  <c:v>24</c:v>
                </c:pt>
                <c:pt idx="817">
                  <c:v>23</c:v>
                </c:pt>
                <c:pt idx="818">
                  <c:v>47</c:v>
                </c:pt>
                <c:pt idx="819">
                  <c:v>33</c:v>
                </c:pt>
                <c:pt idx="820">
                  <c:v>45</c:v>
                </c:pt>
                <c:pt idx="821">
                  <c:v>26</c:v>
                </c:pt>
                <c:pt idx="822">
                  <c:v>18</c:v>
                </c:pt>
                <c:pt idx="823">
                  <c:v>44</c:v>
                </c:pt>
                <c:pt idx="824">
                  <c:v>60</c:v>
                </c:pt>
                <c:pt idx="825">
                  <c:v>64</c:v>
                </c:pt>
                <c:pt idx="826">
                  <c:v>56</c:v>
                </c:pt>
                <c:pt idx="827">
                  <c:v>36</c:v>
                </c:pt>
                <c:pt idx="828">
                  <c:v>41</c:v>
                </c:pt>
                <c:pt idx="829">
                  <c:v>39</c:v>
                </c:pt>
                <c:pt idx="830">
                  <c:v>63</c:v>
                </c:pt>
                <c:pt idx="831">
                  <c:v>36</c:v>
                </c:pt>
                <c:pt idx="832">
                  <c:v>28</c:v>
                </c:pt>
                <c:pt idx="833">
                  <c:v>58</c:v>
                </c:pt>
                <c:pt idx="834">
                  <c:v>36</c:v>
                </c:pt>
                <c:pt idx="835">
                  <c:v>42</c:v>
                </c:pt>
                <c:pt idx="836">
                  <c:v>36</c:v>
                </c:pt>
                <c:pt idx="837">
                  <c:v>56</c:v>
                </c:pt>
                <c:pt idx="838">
                  <c:v>35</c:v>
                </c:pt>
                <c:pt idx="839">
                  <c:v>59</c:v>
                </c:pt>
                <c:pt idx="840">
                  <c:v>21</c:v>
                </c:pt>
                <c:pt idx="841">
                  <c:v>59</c:v>
                </c:pt>
                <c:pt idx="842">
                  <c:v>23</c:v>
                </c:pt>
                <c:pt idx="843">
                  <c:v>57</c:v>
                </c:pt>
                <c:pt idx="844">
                  <c:v>53</c:v>
                </c:pt>
                <c:pt idx="845">
                  <c:v>60</c:v>
                </c:pt>
                <c:pt idx="846">
                  <c:v>51</c:v>
                </c:pt>
                <c:pt idx="847">
                  <c:v>23</c:v>
                </c:pt>
                <c:pt idx="848">
                  <c:v>27</c:v>
                </c:pt>
                <c:pt idx="849">
                  <c:v>55</c:v>
                </c:pt>
                <c:pt idx="850">
                  <c:v>37</c:v>
                </c:pt>
                <c:pt idx="851">
                  <c:v>61</c:v>
                </c:pt>
                <c:pt idx="852">
                  <c:v>46</c:v>
                </c:pt>
                <c:pt idx="853">
                  <c:v>53</c:v>
                </c:pt>
                <c:pt idx="854">
                  <c:v>49</c:v>
                </c:pt>
                <c:pt idx="855">
                  <c:v>20</c:v>
                </c:pt>
                <c:pt idx="856">
                  <c:v>48</c:v>
                </c:pt>
                <c:pt idx="857">
                  <c:v>25</c:v>
                </c:pt>
                <c:pt idx="858">
                  <c:v>25</c:v>
                </c:pt>
                <c:pt idx="859">
                  <c:v>57</c:v>
                </c:pt>
                <c:pt idx="860">
                  <c:v>37</c:v>
                </c:pt>
                <c:pt idx="861">
                  <c:v>38</c:v>
                </c:pt>
                <c:pt idx="862">
                  <c:v>55</c:v>
                </c:pt>
                <c:pt idx="863">
                  <c:v>36</c:v>
                </c:pt>
                <c:pt idx="864">
                  <c:v>51</c:v>
                </c:pt>
                <c:pt idx="865">
                  <c:v>40</c:v>
                </c:pt>
                <c:pt idx="866">
                  <c:v>18</c:v>
                </c:pt>
                <c:pt idx="867">
                  <c:v>57</c:v>
                </c:pt>
                <c:pt idx="868">
                  <c:v>61</c:v>
                </c:pt>
                <c:pt idx="869">
                  <c:v>25</c:v>
                </c:pt>
                <c:pt idx="870">
                  <c:v>50</c:v>
                </c:pt>
                <c:pt idx="871">
                  <c:v>26</c:v>
                </c:pt>
                <c:pt idx="872">
                  <c:v>42</c:v>
                </c:pt>
                <c:pt idx="873">
                  <c:v>43</c:v>
                </c:pt>
                <c:pt idx="874">
                  <c:v>44</c:v>
                </c:pt>
                <c:pt idx="875">
                  <c:v>23</c:v>
                </c:pt>
                <c:pt idx="876">
                  <c:v>49</c:v>
                </c:pt>
                <c:pt idx="877">
                  <c:v>33</c:v>
                </c:pt>
                <c:pt idx="878">
                  <c:v>41</c:v>
                </c:pt>
                <c:pt idx="879">
                  <c:v>37</c:v>
                </c:pt>
                <c:pt idx="880">
                  <c:v>22</c:v>
                </c:pt>
                <c:pt idx="881">
                  <c:v>23</c:v>
                </c:pt>
                <c:pt idx="882">
                  <c:v>21</c:v>
                </c:pt>
                <c:pt idx="883">
                  <c:v>51</c:v>
                </c:pt>
                <c:pt idx="884">
                  <c:v>25</c:v>
                </c:pt>
                <c:pt idx="885">
                  <c:v>32</c:v>
                </c:pt>
                <c:pt idx="886">
                  <c:v>57</c:v>
                </c:pt>
                <c:pt idx="887">
                  <c:v>36</c:v>
                </c:pt>
                <c:pt idx="888">
                  <c:v>22</c:v>
                </c:pt>
                <c:pt idx="889">
                  <c:v>57</c:v>
                </c:pt>
                <c:pt idx="890">
                  <c:v>64</c:v>
                </c:pt>
                <c:pt idx="891">
                  <c:v>36</c:v>
                </c:pt>
                <c:pt idx="892">
                  <c:v>54</c:v>
                </c:pt>
                <c:pt idx="893">
                  <c:v>47</c:v>
                </c:pt>
                <c:pt idx="894">
                  <c:v>62</c:v>
                </c:pt>
                <c:pt idx="895">
                  <c:v>61</c:v>
                </c:pt>
                <c:pt idx="896">
                  <c:v>43</c:v>
                </c:pt>
                <c:pt idx="897">
                  <c:v>19</c:v>
                </c:pt>
                <c:pt idx="898">
                  <c:v>18</c:v>
                </c:pt>
                <c:pt idx="899">
                  <c:v>19</c:v>
                </c:pt>
                <c:pt idx="900">
                  <c:v>49</c:v>
                </c:pt>
                <c:pt idx="901">
                  <c:v>60</c:v>
                </c:pt>
                <c:pt idx="902">
                  <c:v>26</c:v>
                </c:pt>
                <c:pt idx="903">
                  <c:v>49</c:v>
                </c:pt>
                <c:pt idx="904">
                  <c:v>60</c:v>
                </c:pt>
                <c:pt idx="905">
                  <c:v>26</c:v>
                </c:pt>
                <c:pt idx="906">
                  <c:v>27</c:v>
                </c:pt>
                <c:pt idx="907">
                  <c:v>44</c:v>
                </c:pt>
                <c:pt idx="908">
                  <c:v>63</c:v>
                </c:pt>
                <c:pt idx="909">
                  <c:v>32</c:v>
                </c:pt>
                <c:pt idx="910">
                  <c:v>22</c:v>
                </c:pt>
                <c:pt idx="911">
                  <c:v>18</c:v>
                </c:pt>
                <c:pt idx="912">
                  <c:v>59</c:v>
                </c:pt>
                <c:pt idx="913">
                  <c:v>44</c:v>
                </c:pt>
                <c:pt idx="914">
                  <c:v>33</c:v>
                </c:pt>
                <c:pt idx="915">
                  <c:v>24</c:v>
                </c:pt>
                <c:pt idx="916">
                  <c:v>43</c:v>
                </c:pt>
                <c:pt idx="917">
                  <c:v>45</c:v>
                </c:pt>
                <c:pt idx="918">
                  <c:v>61</c:v>
                </c:pt>
                <c:pt idx="919">
                  <c:v>35</c:v>
                </c:pt>
                <c:pt idx="920">
                  <c:v>62</c:v>
                </c:pt>
                <c:pt idx="921">
                  <c:v>62</c:v>
                </c:pt>
                <c:pt idx="922">
                  <c:v>38</c:v>
                </c:pt>
                <c:pt idx="923">
                  <c:v>34</c:v>
                </c:pt>
                <c:pt idx="924">
                  <c:v>43</c:v>
                </c:pt>
                <c:pt idx="925">
                  <c:v>50</c:v>
                </c:pt>
                <c:pt idx="926">
                  <c:v>19</c:v>
                </c:pt>
                <c:pt idx="927">
                  <c:v>57</c:v>
                </c:pt>
                <c:pt idx="928">
                  <c:v>62</c:v>
                </c:pt>
                <c:pt idx="929">
                  <c:v>41</c:v>
                </c:pt>
                <c:pt idx="930">
                  <c:v>26</c:v>
                </c:pt>
                <c:pt idx="931">
                  <c:v>39</c:v>
                </c:pt>
                <c:pt idx="932">
                  <c:v>46</c:v>
                </c:pt>
                <c:pt idx="933">
                  <c:v>45</c:v>
                </c:pt>
                <c:pt idx="934">
                  <c:v>32</c:v>
                </c:pt>
                <c:pt idx="935">
                  <c:v>59</c:v>
                </c:pt>
                <c:pt idx="936">
                  <c:v>44</c:v>
                </c:pt>
                <c:pt idx="937">
                  <c:v>39</c:v>
                </c:pt>
                <c:pt idx="938">
                  <c:v>18</c:v>
                </c:pt>
                <c:pt idx="939">
                  <c:v>53</c:v>
                </c:pt>
                <c:pt idx="940">
                  <c:v>18</c:v>
                </c:pt>
                <c:pt idx="941">
                  <c:v>50</c:v>
                </c:pt>
                <c:pt idx="942">
                  <c:v>18</c:v>
                </c:pt>
                <c:pt idx="943">
                  <c:v>19</c:v>
                </c:pt>
                <c:pt idx="944">
                  <c:v>62</c:v>
                </c:pt>
                <c:pt idx="945">
                  <c:v>56</c:v>
                </c:pt>
                <c:pt idx="946">
                  <c:v>42</c:v>
                </c:pt>
                <c:pt idx="947">
                  <c:v>37</c:v>
                </c:pt>
                <c:pt idx="948">
                  <c:v>42</c:v>
                </c:pt>
                <c:pt idx="949">
                  <c:v>25</c:v>
                </c:pt>
                <c:pt idx="950">
                  <c:v>57</c:v>
                </c:pt>
                <c:pt idx="951">
                  <c:v>51</c:v>
                </c:pt>
                <c:pt idx="952">
                  <c:v>30</c:v>
                </c:pt>
                <c:pt idx="953">
                  <c:v>44</c:v>
                </c:pt>
                <c:pt idx="954">
                  <c:v>34</c:v>
                </c:pt>
                <c:pt idx="955">
                  <c:v>31</c:v>
                </c:pt>
                <c:pt idx="956">
                  <c:v>54</c:v>
                </c:pt>
                <c:pt idx="957">
                  <c:v>24</c:v>
                </c:pt>
                <c:pt idx="958">
                  <c:v>43</c:v>
                </c:pt>
                <c:pt idx="959">
                  <c:v>48</c:v>
                </c:pt>
                <c:pt idx="960">
                  <c:v>19</c:v>
                </c:pt>
                <c:pt idx="961">
                  <c:v>29</c:v>
                </c:pt>
                <c:pt idx="962">
                  <c:v>63</c:v>
                </c:pt>
                <c:pt idx="963">
                  <c:v>46</c:v>
                </c:pt>
                <c:pt idx="964">
                  <c:v>52</c:v>
                </c:pt>
                <c:pt idx="965">
                  <c:v>35</c:v>
                </c:pt>
                <c:pt idx="966">
                  <c:v>51</c:v>
                </c:pt>
                <c:pt idx="967">
                  <c:v>44</c:v>
                </c:pt>
                <c:pt idx="968">
                  <c:v>21</c:v>
                </c:pt>
                <c:pt idx="969">
                  <c:v>39</c:v>
                </c:pt>
                <c:pt idx="970">
                  <c:v>50</c:v>
                </c:pt>
                <c:pt idx="971">
                  <c:v>34</c:v>
                </c:pt>
                <c:pt idx="972">
                  <c:v>22</c:v>
                </c:pt>
                <c:pt idx="973">
                  <c:v>19</c:v>
                </c:pt>
                <c:pt idx="974">
                  <c:v>26</c:v>
                </c:pt>
                <c:pt idx="975">
                  <c:v>29</c:v>
                </c:pt>
                <c:pt idx="976">
                  <c:v>48</c:v>
                </c:pt>
                <c:pt idx="977">
                  <c:v>26</c:v>
                </c:pt>
                <c:pt idx="978">
                  <c:v>45</c:v>
                </c:pt>
                <c:pt idx="979">
                  <c:v>36</c:v>
                </c:pt>
                <c:pt idx="980">
                  <c:v>54</c:v>
                </c:pt>
                <c:pt idx="981">
                  <c:v>34</c:v>
                </c:pt>
                <c:pt idx="982">
                  <c:v>31</c:v>
                </c:pt>
                <c:pt idx="983">
                  <c:v>27</c:v>
                </c:pt>
                <c:pt idx="984">
                  <c:v>20</c:v>
                </c:pt>
                <c:pt idx="985">
                  <c:v>44</c:v>
                </c:pt>
                <c:pt idx="986">
                  <c:v>43</c:v>
                </c:pt>
                <c:pt idx="987">
                  <c:v>45</c:v>
                </c:pt>
                <c:pt idx="988">
                  <c:v>34</c:v>
                </c:pt>
                <c:pt idx="989">
                  <c:v>24</c:v>
                </c:pt>
                <c:pt idx="990">
                  <c:v>26</c:v>
                </c:pt>
                <c:pt idx="991">
                  <c:v>38</c:v>
                </c:pt>
                <c:pt idx="992">
                  <c:v>50</c:v>
                </c:pt>
                <c:pt idx="993">
                  <c:v>38</c:v>
                </c:pt>
                <c:pt idx="994">
                  <c:v>27</c:v>
                </c:pt>
                <c:pt idx="995">
                  <c:v>39</c:v>
                </c:pt>
                <c:pt idx="996">
                  <c:v>39</c:v>
                </c:pt>
                <c:pt idx="997">
                  <c:v>63</c:v>
                </c:pt>
                <c:pt idx="998">
                  <c:v>33</c:v>
                </c:pt>
                <c:pt idx="999">
                  <c:v>36</c:v>
                </c:pt>
                <c:pt idx="1000">
                  <c:v>30</c:v>
                </c:pt>
                <c:pt idx="1001">
                  <c:v>24</c:v>
                </c:pt>
                <c:pt idx="1002">
                  <c:v>24</c:v>
                </c:pt>
                <c:pt idx="1003">
                  <c:v>48</c:v>
                </c:pt>
                <c:pt idx="1004">
                  <c:v>47</c:v>
                </c:pt>
                <c:pt idx="1005">
                  <c:v>29</c:v>
                </c:pt>
                <c:pt idx="1006">
                  <c:v>28</c:v>
                </c:pt>
                <c:pt idx="1007">
                  <c:v>47</c:v>
                </c:pt>
                <c:pt idx="1008">
                  <c:v>25</c:v>
                </c:pt>
                <c:pt idx="1009">
                  <c:v>51</c:v>
                </c:pt>
                <c:pt idx="1010">
                  <c:v>48</c:v>
                </c:pt>
                <c:pt idx="1011">
                  <c:v>43</c:v>
                </c:pt>
                <c:pt idx="1012">
                  <c:v>61</c:v>
                </c:pt>
                <c:pt idx="1013">
                  <c:v>48</c:v>
                </c:pt>
                <c:pt idx="1014">
                  <c:v>38</c:v>
                </c:pt>
                <c:pt idx="1015">
                  <c:v>59</c:v>
                </c:pt>
                <c:pt idx="1016">
                  <c:v>19</c:v>
                </c:pt>
                <c:pt idx="1017">
                  <c:v>26</c:v>
                </c:pt>
                <c:pt idx="1018">
                  <c:v>54</c:v>
                </c:pt>
                <c:pt idx="1019">
                  <c:v>21</c:v>
                </c:pt>
                <c:pt idx="1020">
                  <c:v>51</c:v>
                </c:pt>
                <c:pt idx="1021">
                  <c:v>22</c:v>
                </c:pt>
                <c:pt idx="1022">
                  <c:v>47</c:v>
                </c:pt>
                <c:pt idx="1023">
                  <c:v>18</c:v>
                </c:pt>
                <c:pt idx="1024">
                  <c:v>47</c:v>
                </c:pt>
                <c:pt idx="1025">
                  <c:v>21</c:v>
                </c:pt>
                <c:pt idx="1026">
                  <c:v>19</c:v>
                </c:pt>
                <c:pt idx="1027">
                  <c:v>23</c:v>
                </c:pt>
                <c:pt idx="1028">
                  <c:v>54</c:v>
                </c:pt>
                <c:pt idx="1029">
                  <c:v>37</c:v>
                </c:pt>
                <c:pt idx="1030">
                  <c:v>46</c:v>
                </c:pt>
                <c:pt idx="1031">
                  <c:v>55</c:v>
                </c:pt>
                <c:pt idx="1032">
                  <c:v>30</c:v>
                </c:pt>
                <c:pt idx="1033">
                  <c:v>18</c:v>
                </c:pt>
                <c:pt idx="1034">
                  <c:v>61</c:v>
                </c:pt>
                <c:pt idx="1035">
                  <c:v>54</c:v>
                </c:pt>
                <c:pt idx="1036">
                  <c:v>22</c:v>
                </c:pt>
                <c:pt idx="1037">
                  <c:v>45</c:v>
                </c:pt>
                <c:pt idx="1038">
                  <c:v>22</c:v>
                </c:pt>
                <c:pt idx="1039">
                  <c:v>19</c:v>
                </c:pt>
                <c:pt idx="1040">
                  <c:v>35</c:v>
                </c:pt>
                <c:pt idx="1041">
                  <c:v>18</c:v>
                </c:pt>
                <c:pt idx="1042">
                  <c:v>20</c:v>
                </c:pt>
                <c:pt idx="1043">
                  <c:v>28</c:v>
                </c:pt>
                <c:pt idx="1044">
                  <c:v>55</c:v>
                </c:pt>
                <c:pt idx="1045">
                  <c:v>43</c:v>
                </c:pt>
                <c:pt idx="1046">
                  <c:v>43</c:v>
                </c:pt>
                <c:pt idx="1047">
                  <c:v>22</c:v>
                </c:pt>
                <c:pt idx="1048">
                  <c:v>25</c:v>
                </c:pt>
                <c:pt idx="1049">
                  <c:v>49</c:v>
                </c:pt>
                <c:pt idx="1050">
                  <c:v>44</c:v>
                </c:pt>
                <c:pt idx="1051">
                  <c:v>64</c:v>
                </c:pt>
                <c:pt idx="1052">
                  <c:v>49</c:v>
                </c:pt>
                <c:pt idx="1053">
                  <c:v>47</c:v>
                </c:pt>
                <c:pt idx="1054">
                  <c:v>27</c:v>
                </c:pt>
                <c:pt idx="1055">
                  <c:v>55</c:v>
                </c:pt>
                <c:pt idx="1056">
                  <c:v>48</c:v>
                </c:pt>
                <c:pt idx="1057">
                  <c:v>45</c:v>
                </c:pt>
                <c:pt idx="1058">
                  <c:v>24</c:v>
                </c:pt>
                <c:pt idx="1059">
                  <c:v>32</c:v>
                </c:pt>
                <c:pt idx="1060">
                  <c:v>24</c:v>
                </c:pt>
                <c:pt idx="1061">
                  <c:v>57</c:v>
                </c:pt>
                <c:pt idx="1062">
                  <c:v>59</c:v>
                </c:pt>
                <c:pt idx="1063">
                  <c:v>36</c:v>
                </c:pt>
                <c:pt idx="1064">
                  <c:v>29</c:v>
                </c:pt>
                <c:pt idx="1065">
                  <c:v>42</c:v>
                </c:pt>
                <c:pt idx="1066">
                  <c:v>48</c:v>
                </c:pt>
                <c:pt idx="1067">
                  <c:v>39</c:v>
                </c:pt>
                <c:pt idx="1068">
                  <c:v>63</c:v>
                </c:pt>
                <c:pt idx="1069">
                  <c:v>54</c:v>
                </c:pt>
                <c:pt idx="1070">
                  <c:v>37</c:v>
                </c:pt>
                <c:pt idx="1071">
                  <c:v>63</c:v>
                </c:pt>
                <c:pt idx="1072">
                  <c:v>21</c:v>
                </c:pt>
                <c:pt idx="1073">
                  <c:v>54</c:v>
                </c:pt>
                <c:pt idx="1074">
                  <c:v>60</c:v>
                </c:pt>
                <c:pt idx="1075">
                  <c:v>32</c:v>
                </c:pt>
                <c:pt idx="1076">
                  <c:v>47</c:v>
                </c:pt>
                <c:pt idx="1077">
                  <c:v>21</c:v>
                </c:pt>
                <c:pt idx="1078">
                  <c:v>28</c:v>
                </c:pt>
                <c:pt idx="1079">
                  <c:v>63</c:v>
                </c:pt>
                <c:pt idx="1080">
                  <c:v>18</c:v>
                </c:pt>
                <c:pt idx="1081">
                  <c:v>32</c:v>
                </c:pt>
                <c:pt idx="1082">
                  <c:v>38</c:v>
                </c:pt>
                <c:pt idx="1083">
                  <c:v>32</c:v>
                </c:pt>
                <c:pt idx="1084">
                  <c:v>62</c:v>
                </c:pt>
                <c:pt idx="1085">
                  <c:v>39</c:v>
                </c:pt>
                <c:pt idx="1086">
                  <c:v>55</c:v>
                </c:pt>
                <c:pt idx="1087">
                  <c:v>57</c:v>
                </c:pt>
                <c:pt idx="1088">
                  <c:v>52</c:v>
                </c:pt>
                <c:pt idx="1089">
                  <c:v>56</c:v>
                </c:pt>
                <c:pt idx="1090">
                  <c:v>47</c:v>
                </c:pt>
                <c:pt idx="1091">
                  <c:v>55</c:v>
                </c:pt>
                <c:pt idx="1092">
                  <c:v>23</c:v>
                </c:pt>
                <c:pt idx="1093">
                  <c:v>22</c:v>
                </c:pt>
                <c:pt idx="1094">
                  <c:v>50</c:v>
                </c:pt>
                <c:pt idx="1095">
                  <c:v>18</c:v>
                </c:pt>
                <c:pt idx="1096">
                  <c:v>51</c:v>
                </c:pt>
                <c:pt idx="1097">
                  <c:v>22</c:v>
                </c:pt>
                <c:pt idx="1098">
                  <c:v>52</c:v>
                </c:pt>
                <c:pt idx="1099">
                  <c:v>25</c:v>
                </c:pt>
                <c:pt idx="1100">
                  <c:v>33</c:v>
                </c:pt>
                <c:pt idx="1101">
                  <c:v>53</c:v>
                </c:pt>
                <c:pt idx="1102">
                  <c:v>29</c:v>
                </c:pt>
                <c:pt idx="1103">
                  <c:v>58</c:v>
                </c:pt>
                <c:pt idx="1104">
                  <c:v>37</c:v>
                </c:pt>
                <c:pt idx="1105">
                  <c:v>54</c:v>
                </c:pt>
                <c:pt idx="1106">
                  <c:v>49</c:v>
                </c:pt>
                <c:pt idx="1107">
                  <c:v>50</c:v>
                </c:pt>
                <c:pt idx="1108">
                  <c:v>26</c:v>
                </c:pt>
                <c:pt idx="1109">
                  <c:v>45</c:v>
                </c:pt>
                <c:pt idx="1110">
                  <c:v>54</c:v>
                </c:pt>
                <c:pt idx="1111">
                  <c:v>38</c:v>
                </c:pt>
                <c:pt idx="1112">
                  <c:v>48</c:v>
                </c:pt>
                <c:pt idx="1113">
                  <c:v>28</c:v>
                </c:pt>
                <c:pt idx="1114">
                  <c:v>23</c:v>
                </c:pt>
                <c:pt idx="1115">
                  <c:v>55</c:v>
                </c:pt>
                <c:pt idx="1116">
                  <c:v>41</c:v>
                </c:pt>
                <c:pt idx="1117">
                  <c:v>25</c:v>
                </c:pt>
                <c:pt idx="1118">
                  <c:v>33</c:v>
                </c:pt>
                <c:pt idx="1119">
                  <c:v>30</c:v>
                </c:pt>
                <c:pt idx="1120">
                  <c:v>23</c:v>
                </c:pt>
                <c:pt idx="1121">
                  <c:v>46</c:v>
                </c:pt>
                <c:pt idx="1122">
                  <c:v>53</c:v>
                </c:pt>
                <c:pt idx="1123">
                  <c:v>27</c:v>
                </c:pt>
                <c:pt idx="1124">
                  <c:v>23</c:v>
                </c:pt>
                <c:pt idx="1125">
                  <c:v>63</c:v>
                </c:pt>
                <c:pt idx="1126">
                  <c:v>55</c:v>
                </c:pt>
                <c:pt idx="1127">
                  <c:v>35</c:v>
                </c:pt>
                <c:pt idx="1128">
                  <c:v>34</c:v>
                </c:pt>
                <c:pt idx="1129">
                  <c:v>19</c:v>
                </c:pt>
                <c:pt idx="1130">
                  <c:v>39</c:v>
                </c:pt>
                <c:pt idx="1131">
                  <c:v>27</c:v>
                </c:pt>
                <c:pt idx="1132">
                  <c:v>57</c:v>
                </c:pt>
                <c:pt idx="1133">
                  <c:v>52</c:v>
                </c:pt>
                <c:pt idx="1134">
                  <c:v>28</c:v>
                </c:pt>
                <c:pt idx="1135">
                  <c:v>50</c:v>
                </c:pt>
                <c:pt idx="1136">
                  <c:v>44</c:v>
                </c:pt>
                <c:pt idx="1137">
                  <c:v>26</c:v>
                </c:pt>
                <c:pt idx="1138">
                  <c:v>33</c:v>
                </c:pt>
                <c:pt idx="1139">
                  <c:v>19</c:v>
                </c:pt>
                <c:pt idx="1140">
                  <c:v>50</c:v>
                </c:pt>
                <c:pt idx="1141">
                  <c:v>41</c:v>
                </c:pt>
                <c:pt idx="1142">
                  <c:v>52</c:v>
                </c:pt>
                <c:pt idx="1143">
                  <c:v>39</c:v>
                </c:pt>
                <c:pt idx="1144">
                  <c:v>50</c:v>
                </c:pt>
                <c:pt idx="1145">
                  <c:v>52</c:v>
                </c:pt>
                <c:pt idx="1146">
                  <c:v>60</c:v>
                </c:pt>
                <c:pt idx="1147">
                  <c:v>20</c:v>
                </c:pt>
                <c:pt idx="1148">
                  <c:v>55</c:v>
                </c:pt>
                <c:pt idx="1149">
                  <c:v>42</c:v>
                </c:pt>
                <c:pt idx="1150">
                  <c:v>18</c:v>
                </c:pt>
                <c:pt idx="1151">
                  <c:v>58</c:v>
                </c:pt>
                <c:pt idx="1152">
                  <c:v>43</c:v>
                </c:pt>
                <c:pt idx="1153">
                  <c:v>35</c:v>
                </c:pt>
                <c:pt idx="1154">
                  <c:v>48</c:v>
                </c:pt>
                <c:pt idx="1155">
                  <c:v>36</c:v>
                </c:pt>
                <c:pt idx="1156">
                  <c:v>19</c:v>
                </c:pt>
                <c:pt idx="1157">
                  <c:v>23</c:v>
                </c:pt>
                <c:pt idx="1158">
                  <c:v>20</c:v>
                </c:pt>
                <c:pt idx="1159">
                  <c:v>32</c:v>
                </c:pt>
                <c:pt idx="1160">
                  <c:v>43</c:v>
                </c:pt>
                <c:pt idx="1161">
                  <c:v>34</c:v>
                </c:pt>
                <c:pt idx="1162">
                  <c:v>30</c:v>
                </c:pt>
                <c:pt idx="1163">
                  <c:v>18</c:v>
                </c:pt>
                <c:pt idx="1164">
                  <c:v>41</c:v>
                </c:pt>
                <c:pt idx="1165">
                  <c:v>35</c:v>
                </c:pt>
                <c:pt idx="1166">
                  <c:v>57</c:v>
                </c:pt>
                <c:pt idx="1167">
                  <c:v>29</c:v>
                </c:pt>
                <c:pt idx="1168">
                  <c:v>32</c:v>
                </c:pt>
                <c:pt idx="1169">
                  <c:v>37</c:v>
                </c:pt>
                <c:pt idx="1170">
                  <c:v>18</c:v>
                </c:pt>
                <c:pt idx="1171">
                  <c:v>43</c:v>
                </c:pt>
                <c:pt idx="1172">
                  <c:v>56</c:v>
                </c:pt>
                <c:pt idx="1173">
                  <c:v>38</c:v>
                </c:pt>
                <c:pt idx="1174">
                  <c:v>29</c:v>
                </c:pt>
                <c:pt idx="1175">
                  <c:v>22</c:v>
                </c:pt>
                <c:pt idx="1176">
                  <c:v>52</c:v>
                </c:pt>
                <c:pt idx="1177">
                  <c:v>40</c:v>
                </c:pt>
                <c:pt idx="1178">
                  <c:v>23</c:v>
                </c:pt>
                <c:pt idx="1179">
                  <c:v>31</c:v>
                </c:pt>
                <c:pt idx="1180">
                  <c:v>42</c:v>
                </c:pt>
                <c:pt idx="1181">
                  <c:v>24</c:v>
                </c:pt>
                <c:pt idx="1182">
                  <c:v>25</c:v>
                </c:pt>
                <c:pt idx="1183">
                  <c:v>48</c:v>
                </c:pt>
                <c:pt idx="1184">
                  <c:v>23</c:v>
                </c:pt>
                <c:pt idx="1185">
                  <c:v>45</c:v>
                </c:pt>
                <c:pt idx="1186">
                  <c:v>20</c:v>
                </c:pt>
                <c:pt idx="1187">
                  <c:v>62</c:v>
                </c:pt>
                <c:pt idx="1188">
                  <c:v>43</c:v>
                </c:pt>
                <c:pt idx="1189">
                  <c:v>23</c:v>
                </c:pt>
                <c:pt idx="1190">
                  <c:v>31</c:v>
                </c:pt>
                <c:pt idx="1191">
                  <c:v>41</c:v>
                </c:pt>
                <c:pt idx="1192">
                  <c:v>58</c:v>
                </c:pt>
                <c:pt idx="1193">
                  <c:v>48</c:v>
                </c:pt>
                <c:pt idx="1194">
                  <c:v>31</c:v>
                </c:pt>
                <c:pt idx="1195">
                  <c:v>19</c:v>
                </c:pt>
                <c:pt idx="1196">
                  <c:v>19</c:v>
                </c:pt>
                <c:pt idx="1197">
                  <c:v>41</c:v>
                </c:pt>
                <c:pt idx="1198">
                  <c:v>40</c:v>
                </c:pt>
                <c:pt idx="1199">
                  <c:v>31</c:v>
                </c:pt>
                <c:pt idx="1200">
                  <c:v>37</c:v>
                </c:pt>
                <c:pt idx="1201">
                  <c:v>46</c:v>
                </c:pt>
                <c:pt idx="1202">
                  <c:v>22</c:v>
                </c:pt>
                <c:pt idx="1203">
                  <c:v>51</c:v>
                </c:pt>
                <c:pt idx="1204">
                  <c:v>18</c:v>
                </c:pt>
                <c:pt idx="1205">
                  <c:v>35</c:v>
                </c:pt>
                <c:pt idx="1206">
                  <c:v>59</c:v>
                </c:pt>
                <c:pt idx="1207">
                  <c:v>36</c:v>
                </c:pt>
                <c:pt idx="1208">
                  <c:v>37</c:v>
                </c:pt>
                <c:pt idx="1209">
                  <c:v>59</c:v>
                </c:pt>
                <c:pt idx="1210">
                  <c:v>36</c:v>
                </c:pt>
                <c:pt idx="1211">
                  <c:v>39</c:v>
                </c:pt>
                <c:pt idx="1212">
                  <c:v>18</c:v>
                </c:pt>
                <c:pt idx="1213">
                  <c:v>52</c:v>
                </c:pt>
                <c:pt idx="1214">
                  <c:v>27</c:v>
                </c:pt>
                <c:pt idx="1215">
                  <c:v>18</c:v>
                </c:pt>
                <c:pt idx="1216">
                  <c:v>40</c:v>
                </c:pt>
                <c:pt idx="1217">
                  <c:v>29</c:v>
                </c:pt>
                <c:pt idx="1218">
                  <c:v>46</c:v>
                </c:pt>
                <c:pt idx="1219">
                  <c:v>38</c:v>
                </c:pt>
                <c:pt idx="1220">
                  <c:v>30</c:v>
                </c:pt>
                <c:pt idx="1221">
                  <c:v>40</c:v>
                </c:pt>
                <c:pt idx="1222">
                  <c:v>50</c:v>
                </c:pt>
                <c:pt idx="1223">
                  <c:v>20</c:v>
                </c:pt>
                <c:pt idx="1224">
                  <c:v>41</c:v>
                </c:pt>
                <c:pt idx="1225">
                  <c:v>33</c:v>
                </c:pt>
                <c:pt idx="1226">
                  <c:v>38</c:v>
                </c:pt>
                <c:pt idx="1227">
                  <c:v>42</c:v>
                </c:pt>
                <c:pt idx="1228">
                  <c:v>56</c:v>
                </c:pt>
                <c:pt idx="1229">
                  <c:v>58</c:v>
                </c:pt>
                <c:pt idx="1230">
                  <c:v>52</c:v>
                </c:pt>
                <c:pt idx="1231">
                  <c:v>20</c:v>
                </c:pt>
                <c:pt idx="1232">
                  <c:v>54</c:v>
                </c:pt>
                <c:pt idx="1233">
                  <c:v>58</c:v>
                </c:pt>
                <c:pt idx="1234">
                  <c:v>45</c:v>
                </c:pt>
                <c:pt idx="1235">
                  <c:v>26</c:v>
                </c:pt>
                <c:pt idx="1236">
                  <c:v>63</c:v>
                </c:pt>
                <c:pt idx="1237">
                  <c:v>58</c:v>
                </c:pt>
                <c:pt idx="1238">
                  <c:v>37</c:v>
                </c:pt>
                <c:pt idx="1239">
                  <c:v>25</c:v>
                </c:pt>
                <c:pt idx="1240">
                  <c:v>52</c:v>
                </c:pt>
                <c:pt idx="1241">
                  <c:v>64</c:v>
                </c:pt>
                <c:pt idx="1242">
                  <c:v>22</c:v>
                </c:pt>
                <c:pt idx="1243">
                  <c:v>28</c:v>
                </c:pt>
                <c:pt idx="1244">
                  <c:v>18</c:v>
                </c:pt>
                <c:pt idx="1245">
                  <c:v>28</c:v>
                </c:pt>
                <c:pt idx="1246">
                  <c:v>45</c:v>
                </c:pt>
                <c:pt idx="1247">
                  <c:v>33</c:v>
                </c:pt>
                <c:pt idx="1248">
                  <c:v>18</c:v>
                </c:pt>
                <c:pt idx="1249">
                  <c:v>32</c:v>
                </c:pt>
                <c:pt idx="1250">
                  <c:v>24</c:v>
                </c:pt>
                <c:pt idx="1251">
                  <c:v>19</c:v>
                </c:pt>
                <c:pt idx="1252">
                  <c:v>20</c:v>
                </c:pt>
                <c:pt idx="1253">
                  <c:v>40</c:v>
                </c:pt>
                <c:pt idx="1254">
                  <c:v>34</c:v>
                </c:pt>
                <c:pt idx="1255">
                  <c:v>42</c:v>
                </c:pt>
                <c:pt idx="1256">
                  <c:v>51</c:v>
                </c:pt>
                <c:pt idx="1257">
                  <c:v>54</c:v>
                </c:pt>
                <c:pt idx="1258">
                  <c:v>55</c:v>
                </c:pt>
                <c:pt idx="1259">
                  <c:v>52</c:v>
                </c:pt>
                <c:pt idx="1260">
                  <c:v>32</c:v>
                </c:pt>
                <c:pt idx="1261">
                  <c:v>28</c:v>
                </c:pt>
                <c:pt idx="1262">
                  <c:v>41</c:v>
                </c:pt>
                <c:pt idx="1263">
                  <c:v>43</c:v>
                </c:pt>
                <c:pt idx="1264">
                  <c:v>49</c:v>
                </c:pt>
                <c:pt idx="1265">
                  <c:v>64</c:v>
                </c:pt>
                <c:pt idx="1266">
                  <c:v>55</c:v>
                </c:pt>
                <c:pt idx="1267">
                  <c:v>24</c:v>
                </c:pt>
                <c:pt idx="1268">
                  <c:v>20</c:v>
                </c:pt>
                <c:pt idx="1269">
                  <c:v>45</c:v>
                </c:pt>
                <c:pt idx="1270">
                  <c:v>26</c:v>
                </c:pt>
                <c:pt idx="1271">
                  <c:v>25</c:v>
                </c:pt>
                <c:pt idx="1272">
                  <c:v>43</c:v>
                </c:pt>
                <c:pt idx="1273">
                  <c:v>35</c:v>
                </c:pt>
                <c:pt idx="1274">
                  <c:v>26</c:v>
                </c:pt>
                <c:pt idx="1275">
                  <c:v>57</c:v>
                </c:pt>
                <c:pt idx="1276">
                  <c:v>22</c:v>
                </c:pt>
                <c:pt idx="1277">
                  <c:v>32</c:v>
                </c:pt>
                <c:pt idx="1278">
                  <c:v>39</c:v>
                </c:pt>
                <c:pt idx="1279">
                  <c:v>25</c:v>
                </c:pt>
                <c:pt idx="1280">
                  <c:v>48</c:v>
                </c:pt>
                <c:pt idx="1281">
                  <c:v>47</c:v>
                </c:pt>
                <c:pt idx="1282">
                  <c:v>18</c:v>
                </c:pt>
                <c:pt idx="1283">
                  <c:v>18</c:v>
                </c:pt>
                <c:pt idx="1284">
                  <c:v>61</c:v>
                </c:pt>
                <c:pt idx="1285">
                  <c:v>47</c:v>
                </c:pt>
                <c:pt idx="1286">
                  <c:v>28</c:v>
                </c:pt>
                <c:pt idx="1287">
                  <c:v>36</c:v>
                </c:pt>
                <c:pt idx="1288">
                  <c:v>20</c:v>
                </c:pt>
                <c:pt idx="1289">
                  <c:v>44</c:v>
                </c:pt>
                <c:pt idx="1290">
                  <c:v>38</c:v>
                </c:pt>
                <c:pt idx="1291">
                  <c:v>19</c:v>
                </c:pt>
                <c:pt idx="1292">
                  <c:v>21</c:v>
                </c:pt>
                <c:pt idx="1293">
                  <c:v>46</c:v>
                </c:pt>
                <c:pt idx="1294">
                  <c:v>58</c:v>
                </c:pt>
                <c:pt idx="1295">
                  <c:v>20</c:v>
                </c:pt>
                <c:pt idx="1296">
                  <c:v>18</c:v>
                </c:pt>
                <c:pt idx="1297">
                  <c:v>28</c:v>
                </c:pt>
                <c:pt idx="1298">
                  <c:v>33</c:v>
                </c:pt>
                <c:pt idx="1299">
                  <c:v>19</c:v>
                </c:pt>
                <c:pt idx="1300">
                  <c:v>45</c:v>
                </c:pt>
                <c:pt idx="1301">
                  <c:v>62</c:v>
                </c:pt>
                <c:pt idx="1302">
                  <c:v>25</c:v>
                </c:pt>
                <c:pt idx="1303">
                  <c:v>43</c:v>
                </c:pt>
                <c:pt idx="1304">
                  <c:v>42</c:v>
                </c:pt>
                <c:pt idx="1305">
                  <c:v>24</c:v>
                </c:pt>
                <c:pt idx="1306">
                  <c:v>29</c:v>
                </c:pt>
                <c:pt idx="1307">
                  <c:v>32</c:v>
                </c:pt>
                <c:pt idx="1308">
                  <c:v>25</c:v>
                </c:pt>
                <c:pt idx="1309">
                  <c:v>41</c:v>
                </c:pt>
                <c:pt idx="1310">
                  <c:v>42</c:v>
                </c:pt>
                <c:pt idx="1311">
                  <c:v>33</c:v>
                </c:pt>
                <c:pt idx="1312">
                  <c:v>34</c:v>
                </c:pt>
                <c:pt idx="1313">
                  <c:v>19</c:v>
                </c:pt>
                <c:pt idx="1314">
                  <c:v>30</c:v>
                </c:pt>
                <c:pt idx="1315">
                  <c:v>18</c:v>
                </c:pt>
                <c:pt idx="1316">
                  <c:v>19</c:v>
                </c:pt>
                <c:pt idx="1317">
                  <c:v>18</c:v>
                </c:pt>
                <c:pt idx="1318">
                  <c:v>35</c:v>
                </c:pt>
                <c:pt idx="1319">
                  <c:v>39</c:v>
                </c:pt>
                <c:pt idx="1320">
                  <c:v>31</c:v>
                </c:pt>
                <c:pt idx="1321">
                  <c:v>62</c:v>
                </c:pt>
                <c:pt idx="1322">
                  <c:v>62</c:v>
                </c:pt>
                <c:pt idx="1323">
                  <c:v>42</c:v>
                </c:pt>
                <c:pt idx="1324">
                  <c:v>31</c:v>
                </c:pt>
                <c:pt idx="1325">
                  <c:v>61</c:v>
                </c:pt>
                <c:pt idx="1326">
                  <c:v>42</c:v>
                </c:pt>
                <c:pt idx="1327">
                  <c:v>51</c:v>
                </c:pt>
                <c:pt idx="1328">
                  <c:v>23</c:v>
                </c:pt>
                <c:pt idx="1329">
                  <c:v>52</c:v>
                </c:pt>
                <c:pt idx="1330">
                  <c:v>57</c:v>
                </c:pt>
                <c:pt idx="1331">
                  <c:v>23</c:v>
                </c:pt>
                <c:pt idx="1332">
                  <c:v>52</c:v>
                </c:pt>
                <c:pt idx="1333">
                  <c:v>50</c:v>
                </c:pt>
                <c:pt idx="1334">
                  <c:v>18</c:v>
                </c:pt>
                <c:pt idx="1335">
                  <c:v>18</c:v>
                </c:pt>
                <c:pt idx="1336">
                  <c:v>21</c:v>
                </c:pt>
                <c:pt idx="1337">
                  <c:v>61</c:v>
                </c:pt>
              </c:numCache>
            </c:numRef>
          </c:xVal>
          <c:yVal>
            <c:numRef>
              <c:f>'insurance (Clean)'!$K$2:$K$1339</c:f>
              <c:numCache>
                <c:formatCode>[$$-409]#,##0.00</c:formatCode>
                <c:ptCount val="1338"/>
                <c:pt idx="0">
                  <c:v>16884.923999999999</c:v>
                </c:pt>
                <c:pt idx="1">
                  <c:v>1725.5523000000001</c:v>
                </c:pt>
                <c:pt idx="2">
                  <c:v>4449.4620000000004</c:v>
                </c:pt>
                <c:pt idx="3">
                  <c:v>21984.470600000001</c:v>
                </c:pt>
                <c:pt idx="4">
                  <c:v>3866.8552</c:v>
                </c:pt>
                <c:pt idx="5">
                  <c:v>3756.6215999999999</c:v>
                </c:pt>
                <c:pt idx="6">
                  <c:v>8240.5895999999993</c:v>
                </c:pt>
                <c:pt idx="7">
                  <c:v>7281.5056000000004</c:v>
                </c:pt>
                <c:pt idx="8">
                  <c:v>6406.4107000000004</c:v>
                </c:pt>
                <c:pt idx="9">
                  <c:v>28923.136900000001</c:v>
                </c:pt>
                <c:pt idx="10">
                  <c:v>2721.3208</c:v>
                </c:pt>
                <c:pt idx="11">
                  <c:v>27808.7251</c:v>
                </c:pt>
                <c:pt idx="12">
                  <c:v>1826.8430000000001</c:v>
                </c:pt>
                <c:pt idx="13">
                  <c:v>11090.7178</c:v>
                </c:pt>
                <c:pt idx="14">
                  <c:v>39611.757700000002</c:v>
                </c:pt>
                <c:pt idx="15">
                  <c:v>1837.2370000000001</c:v>
                </c:pt>
                <c:pt idx="16">
                  <c:v>10797.3362</c:v>
                </c:pt>
                <c:pt idx="17">
                  <c:v>2395.1716000000001</c:v>
                </c:pt>
                <c:pt idx="18">
                  <c:v>10602.385</c:v>
                </c:pt>
                <c:pt idx="19">
                  <c:v>36837.466999999997</c:v>
                </c:pt>
                <c:pt idx="20">
                  <c:v>13228.847</c:v>
                </c:pt>
                <c:pt idx="21">
                  <c:v>4149.7359999999999</c:v>
                </c:pt>
                <c:pt idx="22">
                  <c:v>1137.011</c:v>
                </c:pt>
                <c:pt idx="23">
                  <c:v>37701.876799999998</c:v>
                </c:pt>
                <c:pt idx="24">
                  <c:v>6203.9017999999996</c:v>
                </c:pt>
                <c:pt idx="25">
                  <c:v>14001.1338</c:v>
                </c:pt>
                <c:pt idx="26">
                  <c:v>14451.8352</c:v>
                </c:pt>
                <c:pt idx="27">
                  <c:v>12268.6322</c:v>
                </c:pt>
                <c:pt idx="28">
                  <c:v>2775.1922</c:v>
                </c:pt>
                <c:pt idx="29">
                  <c:v>38711</c:v>
                </c:pt>
                <c:pt idx="30">
                  <c:v>35585.576000000001</c:v>
                </c:pt>
                <c:pt idx="31">
                  <c:v>2198.1898000000001</c:v>
                </c:pt>
                <c:pt idx="32">
                  <c:v>4687.7969999999996</c:v>
                </c:pt>
                <c:pt idx="33">
                  <c:v>13770.097900000001</c:v>
                </c:pt>
                <c:pt idx="34">
                  <c:v>51194.559099999999</c:v>
                </c:pt>
                <c:pt idx="35">
                  <c:v>1625.4338</c:v>
                </c:pt>
                <c:pt idx="36">
                  <c:v>15612.1934</c:v>
                </c:pt>
                <c:pt idx="37">
                  <c:v>2302.3000000000002</c:v>
                </c:pt>
                <c:pt idx="38">
                  <c:v>39774.276299999998</c:v>
                </c:pt>
                <c:pt idx="39">
                  <c:v>48173.360999999997</c:v>
                </c:pt>
                <c:pt idx="40">
                  <c:v>3046.0619999999999</c:v>
                </c:pt>
                <c:pt idx="41">
                  <c:v>4949.7587000000003</c:v>
                </c:pt>
                <c:pt idx="42">
                  <c:v>6272.4772000000003</c:v>
                </c:pt>
                <c:pt idx="43">
                  <c:v>6313.759</c:v>
                </c:pt>
                <c:pt idx="44">
                  <c:v>6079.6715000000004</c:v>
                </c:pt>
                <c:pt idx="45">
                  <c:v>20630.283500000001</c:v>
                </c:pt>
                <c:pt idx="46">
                  <c:v>3393.3564000000001</c:v>
                </c:pt>
                <c:pt idx="47">
                  <c:v>3556.9223000000002</c:v>
                </c:pt>
                <c:pt idx="48">
                  <c:v>12629.896699999999</c:v>
                </c:pt>
                <c:pt idx="49">
                  <c:v>38709.175999999999</c:v>
                </c:pt>
                <c:pt idx="50">
                  <c:v>2211.1307999999999</c:v>
                </c:pt>
                <c:pt idx="51">
                  <c:v>3579.8287</c:v>
                </c:pt>
                <c:pt idx="52">
                  <c:v>23568.272000000001</c:v>
                </c:pt>
                <c:pt idx="53">
                  <c:v>37742.575700000001</c:v>
                </c:pt>
                <c:pt idx="54">
                  <c:v>8059.6791000000003</c:v>
                </c:pt>
                <c:pt idx="55">
                  <c:v>47496.494400000003</c:v>
                </c:pt>
                <c:pt idx="56">
                  <c:v>13607.3688</c:v>
                </c:pt>
                <c:pt idx="57">
                  <c:v>34303.167200000004</c:v>
                </c:pt>
                <c:pt idx="58">
                  <c:v>23244.790199999999</c:v>
                </c:pt>
                <c:pt idx="59">
                  <c:v>5989.5236000000004</c:v>
                </c:pt>
                <c:pt idx="60">
                  <c:v>8606.2173999999995</c:v>
                </c:pt>
                <c:pt idx="61">
                  <c:v>4504.6624000000002</c:v>
                </c:pt>
                <c:pt idx="62">
                  <c:v>30166.618200000001</c:v>
                </c:pt>
                <c:pt idx="63">
                  <c:v>4133.6415999999999</c:v>
                </c:pt>
                <c:pt idx="64">
                  <c:v>14711.7438</c:v>
                </c:pt>
                <c:pt idx="65">
                  <c:v>1743.2139999999999</c:v>
                </c:pt>
                <c:pt idx="66">
                  <c:v>14235.072</c:v>
                </c:pt>
                <c:pt idx="67">
                  <c:v>6389.3778000000002</c:v>
                </c:pt>
                <c:pt idx="68">
                  <c:v>5920.1040999999996</c:v>
                </c:pt>
                <c:pt idx="69">
                  <c:v>17663.144199999999</c:v>
                </c:pt>
                <c:pt idx="70">
                  <c:v>16577.779500000001</c:v>
                </c:pt>
                <c:pt idx="71">
                  <c:v>6799.4579999999996</c:v>
                </c:pt>
                <c:pt idx="72">
                  <c:v>11741.726000000001</c:v>
                </c:pt>
                <c:pt idx="73">
                  <c:v>11946.625899999999</c:v>
                </c:pt>
                <c:pt idx="74">
                  <c:v>7726.8540000000003</c:v>
                </c:pt>
                <c:pt idx="75">
                  <c:v>11356.660900000001</c:v>
                </c:pt>
                <c:pt idx="76">
                  <c:v>3947.4131000000002</c:v>
                </c:pt>
                <c:pt idx="77">
                  <c:v>1532.4697000000001</c:v>
                </c:pt>
                <c:pt idx="78">
                  <c:v>2755.0210000000002</c:v>
                </c:pt>
                <c:pt idx="79">
                  <c:v>6571.0244000000002</c:v>
                </c:pt>
                <c:pt idx="80">
                  <c:v>4441.2132000000001</c:v>
                </c:pt>
                <c:pt idx="81">
                  <c:v>7935.2911999999997</c:v>
                </c:pt>
                <c:pt idx="82">
                  <c:v>37165.163800000002</c:v>
                </c:pt>
                <c:pt idx="83">
                  <c:v>11033.661700000001</c:v>
                </c:pt>
                <c:pt idx="84">
                  <c:v>39836.519</c:v>
                </c:pt>
                <c:pt idx="85">
                  <c:v>21098.554</c:v>
                </c:pt>
                <c:pt idx="86">
                  <c:v>43578.939400000003</c:v>
                </c:pt>
                <c:pt idx="87">
                  <c:v>11073.175999999999</c:v>
                </c:pt>
                <c:pt idx="88">
                  <c:v>8026.6665999999996</c:v>
                </c:pt>
                <c:pt idx="89">
                  <c:v>11082.5772</c:v>
                </c:pt>
                <c:pt idx="90">
                  <c:v>2026.9740999999999</c:v>
                </c:pt>
                <c:pt idx="91">
                  <c:v>10942.132</c:v>
                </c:pt>
                <c:pt idx="92">
                  <c:v>30184.936699999998</c:v>
                </c:pt>
                <c:pt idx="93">
                  <c:v>5729.0052999999998</c:v>
                </c:pt>
                <c:pt idx="94">
                  <c:v>47291.055</c:v>
                </c:pt>
                <c:pt idx="95">
                  <c:v>3766.8838000000001</c:v>
                </c:pt>
                <c:pt idx="96">
                  <c:v>12105.32</c:v>
                </c:pt>
                <c:pt idx="97">
                  <c:v>10226.2842</c:v>
                </c:pt>
                <c:pt idx="98">
                  <c:v>22412.648499999999</c:v>
                </c:pt>
                <c:pt idx="99">
                  <c:v>15820.699000000001</c:v>
                </c:pt>
                <c:pt idx="100">
                  <c:v>6186.1270000000004</c:v>
                </c:pt>
                <c:pt idx="101">
                  <c:v>3645.0893999999998</c:v>
                </c:pt>
                <c:pt idx="102">
                  <c:v>21344.846699999998</c:v>
                </c:pt>
                <c:pt idx="103">
                  <c:v>30942.191800000001</c:v>
                </c:pt>
                <c:pt idx="104">
                  <c:v>5003.8530000000001</c:v>
                </c:pt>
                <c:pt idx="105">
                  <c:v>17560.379799999999</c:v>
                </c:pt>
                <c:pt idx="106">
                  <c:v>2331.5189999999998</c:v>
                </c:pt>
                <c:pt idx="107">
                  <c:v>3877.3042</c:v>
                </c:pt>
                <c:pt idx="108">
                  <c:v>2867.1196</c:v>
                </c:pt>
                <c:pt idx="109">
                  <c:v>47055.532099999997</c:v>
                </c:pt>
                <c:pt idx="110">
                  <c:v>10825.253699999999</c:v>
                </c:pt>
                <c:pt idx="111">
                  <c:v>11881.358</c:v>
                </c:pt>
                <c:pt idx="112">
                  <c:v>4646.759</c:v>
                </c:pt>
                <c:pt idx="113">
                  <c:v>2404.7338</c:v>
                </c:pt>
                <c:pt idx="114">
                  <c:v>11488.316999999999</c:v>
                </c:pt>
                <c:pt idx="115">
                  <c:v>30259.995599999998</c:v>
                </c:pt>
                <c:pt idx="116">
                  <c:v>11381.3254</c:v>
                </c:pt>
                <c:pt idx="117">
                  <c:v>19107.779600000002</c:v>
                </c:pt>
                <c:pt idx="118">
                  <c:v>8601.3292999999994</c:v>
                </c:pt>
                <c:pt idx="119">
                  <c:v>6686.4313000000002</c:v>
                </c:pt>
                <c:pt idx="120">
                  <c:v>7740.3370000000004</c:v>
                </c:pt>
                <c:pt idx="121">
                  <c:v>1705.6244999999999</c:v>
                </c:pt>
                <c:pt idx="122">
                  <c:v>2257.4751999999999</c:v>
                </c:pt>
                <c:pt idx="123">
                  <c:v>39556.494500000001</c:v>
                </c:pt>
                <c:pt idx="124">
                  <c:v>10115.0088</c:v>
                </c:pt>
                <c:pt idx="125">
                  <c:v>3385.3991999999998</c:v>
                </c:pt>
                <c:pt idx="126">
                  <c:v>17081.080000000002</c:v>
                </c:pt>
                <c:pt idx="127">
                  <c:v>9634.5380000000005</c:v>
                </c:pt>
                <c:pt idx="128">
                  <c:v>32734.186300000001</c:v>
                </c:pt>
                <c:pt idx="129">
                  <c:v>6082.4049999999997</c:v>
                </c:pt>
                <c:pt idx="130">
                  <c:v>12815.445</c:v>
                </c:pt>
                <c:pt idx="131">
                  <c:v>13616.3586</c:v>
                </c:pt>
                <c:pt idx="132">
                  <c:v>11163.567999999999</c:v>
                </c:pt>
                <c:pt idx="133">
                  <c:v>1632.5644</c:v>
                </c:pt>
                <c:pt idx="134">
                  <c:v>2457.2112000000002</c:v>
                </c:pt>
                <c:pt idx="135">
                  <c:v>2155.6815000000001</c:v>
                </c:pt>
                <c:pt idx="136">
                  <c:v>1261.442</c:v>
                </c:pt>
                <c:pt idx="137">
                  <c:v>2045.6851999999999</c:v>
                </c:pt>
                <c:pt idx="138">
                  <c:v>27322.733899999999</c:v>
                </c:pt>
                <c:pt idx="139">
                  <c:v>2166.732</c:v>
                </c:pt>
                <c:pt idx="140">
                  <c:v>27375.9048</c:v>
                </c:pt>
                <c:pt idx="141">
                  <c:v>3490.5491000000002</c:v>
                </c:pt>
                <c:pt idx="142">
                  <c:v>18972.494999999999</c:v>
                </c:pt>
                <c:pt idx="143">
                  <c:v>18157.876</c:v>
                </c:pt>
                <c:pt idx="144">
                  <c:v>20745.989099999999</c:v>
                </c:pt>
                <c:pt idx="145">
                  <c:v>5138.2566999999999</c:v>
                </c:pt>
                <c:pt idx="146">
                  <c:v>40720.550999999999</c:v>
                </c:pt>
                <c:pt idx="147">
                  <c:v>9877.6077000000005</c:v>
                </c:pt>
                <c:pt idx="148">
                  <c:v>10959.6947</c:v>
                </c:pt>
                <c:pt idx="149">
                  <c:v>1842.519</c:v>
                </c:pt>
                <c:pt idx="150">
                  <c:v>5125.2156999999997</c:v>
                </c:pt>
                <c:pt idx="151">
                  <c:v>7789.6350000000002</c:v>
                </c:pt>
                <c:pt idx="152">
                  <c:v>6334.3436000000002</c:v>
                </c:pt>
                <c:pt idx="153">
                  <c:v>19964.746299999999</c:v>
                </c:pt>
                <c:pt idx="154">
                  <c:v>7077.1894000000002</c:v>
                </c:pt>
                <c:pt idx="155">
                  <c:v>6948.7007999999996</c:v>
                </c:pt>
                <c:pt idx="156">
                  <c:v>21223.675800000001</c:v>
                </c:pt>
                <c:pt idx="157">
                  <c:v>15518.180200000001</c:v>
                </c:pt>
                <c:pt idx="158">
                  <c:v>36950.256699999998</c:v>
                </c:pt>
                <c:pt idx="159">
                  <c:v>19749.383399999999</c:v>
                </c:pt>
                <c:pt idx="160">
                  <c:v>21348.705999999998</c:v>
                </c:pt>
                <c:pt idx="161">
                  <c:v>36149.483500000002</c:v>
                </c:pt>
                <c:pt idx="162">
                  <c:v>10450.552</c:v>
                </c:pt>
                <c:pt idx="163">
                  <c:v>5152.134</c:v>
                </c:pt>
                <c:pt idx="164">
                  <c:v>5028.1466</c:v>
                </c:pt>
                <c:pt idx="165">
                  <c:v>10407.085800000001</c:v>
                </c:pt>
                <c:pt idx="166">
                  <c:v>4830.63</c:v>
                </c:pt>
                <c:pt idx="167">
                  <c:v>6128.7974000000004</c:v>
                </c:pt>
                <c:pt idx="168">
                  <c:v>2719.2797999999998</c:v>
                </c:pt>
                <c:pt idx="169">
                  <c:v>4827.9049999999997</c:v>
                </c:pt>
                <c:pt idx="170">
                  <c:v>13405.390299999999</c:v>
                </c:pt>
                <c:pt idx="171">
                  <c:v>8116.68</c:v>
                </c:pt>
                <c:pt idx="172">
                  <c:v>1694.7963999999999</c:v>
                </c:pt>
                <c:pt idx="173">
                  <c:v>5246.0469999999996</c:v>
                </c:pt>
                <c:pt idx="174">
                  <c:v>2855.4376000000002</c:v>
                </c:pt>
                <c:pt idx="175">
                  <c:v>48824.45</c:v>
                </c:pt>
                <c:pt idx="176">
                  <c:v>6455.8626000000004</c:v>
                </c:pt>
                <c:pt idx="177">
                  <c:v>10436.096</c:v>
                </c:pt>
                <c:pt idx="178">
                  <c:v>8823.2790000000005</c:v>
                </c:pt>
                <c:pt idx="179">
                  <c:v>8538.2883999999995</c:v>
                </c:pt>
                <c:pt idx="180">
                  <c:v>11735.879000000001</c:v>
                </c:pt>
                <c:pt idx="181">
                  <c:v>1631.8212000000001</c:v>
                </c:pt>
                <c:pt idx="182">
                  <c:v>4005.4225000000001</c:v>
                </c:pt>
                <c:pt idx="183">
                  <c:v>7419.4778999999999</c:v>
                </c:pt>
                <c:pt idx="184">
                  <c:v>7731.4270999999999</c:v>
                </c:pt>
                <c:pt idx="185">
                  <c:v>43753.337</c:v>
                </c:pt>
                <c:pt idx="186">
                  <c:v>3981.9767999999999</c:v>
                </c:pt>
                <c:pt idx="187">
                  <c:v>5325.6509999999998</c:v>
                </c:pt>
                <c:pt idx="188">
                  <c:v>6775.9610000000002</c:v>
                </c:pt>
                <c:pt idx="189">
                  <c:v>4922.9159</c:v>
                </c:pt>
                <c:pt idx="190">
                  <c:v>12557.605299999999</c:v>
                </c:pt>
                <c:pt idx="191">
                  <c:v>4883.866</c:v>
                </c:pt>
                <c:pt idx="192">
                  <c:v>2137.6536000000001</c:v>
                </c:pt>
                <c:pt idx="193">
                  <c:v>12044.342000000001</c:v>
                </c:pt>
                <c:pt idx="194">
                  <c:v>1137.4697000000001</c:v>
                </c:pt>
                <c:pt idx="195">
                  <c:v>1639.5631000000001</c:v>
                </c:pt>
                <c:pt idx="196">
                  <c:v>5649.7150000000001</c:v>
                </c:pt>
                <c:pt idx="197">
                  <c:v>8516.8289999999997</c:v>
                </c:pt>
                <c:pt idx="198">
                  <c:v>9644.2525000000005</c:v>
                </c:pt>
                <c:pt idx="199">
                  <c:v>14901.5167</c:v>
                </c:pt>
                <c:pt idx="200">
                  <c:v>2130.6759000000002</c:v>
                </c:pt>
                <c:pt idx="201">
                  <c:v>8871.1517000000003</c:v>
                </c:pt>
                <c:pt idx="202">
                  <c:v>13012.2086</c:v>
                </c:pt>
                <c:pt idx="203">
                  <c:v>37133.898200000003</c:v>
                </c:pt>
                <c:pt idx="204">
                  <c:v>7147.1049999999996</c:v>
                </c:pt>
                <c:pt idx="205">
                  <c:v>4337.7352000000001</c:v>
                </c:pt>
                <c:pt idx="206">
                  <c:v>11743.299000000001</c:v>
                </c:pt>
                <c:pt idx="207">
                  <c:v>20984.0936</c:v>
                </c:pt>
                <c:pt idx="208">
                  <c:v>13880.949000000001</c:v>
                </c:pt>
                <c:pt idx="209">
                  <c:v>6610.1097</c:v>
                </c:pt>
                <c:pt idx="210">
                  <c:v>1980.07</c:v>
                </c:pt>
                <c:pt idx="211">
                  <c:v>8162.7161999999998</c:v>
                </c:pt>
                <c:pt idx="212">
                  <c:v>3537.703</c:v>
                </c:pt>
                <c:pt idx="213">
                  <c:v>5002.7826999999997</c:v>
                </c:pt>
                <c:pt idx="214">
                  <c:v>8520.0259999999998</c:v>
                </c:pt>
                <c:pt idx="215">
                  <c:v>7371.7719999999999</c:v>
                </c:pt>
                <c:pt idx="216">
                  <c:v>10355.641</c:v>
                </c:pt>
                <c:pt idx="217">
                  <c:v>2483.7359999999999</c:v>
                </c:pt>
                <c:pt idx="218">
                  <c:v>3392.9767999999999</c:v>
                </c:pt>
                <c:pt idx="219">
                  <c:v>25081.767800000001</c:v>
                </c:pt>
                <c:pt idx="220">
                  <c:v>5012.4709999999995</c:v>
                </c:pt>
                <c:pt idx="221">
                  <c:v>10564.8845</c:v>
                </c:pt>
                <c:pt idx="222">
                  <c:v>5253.5240000000003</c:v>
                </c:pt>
                <c:pt idx="223">
                  <c:v>34779.614999999998</c:v>
                </c:pt>
                <c:pt idx="224">
                  <c:v>19515.5416</c:v>
                </c:pt>
                <c:pt idx="225">
                  <c:v>11987.1682</c:v>
                </c:pt>
                <c:pt idx="226">
                  <c:v>2689.4953999999998</c:v>
                </c:pt>
                <c:pt idx="227">
                  <c:v>24227.337200000002</c:v>
                </c:pt>
                <c:pt idx="228">
                  <c:v>7358.1755999999996</c:v>
                </c:pt>
                <c:pt idx="229">
                  <c:v>9225.2564000000002</c:v>
                </c:pt>
                <c:pt idx="230">
                  <c:v>7443.643</c:v>
                </c:pt>
                <c:pt idx="231">
                  <c:v>14001.286700000001</c:v>
                </c:pt>
                <c:pt idx="232">
                  <c:v>1727.7850000000001</c:v>
                </c:pt>
                <c:pt idx="233">
                  <c:v>12333.828</c:v>
                </c:pt>
                <c:pt idx="234">
                  <c:v>6710.1918999999998</c:v>
                </c:pt>
                <c:pt idx="235">
                  <c:v>19444.265800000001</c:v>
                </c:pt>
                <c:pt idx="236">
                  <c:v>1615.7666999999999</c:v>
                </c:pt>
                <c:pt idx="237">
                  <c:v>4463.2051000000001</c:v>
                </c:pt>
                <c:pt idx="238">
                  <c:v>17352.6803</c:v>
                </c:pt>
                <c:pt idx="239">
                  <c:v>7152.6714000000002</c:v>
                </c:pt>
                <c:pt idx="240">
                  <c:v>38511.628299999997</c:v>
                </c:pt>
                <c:pt idx="241">
                  <c:v>5354.0745999999999</c:v>
                </c:pt>
                <c:pt idx="242">
                  <c:v>35160.134599999998</c:v>
                </c:pt>
                <c:pt idx="243">
                  <c:v>7196.8670000000002</c:v>
                </c:pt>
                <c:pt idx="244">
                  <c:v>29523.1656</c:v>
                </c:pt>
                <c:pt idx="245">
                  <c:v>24476.478500000001</c:v>
                </c:pt>
                <c:pt idx="246">
                  <c:v>12648.7034</c:v>
                </c:pt>
                <c:pt idx="247">
                  <c:v>1986.9333999999999</c:v>
                </c:pt>
                <c:pt idx="248">
                  <c:v>1832.0940000000001</c:v>
                </c:pt>
                <c:pt idx="249">
                  <c:v>4040.5581999999999</c:v>
                </c:pt>
                <c:pt idx="250">
                  <c:v>12829.455099999999</c:v>
                </c:pt>
                <c:pt idx="251">
                  <c:v>47305.305</c:v>
                </c:pt>
                <c:pt idx="252">
                  <c:v>44260.749900000003</c:v>
                </c:pt>
                <c:pt idx="253">
                  <c:v>4260.7439999999997</c:v>
                </c:pt>
                <c:pt idx="254">
                  <c:v>41097.161800000002</c:v>
                </c:pt>
                <c:pt idx="255">
                  <c:v>13047.332399999999</c:v>
                </c:pt>
                <c:pt idx="256">
                  <c:v>43921.183700000001</c:v>
                </c:pt>
                <c:pt idx="257">
                  <c:v>5400.9804999999997</c:v>
                </c:pt>
                <c:pt idx="258">
                  <c:v>11520.0998</c:v>
                </c:pt>
                <c:pt idx="259">
                  <c:v>33750.291799999999</c:v>
                </c:pt>
                <c:pt idx="260">
                  <c:v>11837.16</c:v>
                </c:pt>
                <c:pt idx="261">
                  <c:v>17085.267599999999</c:v>
                </c:pt>
                <c:pt idx="262">
                  <c:v>24869.836800000001</c:v>
                </c:pt>
                <c:pt idx="263">
                  <c:v>36219.405400000003</c:v>
                </c:pt>
                <c:pt idx="264">
                  <c:v>20462.9977</c:v>
                </c:pt>
                <c:pt idx="265">
                  <c:v>46151.124499999998</c:v>
                </c:pt>
                <c:pt idx="266">
                  <c:v>17179.522000000001</c:v>
                </c:pt>
                <c:pt idx="267">
                  <c:v>14590.632</c:v>
                </c:pt>
                <c:pt idx="268">
                  <c:v>7441.0529999999999</c:v>
                </c:pt>
                <c:pt idx="269">
                  <c:v>9282.4806000000008</c:v>
                </c:pt>
                <c:pt idx="270">
                  <c:v>1719.4363000000001</c:v>
                </c:pt>
                <c:pt idx="271">
                  <c:v>42856.838000000003</c:v>
                </c:pt>
                <c:pt idx="272">
                  <c:v>7265.7025000000003</c:v>
                </c:pt>
                <c:pt idx="273">
                  <c:v>9617.6623999999993</c:v>
                </c:pt>
                <c:pt idx="274">
                  <c:v>2523.1695</c:v>
                </c:pt>
                <c:pt idx="275">
                  <c:v>9715.8410000000003</c:v>
                </c:pt>
                <c:pt idx="276">
                  <c:v>2803.6977999999999</c:v>
                </c:pt>
                <c:pt idx="277">
                  <c:v>2150.4690000000001</c:v>
                </c:pt>
                <c:pt idx="278">
                  <c:v>12928.7911</c:v>
                </c:pt>
                <c:pt idx="279">
                  <c:v>9855.1314000000002</c:v>
                </c:pt>
                <c:pt idx="280">
                  <c:v>22331.566800000001</c:v>
                </c:pt>
                <c:pt idx="281">
                  <c:v>48549.178399999997</c:v>
                </c:pt>
                <c:pt idx="282">
                  <c:v>4237.1265999999996</c:v>
                </c:pt>
                <c:pt idx="283">
                  <c:v>11879.103999999999</c:v>
                </c:pt>
                <c:pt idx="284">
                  <c:v>9625.92</c:v>
                </c:pt>
                <c:pt idx="285">
                  <c:v>7742.1098000000002</c:v>
                </c:pt>
                <c:pt idx="286">
                  <c:v>9432.9253000000008</c:v>
                </c:pt>
                <c:pt idx="287">
                  <c:v>14256.192800000001</c:v>
                </c:pt>
                <c:pt idx="288">
                  <c:v>47896.791400000002</c:v>
                </c:pt>
                <c:pt idx="289">
                  <c:v>25992.821</c:v>
                </c:pt>
                <c:pt idx="290">
                  <c:v>3172.018</c:v>
                </c:pt>
                <c:pt idx="291">
                  <c:v>20277.807499999999</c:v>
                </c:pt>
                <c:pt idx="292">
                  <c:v>42112.2356</c:v>
                </c:pt>
                <c:pt idx="293">
                  <c:v>2156.7518</c:v>
                </c:pt>
                <c:pt idx="294">
                  <c:v>3906.127</c:v>
                </c:pt>
                <c:pt idx="295">
                  <c:v>1704.5681</c:v>
                </c:pt>
                <c:pt idx="296">
                  <c:v>16297.846</c:v>
                </c:pt>
                <c:pt idx="297">
                  <c:v>21978.676899999999</c:v>
                </c:pt>
                <c:pt idx="298">
                  <c:v>38746.355100000001</c:v>
                </c:pt>
                <c:pt idx="299">
                  <c:v>9249.4951999999994</c:v>
                </c:pt>
                <c:pt idx="300">
                  <c:v>6746.7425000000003</c:v>
                </c:pt>
                <c:pt idx="301">
                  <c:v>24873.384900000001</c:v>
                </c:pt>
                <c:pt idx="302">
                  <c:v>12265.5069</c:v>
                </c:pt>
                <c:pt idx="303">
                  <c:v>4349.4620000000004</c:v>
                </c:pt>
                <c:pt idx="304">
                  <c:v>12646.207</c:v>
                </c:pt>
                <c:pt idx="305">
                  <c:v>19442.353500000001</c:v>
                </c:pt>
                <c:pt idx="306">
                  <c:v>20177.6711</c:v>
                </c:pt>
                <c:pt idx="307">
                  <c:v>4151.0286999999998</c:v>
                </c:pt>
                <c:pt idx="308">
                  <c:v>11944.5944</c:v>
                </c:pt>
                <c:pt idx="309">
                  <c:v>7749.1563999999998</c:v>
                </c:pt>
                <c:pt idx="310">
                  <c:v>8444.4740000000002</c:v>
                </c:pt>
                <c:pt idx="311">
                  <c:v>1737.376</c:v>
                </c:pt>
                <c:pt idx="312">
                  <c:v>42124.515299999999</c:v>
                </c:pt>
                <c:pt idx="313">
                  <c:v>8124.4084000000003</c:v>
                </c:pt>
                <c:pt idx="314">
                  <c:v>34838.873</c:v>
                </c:pt>
                <c:pt idx="315">
                  <c:v>9722.7695000000003</c:v>
                </c:pt>
                <c:pt idx="316">
                  <c:v>8835.2649999999994</c:v>
                </c:pt>
                <c:pt idx="317">
                  <c:v>10435.065199999999</c:v>
                </c:pt>
                <c:pt idx="318">
                  <c:v>7421.1945999999998</c:v>
                </c:pt>
                <c:pt idx="319">
                  <c:v>4667.6076000000003</c:v>
                </c:pt>
                <c:pt idx="320">
                  <c:v>4894.7533000000003</c:v>
                </c:pt>
                <c:pt idx="321">
                  <c:v>24671.6633</c:v>
                </c:pt>
                <c:pt idx="322">
                  <c:v>35491.64</c:v>
                </c:pt>
                <c:pt idx="323">
                  <c:v>11566.3006</c:v>
                </c:pt>
                <c:pt idx="324">
                  <c:v>2866.0909999999999</c:v>
                </c:pt>
                <c:pt idx="325">
                  <c:v>6600.2060000000001</c:v>
                </c:pt>
                <c:pt idx="326">
                  <c:v>3561.8888999999999</c:v>
                </c:pt>
                <c:pt idx="327">
                  <c:v>42760.502200000003</c:v>
                </c:pt>
                <c:pt idx="328">
                  <c:v>47928.03</c:v>
                </c:pt>
                <c:pt idx="329">
                  <c:v>9144.5650000000005</c:v>
                </c:pt>
                <c:pt idx="330">
                  <c:v>48517.563199999997</c:v>
                </c:pt>
                <c:pt idx="331">
                  <c:v>24393.6224</c:v>
                </c:pt>
                <c:pt idx="332">
                  <c:v>13429.035400000001</c:v>
                </c:pt>
                <c:pt idx="333">
                  <c:v>11658.379199999999</c:v>
                </c:pt>
                <c:pt idx="334">
                  <c:v>19144.576499999999</c:v>
                </c:pt>
                <c:pt idx="335">
                  <c:v>13822.803</c:v>
                </c:pt>
                <c:pt idx="336">
                  <c:v>12142.578600000001</c:v>
                </c:pt>
                <c:pt idx="337">
                  <c:v>13937.666499999999</c:v>
                </c:pt>
                <c:pt idx="338">
                  <c:v>41919.097000000002</c:v>
                </c:pt>
                <c:pt idx="339">
                  <c:v>8232.6388000000006</c:v>
                </c:pt>
                <c:pt idx="340">
                  <c:v>18955.2202</c:v>
                </c:pt>
                <c:pt idx="341">
                  <c:v>13352.0998</c:v>
                </c:pt>
                <c:pt idx="342">
                  <c:v>13217.094499999999</c:v>
                </c:pt>
                <c:pt idx="343">
                  <c:v>13981.850399999999</c:v>
                </c:pt>
                <c:pt idx="344">
                  <c:v>10977.2063</c:v>
                </c:pt>
                <c:pt idx="345">
                  <c:v>6184.2993999999999</c:v>
                </c:pt>
                <c:pt idx="346">
                  <c:v>4889.9994999999999</c:v>
                </c:pt>
                <c:pt idx="347">
                  <c:v>8334.4575999999997</c:v>
                </c:pt>
                <c:pt idx="348">
                  <c:v>5478.0367999999999</c:v>
                </c:pt>
                <c:pt idx="349">
                  <c:v>1635.7336</c:v>
                </c:pt>
                <c:pt idx="350">
                  <c:v>11830.6072</c:v>
                </c:pt>
                <c:pt idx="351">
                  <c:v>8932.0840000000007</c:v>
                </c:pt>
                <c:pt idx="352">
                  <c:v>3554.203</c:v>
                </c:pt>
                <c:pt idx="353">
                  <c:v>12404.8791</c:v>
                </c:pt>
                <c:pt idx="354">
                  <c:v>14133.0378</c:v>
                </c:pt>
                <c:pt idx="355">
                  <c:v>24603.0484</c:v>
                </c:pt>
                <c:pt idx="356">
                  <c:v>8944.1151000000009</c:v>
                </c:pt>
                <c:pt idx="357">
                  <c:v>9620.3307000000004</c:v>
                </c:pt>
                <c:pt idx="358">
                  <c:v>1837.2819</c:v>
                </c:pt>
                <c:pt idx="359">
                  <c:v>1607.5101</c:v>
                </c:pt>
                <c:pt idx="360">
                  <c:v>10043.249</c:v>
                </c:pt>
                <c:pt idx="361">
                  <c:v>4751.07</c:v>
                </c:pt>
                <c:pt idx="362">
                  <c:v>13844.505999999999</c:v>
                </c:pt>
                <c:pt idx="363">
                  <c:v>2597.779</c:v>
                </c:pt>
                <c:pt idx="364">
                  <c:v>3180.5101</c:v>
                </c:pt>
                <c:pt idx="365">
                  <c:v>9778.3472000000002</c:v>
                </c:pt>
                <c:pt idx="366">
                  <c:v>13430.264999999999</c:v>
                </c:pt>
                <c:pt idx="367">
                  <c:v>8017.0612000000001</c:v>
                </c:pt>
                <c:pt idx="368">
                  <c:v>8116.2687999999998</c:v>
                </c:pt>
                <c:pt idx="369">
                  <c:v>3481.8679999999999</c:v>
                </c:pt>
                <c:pt idx="370">
                  <c:v>13415.0381</c:v>
                </c:pt>
                <c:pt idx="371">
                  <c:v>12029.286700000001</c:v>
                </c:pt>
                <c:pt idx="372">
                  <c:v>7639.4174000000003</c:v>
                </c:pt>
                <c:pt idx="373">
                  <c:v>36085.218999999997</c:v>
                </c:pt>
                <c:pt idx="374">
                  <c:v>1391.5287000000001</c:v>
                </c:pt>
                <c:pt idx="375">
                  <c:v>18033.9679</c:v>
                </c:pt>
                <c:pt idx="376">
                  <c:v>21659.930100000001</c:v>
                </c:pt>
                <c:pt idx="377">
                  <c:v>38126.246500000001</c:v>
                </c:pt>
                <c:pt idx="378">
                  <c:v>16455.7078</c:v>
                </c:pt>
                <c:pt idx="379">
                  <c:v>27000.984700000001</c:v>
                </c:pt>
                <c:pt idx="380">
                  <c:v>15006.579400000001</c:v>
                </c:pt>
                <c:pt idx="381">
                  <c:v>42303.692199999998</c:v>
                </c:pt>
                <c:pt idx="382">
                  <c:v>20781.4889</c:v>
                </c:pt>
                <c:pt idx="383">
                  <c:v>5846.9175999999998</c:v>
                </c:pt>
                <c:pt idx="384">
                  <c:v>8302.5355999999992</c:v>
                </c:pt>
                <c:pt idx="385">
                  <c:v>1261.8589999999999</c:v>
                </c:pt>
                <c:pt idx="386">
                  <c:v>11856.4115</c:v>
                </c:pt>
                <c:pt idx="387">
                  <c:v>30284.642899999999</c:v>
                </c:pt>
                <c:pt idx="388">
                  <c:v>3176.8159000000001</c:v>
                </c:pt>
                <c:pt idx="389">
                  <c:v>4618.0798999999997</c:v>
                </c:pt>
                <c:pt idx="390">
                  <c:v>10736.870800000001</c:v>
                </c:pt>
                <c:pt idx="391">
                  <c:v>2138.0707000000002</c:v>
                </c:pt>
                <c:pt idx="392">
                  <c:v>8964.0606000000007</c:v>
                </c:pt>
                <c:pt idx="393">
                  <c:v>9290.1394999999993</c:v>
                </c:pt>
                <c:pt idx="394">
                  <c:v>9411.0049999999992</c:v>
                </c:pt>
                <c:pt idx="395">
                  <c:v>7526.7064</c:v>
                </c:pt>
                <c:pt idx="396">
                  <c:v>8522.0030000000006</c:v>
                </c:pt>
                <c:pt idx="397">
                  <c:v>16586.4977</c:v>
                </c:pt>
                <c:pt idx="398">
                  <c:v>14988.432000000001</c:v>
                </c:pt>
                <c:pt idx="399">
                  <c:v>1631.6683</c:v>
                </c:pt>
                <c:pt idx="400">
                  <c:v>9264.7970000000005</c:v>
                </c:pt>
                <c:pt idx="401">
                  <c:v>8083.9197999999997</c:v>
                </c:pt>
                <c:pt idx="402">
                  <c:v>14692.669400000001</c:v>
                </c:pt>
                <c:pt idx="403">
                  <c:v>10269.459999999999</c:v>
                </c:pt>
                <c:pt idx="404">
                  <c:v>3260.1990000000001</c:v>
                </c:pt>
                <c:pt idx="405">
                  <c:v>11396.9002</c:v>
                </c:pt>
                <c:pt idx="406">
                  <c:v>4185.0978999999998</c:v>
                </c:pt>
                <c:pt idx="407">
                  <c:v>8539.6710000000003</c:v>
                </c:pt>
                <c:pt idx="408">
                  <c:v>6652.5288</c:v>
                </c:pt>
                <c:pt idx="409">
                  <c:v>4074.4537</c:v>
                </c:pt>
                <c:pt idx="410">
                  <c:v>1621.3402000000001</c:v>
                </c:pt>
                <c:pt idx="411">
                  <c:v>19594.809600000001</c:v>
                </c:pt>
                <c:pt idx="412">
                  <c:v>14455.644</c:v>
                </c:pt>
                <c:pt idx="413">
                  <c:v>5080.0959999999995</c:v>
                </c:pt>
                <c:pt idx="414">
                  <c:v>2134.9014999999999</c:v>
                </c:pt>
                <c:pt idx="415">
                  <c:v>7345.7266</c:v>
                </c:pt>
                <c:pt idx="416">
                  <c:v>9140.9509999999991</c:v>
                </c:pt>
                <c:pt idx="417">
                  <c:v>18608.261999999999</c:v>
                </c:pt>
                <c:pt idx="418">
                  <c:v>14418.2804</c:v>
                </c:pt>
                <c:pt idx="419">
                  <c:v>28950.4692</c:v>
                </c:pt>
                <c:pt idx="420">
                  <c:v>46889.261200000001</c:v>
                </c:pt>
                <c:pt idx="421">
                  <c:v>46599.108399999997</c:v>
                </c:pt>
                <c:pt idx="422">
                  <c:v>39125.332199999997</c:v>
                </c:pt>
                <c:pt idx="423">
                  <c:v>2727.3951000000002</c:v>
                </c:pt>
                <c:pt idx="424">
                  <c:v>8968.33</c:v>
                </c:pt>
                <c:pt idx="425">
                  <c:v>9788.8659000000007</c:v>
                </c:pt>
                <c:pt idx="426">
                  <c:v>6555.0703999999996</c:v>
                </c:pt>
                <c:pt idx="427">
                  <c:v>7323.7348000000002</c:v>
                </c:pt>
                <c:pt idx="428">
                  <c:v>3167.4558000000002</c:v>
                </c:pt>
                <c:pt idx="429">
                  <c:v>18804.752400000001</c:v>
                </c:pt>
                <c:pt idx="430">
                  <c:v>23082.955300000001</c:v>
                </c:pt>
                <c:pt idx="431">
                  <c:v>4906.4096</c:v>
                </c:pt>
                <c:pt idx="432">
                  <c:v>5969.723</c:v>
                </c:pt>
                <c:pt idx="433">
                  <c:v>12638.195</c:v>
                </c:pt>
                <c:pt idx="434">
                  <c:v>4243.59</c:v>
                </c:pt>
                <c:pt idx="435">
                  <c:v>13919.822899999999</c:v>
                </c:pt>
                <c:pt idx="436">
                  <c:v>2254.7966999999999</c:v>
                </c:pt>
                <c:pt idx="437">
                  <c:v>5926.8459999999995</c:v>
                </c:pt>
                <c:pt idx="438">
                  <c:v>12592.5345</c:v>
                </c:pt>
                <c:pt idx="439">
                  <c:v>2897.3235</c:v>
                </c:pt>
                <c:pt idx="440">
                  <c:v>4738.2682000000004</c:v>
                </c:pt>
                <c:pt idx="441">
                  <c:v>37079.372000000003</c:v>
                </c:pt>
                <c:pt idx="442">
                  <c:v>1149.3959</c:v>
                </c:pt>
                <c:pt idx="443">
                  <c:v>28287.897700000001</c:v>
                </c:pt>
                <c:pt idx="444">
                  <c:v>26109.329000000002</c:v>
                </c:pt>
                <c:pt idx="445">
                  <c:v>7345.0839999999998</c:v>
                </c:pt>
                <c:pt idx="446">
                  <c:v>12730.999599999999</c:v>
                </c:pt>
                <c:pt idx="447">
                  <c:v>11454.021500000001</c:v>
                </c:pt>
                <c:pt idx="448">
                  <c:v>5910.9440000000004</c:v>
                </c:pt>
                <c:pt idx="449">
                  <c:v>4762.3289999999997</c:v>
                </c:pt>
                <c:pt idx="450">
                  <c:v>7512.2669999999998</c:v>
                </c:pt>
                <c:pt idx="451">
                  <c:v>4032.2406999999998</c:v>
                </c:pt>
                <c:pt idx="452">
                  <c:v>1969.614</c:v>
                </c:pt>
                <c:pt idx="453">
                  <c:v>1769.5316</c:v>
                </c:pt>
                <c:pt idx="454">
                  <c:v>4686.3887000000004</c:v>
                </c:pt>
                <c:pt idx="455">
                  <c:v>21797.000400000001</c:v>
                </c:pt>
                <c:pt idx="456">
                  <c:v>11881.9696</c:v>
                </c:pt>
                <c:pt idx="457">
                  <c:v>11840.775</c:v>
                </c:pt>
                <c:pt idx="458">
                  <c:v>10601.412</c:v>
                </c:pt>
                <c:pt idx="459">
                  <c:v>7682.67</c:v>
                </c:pt>
                <c:pt idx="460">
                  <c:v>10381.4787</c:v>
                </c:pt>
                <c:pt idx="461">
                  <c:v>22144.031999999999</c:v>
                </c:pt>
                <c:pt idx="462">
                  <c:v>15230.324000000001</c:v>
                </c:pt>
                <c:pt idx="463">
                  <c:v>11165.417600000001</c:v>
                </c:pt>
                <c:pt idx="464">
                  <c:v>1632.0362</c:v>
                </c:pt>
                <c:pt idx="465">
                  <c:v>19521.968199999999</c:v>
                </c:pt>
                <c:pt idx="466">
                  <c:v>13224.692999999999</c:v>
                </c:pt>
                <c:pt idx="467">
                  <c:v>12643.3778</c:v>
                </c:pt>
                <c:pt idx="468">
                  <c:v>23288.928400000001</c:v>
                </c:pt>
                <c:pt idx="469">
                  <c:v>2201.0971</c:v>
                </c:pt>
                <c:pt idx="470">
                  <c:v>2497.0383000000002</c:v>
                </c:pt>
                <c:pt idx="471">
                  <c:v>2203.4717999999998</c:v>
                </c:pt>
                <c:pt idx="472">
                  <c:v>1744.4649999999999</c:v>
                </c:pt>
                <c:pt idx="473">
                  <c:v>20878.7844</c:v>
                </c:pt>
                <c:pt idx="474">
                  <c:v>25382.296999999999</c:v>
                </c:pt>
                <c:pt idx="475">
                  <c:v>28868.6639</c:v>
                </c:pt>
                <c:pt idx="476">
                  <c:v>35147.5285</c:v>
                </c:pt>
                <c:pt idx="477">
                  <c:v>2534.3937999999998</c:v>
                </c:pt>
                <c:pt idx="478">
                  <c:v>1534.3045</c:v>
                </c:pt>
                <c:pt idx="479">
                  <c:v>1824.2854</c:v>
                </c:pt>
                <c:pt idx="480">
                  <c:v>15555.1888</c:v>
                </c:pt>
                <c:pt idx="481">
                  <c:v>9304.7019</c:v>
                </c:pt>
                <c:pt idx="482">
                  <c:v>1622.1885</c:v>
                </c:pt>
                <c:pt idx="483">
                  <c:v>9880.0679999999993</c:v>
                </c:pt>
                <c:pt idx="484">
                  <c:v>9563.0290000000005</c:v>
                </c:pt>
                <c:pt idx="485">
                  <c:v>4347.0234</c:v>
                </c:pt>
                <c:pt idx="486">
                  <c:v>12475.3513</c:v>
                </c:pt>
                <c:pt idx="487">
                  <c:v>1253.9359999999999</c:v>
                </c:pt>
                <c:pt idx="488">
                  <c:v>48885.135600000001</c:v>
                </c:pt>
                <c:pt idx="489">
                  <c:v>10461.9794</c:v>
                </c:pt>
                <c:pt idx="490">
                  <c:v>1748.7739999999999</c:v>
                </c:pt>
                <c:pt idx="491">
                  <c:v>24513.0913</c:v>
                </c:pt>
                <c:pt idx="492">
                  <c:v>2196.4731999999999</c:v>
                </c:pt>
                <c:pt idx="493">
                  <c:v>12574.049000000001</c:v>
                </c:pt>
                <c:pt idx="494">
                  <c:v>17942.106</c:v>
                </c:pt>
                <c:pt idx="495">
                  <c:v>1967.0227</c:v>
                </c:pt>
                <c:pt idx="496">
                  <c:v>4931.6469999999999</c:v>
                </c:pt>
                <c:pt idx="497">
                  <c:v>8027.9679999999998</c:v>
                </c:pt>
                <c:pt idx="498">
                  <c:v>8211.1002000000008</c:v>
                </c:pt>
                <c:pt idx="499">
                  <c:v>13470.86</c:v>
                </c:pt>
                <c:pt idx="500">
                  <c:v>36197.699000000001</c:v>
                </c:pt>
                <c:pt idx="501">
                  <c:v>6837.3687</c:v>
                </c:pt>
                <c:pt idx="502">
                  <c:v>22218.1149</c:v>
                </c:pt>
                <c:pt idx="503">
                  <c:v>32548.340499999998</c:v>
                </c:pt>
                <c:pt idx="504">
                  <c:v>5974.3846999999996</c:v>
                </c:pt>
                <c:pt idx="505">
                  <c:v>6796.8631999999998</c:v>
                </c:pt>
                <c:pt idx="506">
                  <c:v>2643.2685000000001</c:v>
                </c:pt>
                <c:pt idx="507">
                  <c:v>3077.0954999999999</c:v>
                </c:pt>
                <c:pt idx="508">
                  <c:v>3044.2132999999999</c:v>
                </c:pt>
                <c:pt idx="509">
                  <c:v>11455.28</c:v>
                </c:pt>
                <c:pt idx="510">
                  <c:v>11763.000899999999</c:v>
                </c:pt>
                <c:pt idx="511">
                  <c:v>2498.4144000000001</c:v>
                </c:pt>
                <c:pt idx="512">
                  <c:v>9361.3268000000007</c:v>
                </c:pt>
                <c:pt idx="513">
                  <c:v>1256.299</c:v>
                </c:pt>
                <c:pt idx="514">
                  <c:v>21082.16</c:v>
                </c:pt>
                <c:pt idx="515">
                  <c:v>11362.754999999999</c:v>
                </c:pt>
                <c:pt idx="516">
                  <c:v>27724.288799999998</c:v>
                </c:pt>
                <c:pt idx="517">
                  <c:v>8413.4629999999997</c:v>
                </c:pt>
                <c:pt idx="518">
                  <c:v>5240.7650000000003</c:v>
                </c:pt>
                <c:pt idx="519">
                  <c:v>3857.7592</c:v>
                </c:pt>
                <c:pt idx="520">
                  <c:v>25656.5753</c:v>
                </c:pt>
                <c:pt idx="521">
                  <c:v>3994.1777999999999</c:v>
                </c:pt>
                <c:pt idx="522">
                  <c:v>9866.3047999999999</c:v>
                </c:pt>
                <c:pt idx="523">
                  <c:v>5397.6166999999996</c:v>
                </c:pt>
                <c:pt idx="524">
                  <c:v>38245.5933</c:v>
                </c:pt>
                <c:pt idx="525">
                  <c:v>11482.6348</c:v>
                </c:pt>
                <c:pt idx="526">
                  <c:v>24059.680199999999</c:v>
                </c:pt>
                <c:pt idx="527">
                  <c:v>9861.0249999999996</c:v>
                </c:pt>
                <c:pt idx="528">
                  <c:v>8342.9087999999992</c:v>
                </c:pt>
                <c:pt idx="529">
                  <c:v>1708.0014000000001</c:v>
                </c:pt>
                <c:pt idx="530">
                  <c:v>48675.517699999997</c:v>
                </c:pt>
                <c:pt idx="531">
                  <c:v>14043.476699999999</c:v>
                </c:pt>
                <c:pt idx="532">
                  <c:v>12925.886</c:v>
                </c:pt>
                <c:pt idx="533">
                  <c:v>19214.7055</c:v>
                </c:pt>
                <c:pt idx="534">
                  <c:v>13831.1152</c:v>
                </c:pt>
                <c:pt idx="535">
                  <c:v>6067.1268</c:v>
                </c:pt>
                <c:pt idx="536">
                  <c:v>5972.3779999999997</c:v>
                </c:pt>
                <c:pt idx="537">
                  <c:v>8825.0859999999993</c:v>
                </c:pt>
                <c:pt idx="538">
                  <c:v>8233.0974999999999</c:v>
                </c:pt>
                <c:pt idx="539">
                  <c:v>27346.042099999999</c:v>
                </c:pt>
                <c:pt idx="540">
                  <c:v>6196.4480000000003</c:v>
                </c:pt>
                <c:pt idx="541">
                  <c:v>3056.3881000000001</c:v>
                </c:pt>
                <c:pt idx="542">
                  <c:v>13887.204</c:v>
                </c:pt>
                <c:pt idx="543">
                  <c:v>63770.428</c:v>
                </c:pt>
                <c:pt idx="544">
                  <c:v>10231.499900000001</c:v>
                </c:pt>
                <c:pt idx="545">
                  <c:v>23807.240600000001</c:v>
                </c:pt>
                <c:pt idx="546">
                  <c:v>3268.8465999999999</c:v>
                </c:pt>
                <c:pt idx="547">
                  <c:v>11538.421</c:v>
                </c:pt>
                <c:pt idx="548">
                  <c:v>3213.6219999999998</c:v>
                </c:pt>
                <c:pt idx="549">
                  <c:v>45863.205000000002</c:v>
                </c:pt>
                <c:pt idx="550">
                  <c:v>13390.558999999999</c:v>
                </c:pt>
                <c:pt idx="551">
                  <c:v>3972.9247</c:v>
                </c:pt>
                <c:pt idx="552">
                  <c:v>12957.118</c:v>
                </c:pt>
                <c:pt idx="553">
                  <c:v>11187.6567</c:v>
                </c:pt>
                <c:pt idx="554">
                  <c:v>17878.900699999998</c:v>
                </c:pt>
                <c:pt idx="555">
                  <c:v>3847.674</c:v>
                </c:pt>
                <c:pt idx="556">
                  <c:v>8334.5895999999993</c:v>
                </c:pt>
                <c:pt idx="557">
                  <c:v>3935.1799000000001</c:v>
                </c:pt>
                <c:pt idx="558">
                  <c:v>39983.425999999999</c:v>
                </c:pt>
                <c:pt idx="559">
                  <c:v>1646.4296999999999</c:v>
                </c:pt>
                <c:pt idx="560">
                  <c:v>9193.8384999999998</c:v>
                </c:pt>
                <c:pt idx="561">
                  <c:v>10923.933199999999</c:v>
                </c:pt>
                <c:pt idx="562">
                  <c:v>2494.0219999999999</c:v>
                </c:pt>
                <c:pt idx="563">
                  <c:v>9058.7302999999993</c:v>
                </c:pt>
                <c:pt idx="564">
                  <c:v>2801.2588000000001</c:v>
                </c:pt>
                <c:pt idx="565">
                  <c:v>2128.431</c:v>
                </c:pt>
                <c:pt idx="566">
                  <c:v>6373.5573999999997</c:v>
                </c:pt>
                <c:pt idx="567">
                  <c:v>7256.7231000000002</c:v>
                </c:pt>
                <c:pt idx="568">
                  <c:v>11552.904</c:v>
                </c:pt>
                <c:pt idx="569">
                  <c:v>45702.022400000002</c:v>
                </c:pt>
                <c:pt idx="570">
                  <c:v>3761.2919999999999</c:v>
                </c:pt>
                <c:pt idx="571">
                  <c:v>2219.4450999999999</c:v>
                </c:pt>
                <c:pt idx="572">
                  <c:v>4753.6368000000002</c:v>
                </c:pt>
                <c:pt idx="573">
                  <c:v>31620.001100000001</c:v>
                </c:pt>
                <c:pt idx="574">
                  <c:v>13224.057000000001</c:v>
                </c:pt>
                <c:pt idx="575">
                  <c:v>12222.898300000001</c:v>
                </c:pt>
                <c:pt idx="576">
                  <c:v>1664.9996000000001</c:v>
                </c:pt>
                <c:pt idx="577">
                  <c:v>58571.074500000002</c:v>
                </c:pt>
                <c:pt idx="578">
                  <c:v>9724.5300000000007</c:v>
                </c:pt>
                <c:pt idx="579">
                  <c:v>3206.4913999999999</c:v>
                </c:pt>
                <c:pt idx="580">
                  <c:v>12913.992399999999</c:v>
                </c:pt>
                <c:pt idx="581">
                  <c:v>1639.5631000000001</c:v>
                </c:pt>
                <c:pt idx="582">
                  <c:v>6356.2707</c:v>
                </c:pt>
                <c:pt idx="583">
                  <c:v>17626.2395</c:v>
                </c:pt>
                <c:pt idx="584">
                  <c:v>1242.816</c:v>
                </c:pt>
                <c:pt idx="585">
                  <c:v>4779.6022999999996</c:v>
                </c:pt>
                <c:pt idx="586">
                  <c:v>3861.2096000000001</c:v>
                </c:pt>
                <c:pt idx="587">
                  <c:v>43943.876100000001</c:v>
                </c:pt>
                <c:pt idx="588">
                  <c:v>13635.6379</c:v>
                </c:pt>
                <c:pt idx="589">
                  <c:v>5976.8311000000003</c:v>
                </c:pt>
                <c:pt idx="590">
                  <c:v>11842.441999999999</c:v>
                </c:pt>
                <c:pt idx="591">
                  <c:v>8428.0692999999992</c:v>
                </c:pt>
                <c:pt idx="592">
                  <c:v>2566.4706999999999</c:v>
                </c:pt>
                <c:pt idx="593">
                  <c:v>15359.104499999999</c:v>
                </c:pt>
                <c:pt idx="594">
                  <c:v>5709.1643999999997</c:v>
                </c:pt>
                <c:pt idx="595">
                  <c:v>8823.9858000000004</c:v>
                </c:pt>
                <c:pt idx="596">
                  <c:v>7640.3091999999997</c:v>
                </c:pt>
                <c:pt idx="597">
                  <c:v>5594.8455000000004</c:v>
                </c:pt>
                <c:pt idx="598">
                  <c:v>7441.5010000000002</c:v>
                </c:pt>
                <c:pt idx="599">
                  <c:v>33471.971899999997</c:v>
                </c:pt>
                <c:pt idx="600">
                  <c:v>1633.0444</c:v>
                </c:pt>
                <c:pt idx="601">
                  <c:v>9174.1355999999996</c:v>
                </c:pt>
                <c:pt idx="602">
                  <c:v>11070.535</c:v>
                </c:pt>
                <c:pt idx="603">
                  <c:v>16085.127500000001</c:v>
                </c:pt>
                <c:pt idx="604">
                  <c:v>17468.983899999999</c:v>
                </c:pt>
                <c:pt idx="605">
                  <c:v>9283.5619999999999</c:v>
                </c:pt>
                <c:pt idx="606">
                  <c:v>3558.6201999999998</c:v>
                </c:pt>
                <c:pt idx="607">
                  <c:v>25678.778399999999</c:v>
                </c:pt>
                <c:pt idx="608">
                  <c:v>4435.0941999999995</c:v>
                </c:pt>
                <c:pt idx="609">
                  <c:v>39241.442000000003</c:v>
                </c:pt>
                <c:pt idx="610">
                  <c:v>8547.6913000000004</c:v>
                </c:pt>
                <c:pt idx="611">
                  <c:v>6571.5439999999999</c:v>
                </c:pt>
                <c:pt idx="612">
                  <c:v>2207.6974</c:v>
                </c:pt>
                <c:pt idx="613">
                  <c:v>6753.0379999999996</c:v>
                </c:pt>
                <c:pt idx="614">
                  <c:v>1880.07</c:v>
                </c:pt>
                <c:pt idx="615">
                  <c:v>42969.852700000003</c:v>
                </c:pt>
                <c:pt idx="616">
                  <c:v>11658.115</c:v>
                </c:pt>
                <c:pt idx="617">
                  <c:v>23306.546999999999</c:v>
                </c:pt>
                <c:pt idx="618">
                  <c:v>34439.855900000002</c:v>
                </c:pt>
                <c:pt idx="619">
                  <c:v>10713.644</c:v>
                </c:pt>
                <c:pt idx="620">
                  <c:v>3659.346</c:v>
                </c:pt>
                <c:pt idx="621">
                  <c:v>40182.245999999999</c:v>
                </c:pt>
                <c:pt idx="622">
                  <c:v>9182.17</c:v>
                </c:pt>
                <c:pt idx="623">
                  <c:v>34617.840600000003</c:v>
                </c:pt>
                <c:pt idx="624">
                  <c:v>12129.6142</c:v>
                </c:pt>
                <c:pt idx="625">
                  <c:v>3736.4647</c:v>
                </c:pt>
                <c:pt idx="626">
                  <c:v>6748.5911999999998</c:v>
                </c:pt>
                <c:pt idx="627">
                  <c:v>11326.714900000001</c:v>
                </c:pt>
                <c:pt idx="628">
                  <c:v>11365.951999999999</c:v>
                </c:pt>
                <c:pt idx="629">
                  <c:v>42983.458500000001</c:v>
                </c:pt>
                <c:pt idx="630">
                  <c:v>10085.846</c:v>
                </c:pt>
                <c:pt idx="631">
                  <c:v>1977.8150000000001</c:v>
                </c:pt>
                <c:pt idx="632">
                  <c:v>3366.6696999999999</c:v>
                </c:pt>
                <c:pt idx="633">
                  <c:v>7173.36</c:v>
                </c:pt>
                <c:pt idx="634">
                  <c:v>9391.3459999999995</c:v>
                </c:pt>
                <c:pt idx="635">
                  <c:v>14410.9321</c:v>
                </c:pt>
                <c:pt idx="636">
                  <c:v>2709.1118999999999</c:v>
                </c:pt>
                <c:pt idx="637">
                  <c:v>24915.046300000002</c:v>
                </c:pt>
                <c:pt idx="638">
                  <c:v>20149.322899999999</c:v>
                </c:pt>
                <c:pt idx="639">
                  <c:v>12949.1554</c:v>
                </c:pt>
                <c:pt idx="640">
                  <c:v>6666.2430000000004</c:v>
                </c:pt>
                <c:pt idx="641">
                  <c:v>32787.458599999998</c:v>
                </c:pt>
                <c:pt idx="642">
                  <c:v>13143.864799999999</c:v>
                </c:pt>
                <c:pt idx="643">
                  <c:v>4466.6214</c:v>
                </c:pt>
                <c:pt idx="644">
                  <c:v>18806.145499999999</c:v>
                </c:pt>
                <c:pt idx="645">
                  <c:v>10141.136200000001</c:v>
                </c:pt>
                <c:pt idx="646">
                  <c:v>6123.5688</c:v>
                </c:pt>
                <c:pt idx="647">
                  <c:v>8252.2842999999993</c:v>
                </c:pt>
                <c:pt idx="648">
                  <c:v>1712.2270000000001</c:v>
                </c:pt>
                <c:pt idx="649">
                  <c:v>12430.9534</c:v>
                </c:pt>
                <c:pt idx="650">
                  <c:v>9800.8881999999994</c:v>
                </c:pt>
                <c:pt idx="651">
                  <c:v>10579.710999999999</c:v>
                </c:pt>
                <c:pt idx="652">
                  <c:v>8280.6226999999999</c:v>
                </c:pt>
                <c:pt idx="653">
                  <c:v>8527.5319999999992</c:v>
                </c:pt>
                <c:pt idx="654">
                  <c:v>12244.531000000001</c:v>
                </c:pt>
                <c:pt idx="655">
                  <c:v>24667.419000000002</c:v>
                </c:pt>
                <c:pt idx="656">
                  <c:v>3410.3240000000001</c:v>
                </c:pt>
                <c:pt idx="657">
                  <c:v>4058.7123999999999</c:v>
                </c:pt>
                <c:pt idx="658">
                  <c:v>26392.260300000002</c:v>
                </c:pt>
                <c:pt idx="659">
                  <c:v>14394.3982</c:v>
                </c:pt>
                <c:pt idx="660">
                  <c:v>6435.6237000000001</c:v>
                </c:pt>
                <c:pt idx="661">
                  <c:v>22192.437099999999</c:v>
                </c:pt>
                <c:pt idx="662">
                  <c:v>5148.5526</c:v>
                </c:pt>
                <c:pt idx="663">
                  <c:v>1136.3994</c:v>
                </c:pt>
                <c:pt idx="664">
                  <c:v>27037.914100000002</c:v>
                </c:pt>
                <c:pt idx="665">
                  <c:v>42560.430399999997</c:v>
                </c:pt>
                <c:pt idx="666">
                  <c:v>8703.4560000000001</c:v>
                </c:pt>
                <c:pt idx="667">
                  <c:v>40003.332199999997</c:v>
                </c:pt>
                <c:pt idx="668">
                  <c:v>45710.207799999996</c:v>
                </c:pt>
                <c:pt idx="669">
                  <c:v>6500.2358999999997</c:v>
                </c:pt>
                <c:pt idx="670">
                  <c:v>4837.5823</c:v>
                </c:pt>
                <c:pt idx="671">
                  <c:v>3943.5954000000002</c:v>
                </c:pt>
                <c:pt idx="672">
                  <c:v>4399.7309999999998</c:v>
                </c:pt>
                <c:pt idx="673">
                  <c:v>6185.3208000000004</c:v>
                </c:pt>
                <c:pt idx="674">
                  <c:v>46200.985099999998</c:v>
                </c:pt>
                <c:pt idx="675">
                  <c:v>7222.7861999999996</c:v>
                </c:pt>
                <c:pt idx="676">
                  <c:v>12485.8009</c:v>
                </c:pt>
                <c:pt idx="677">
                  <c:v>46130.5265</c:v>
                </c:pt>
                <c:pt idx="678">
                  <c:v>12363.547</c:v>
                </c:pt>
                <c:pt idx="679">
                  <c:v>10156.7832</c:v>
                </c:pt>
                <c:pt idx="680">
                  <c:v>2585.2689999999998</c:v>
                </c:pt>
                <c:pt idx="681">
                  <c:v>1242.26</c:v>
                </c:pt>
                <c:pt idx="682">
                  <c:v>40103.89</c:v>
                </c:pt>
                <c:pt idx="683">
                  <c:v>9863.4717999999993</c:v>
                </c:pt>
                <c:pt idx="684">
                  <c:v>4766.0219999999999</c:v>
                </c:pt>
                <c:pt idx="685">
                  <c:v>11244.376899999999</c:v>
                </c:pt>
                <c:pt idx="686">
                  <c:v>7729.6458000000002</c:v>
                </c:pt>
                <c:pt idx="687">
                  <c:v>5438.7491</c:v>
                </c:pt>
                <c:pt idx="688">
                  <c:v>26236.58</c:v>
                </c:pt>
                <c:pt idx="689">
                  <c:v>34806.467700000001</c:v>
                </c:pt>
                <c:pt idx="690">
                  <c:v>2104.1134000000002</c:v>
                </c:pt>
                <c:pt idx="691">
                  <c:v>8068.1850000000004</c:v>
                </c:pt>
                <c:pt idx="692">
                  <c:v>2362.2289999999998</c:v>
                </c:pt>
                <c:pt idx="693">
                  <c:v>2352.9684000000002</c:v>
                </c:pt>
                <c:pt idx="694">
                  <c:v>3577.9989999999998</c:v>
                </c:pt>
                <c:pt idx="695">
                  <c:v>3201.2451999999998</c:v>
                </c:pt>
                <c:pt idx="696">
                  <c:v>29186.482400000001</c:v>
                </c:pt>
                <c:pt idx="697">
                  <c:v>40273.645499999999</c:v>
                </c:pt>
                <c:pt idx="698">
                  <c:v>10976.245800000001</c:v>
                </c:pt>
                <c:pt idx="699">
                  <c:v>3500.6122999999998</c:v>
                </c:pt>
                <c:pt idx="700">
                  <c:v>2020.5523000000001</c:v>
                </c:pt>
                <c:pt idx="701">
                  <c:v>9541.6955999999991</c:v>
                </c:pt>
                <c:pt idx="702">
                  <c:v>9504.3102999999992</c:v>
                </c:pt>
                <c:pt idx="703">
                  <c:v>5385.3379000000004</c:v>
                </c:pt>
                <c:pt idx="704">
                  <c:v>8930.9346000000005</c:v>
                </c:pt>
                <c:pt idx="705">
                  <c:v>5375.0379999999996</c:v>
                </c:pt>
                <c:pt idx="706">
                  <c:v>44400.4064</c:v>
                </c:pt>
                <c:pt idx="707">
                  <c:v>10264.4421</c:v>
                </c:pt>
                <c:pt idx="708">
                  <c:v>6113.2309999999998</c:v>
                </c:pt>
                <c:pt idx="709">
                  <c:v>5469.0065999999997</c:v>
                </c:pt>
                <c:pt idx="710">
                  <c:v>1727.54</c:v>
                </c:pt>
                <c:pt idx="711">
                  <c:v>10107.220600000001</c:v>
                </c:pt>
                <c:pt idx="712">
                  <c:v>8310.8392000000003</c:v>
                </c:pt>
                <c:pt idx="713">
                  <c:v>1984.4532999999999</c:v>
                </c:pt>
                <c:pt idx="714">
                  <c:v>2457.502</c:v>
                </c:pt>
                <c:pt idx="715">
                  <c:v>12146.971</c:v>
                </c:pt>
                <c:pt idx="716">
                  <c:v>9566.9909000000007</c:v>
                </c:pt>
                <c:pt idx="717">
                  <c:v>13112.604799999999</c:v>
                </c:pt>
                <c:pt idx="718">
                  <c:v>10848.1343</c:v>
                </c:pt>
                <c:pt idx="719">
                  <c:v>12231.613600000001</c:v>
                </c:pt>
                <c:pt idx="720">
                  <c:v>9875.6803999999993</c:v>
                </c:pt>
                <c:pt idx="721">
                  <c:v>11264.540999999999</c:v>
                </c:pt>
                <c:pt idx="722">
                  <c:v>12979.358</c:v>
                </c:pt>
                <c:pt idx="723">
                  <c:v>1263.249</c:v>
                </c:pt>
                <c:pt idx="724">
                  <c:v>10106.1342</c:v>
                </c:pt>
                <c:pt idx="725">
                  <c:v>40932.429499999998</c:v>
                </c:pt>
                <c:pt idx="726">
                  <c:v>6664.6859999999997</c:v>
                </c:pt>
                <c:pt idx="727">
                  <c:v>16657.717400000001</c:v>
                </c:pt>
                <c:pt idx="728">
                  <c:v>2217.6012000000001</c:v>
                </c:pt>
                <c:pt idx="729">
                  <c:v>6781.3541999999998</c:v>
                </c:pt>
                <c:pt idx="730">
                  <c:v>19361.998800000001</c:v>
                </c:pt>
                <c:pt idx="731">
                  <c:v>10065.413</c:v>
                </c:pt>
                <c:pt idx="732">
                  <c:v>4234.9269999999997</c:v>
                </c:pt>
                <c:pt idx="733">
                  <c:v>9447.2504000000008</c:v>
                </c:pt>
                <c:pt idx="734">
                  <c:v>14007.222</c:v>
                </c:pt>
                <c:pt idx="735">
                  <c:v>9583.8932999999997</c:v>
                </c:pt>
                <c:pt idx="736">
                  <c:v>40419.019099999998</c:v>
                </c:pt>
                <c:pt idx="737">
                  <c:v>3484.3310000000001</c:v>
                </c:pt>
                <c:pt idx="738">
                  <c:v>36189.101699999999</c:v>
                </c:pt>
                <c:pt idx="739">
                  <c:v>44585.455900000001</c:v>
                </c:pt>
                <c:pt idx="740">
                  <c:v>8604.4835999999996</c:v>
                </c:pt>
                <c:pt idx="741">
                  <c:v>18246.495500000001</c:v>
                </c:pt>
                <c:pt idx="742">
                  <c:v>43254.417999999998</c:v>
                </c:pt>
                <c:pt idx="743">
                  <c:v>3757.8447999999999</c:v>
                </c:pt>
                <c:pt idx="744">
                  <c:v>8827.2098999999998</c:v>
                </c:pt>
                <c:pt idx="745">
                  <c:v>9910.3598000000002</c:v>
                </c:pt>
                <c:pt idx="746">
                  <c:v>11737.8488</c:v>
                </c:pt>
                <c:pt idx="747">
                  <c:v>1627.2824000000001</c:v>
                </c:pt>
                <c:pt idx="748">
                  <c:v>8556.9069999999992</c:v>
                </c:pt>
                <c:pt idx="749">
                  <c:v>3062.5082000000002</c:v>
                </c:pt>
                <c:pt idx="750">
                  <c:v>19539.242999999999</c:v>
                </c:pt>
                <c:pt idx="751">
                  <c:v>1906.3581999999999</c:v>
                </c:pt>
                <c:pt idx="752">
                  <c:v>14210.536</c:v>
                </c:pt>
                <c:pt idx="753">
                  <c:v>11833.782300000001</c:v>
                </c:pt>
                <c:pt idx="754">
                  <c:v>17128.426100000001</c:v>
                </c:pt>
                <c:pt idx="755">
                  <c:v>5031.2695999999996</c:v>
                </c:pt>
                <c:pt idx="756">
                  <c:v>7985.8149999999996</c:v>
                </c:pt>
                <c:pt idx="757">
                  <c:v>23065.420699999999</c:v>
                </c:pt>
                <c:pt idx="758">
                  <c:v>5428.7277000000004</c:v>
                </c:pt>
                <c:pt idx="759">
                  <c:v>36307.798300000002</c:v>
                </c:pt>
                <c:pt idx="760">
                  <c:v>3925.7582000000002</c:v>
                </c:pt>
                <c:pt idx="761">
                  <c:v>2416.9549999999999</c:v>
                </c:pt>
                <c:pt idx="762">
                  <c:v>19040.876</c:v>
                </c:pt>
                <c:pt idx="763">
                  <c:v>3070.8087</c:v>
                </c:pt>
                <c:pt idx="764">
                  <c:v>9095.0681999999997</c:v>
                </c:pt>
                <c:pt idx="765">
                  <c:v>11842.623799999999</c:v>
                </c:pt>
                <c:pt idx="766">
                  <c:v>8062.7640000000001</c:v>
                </c:pt>
                <c:pt idx="767">
                  <c:v>7050.6419999999998</c:v>
                </c:pt>
                <c:pt idx="768">
                  <c:v>14319.031000000001</c:v>
                </c:pt>
                <c:pt idx="769">
                  <c:v>6933.2421999999997</c:v>
                </c:pt>
                <c:pt idx="770">
                  <c:v>27941.2876</c:v>
                </c:pt>
                <c:pt idx="771">
                  <c:v>11150.78</c:v>
                </c:pt>
                <c:pt idx="772">
                  <c:v>12797.2096</c:v>
                </c:pt>
                <c:pt idx="773">
                  <c:v>17748.5062</c:v>
                </c:pt>
                <c:pt idx="774">
                  <c:v>7261.741</c:v>
                </c:pt>
                <c:pt idx="775">
                  <c:v>10560.4917</c:v>
                </c:pt>
                <c:pt idx="776">
                  <c:v>6986.6970000000001</c:v>
                </c:pt>
                <c:pt idx="777">
                  <c:v>7448.4040000000005</c:v>
                </c:pt>
                <c:pt idx="778">
                  <c:v>5934.3797999999997</c:v>
                </c:pt>
                <c:pt idx="779">
                  <c:v>9869.8101999999999</c:v>
                </c:pt>
                <c:pt idx="780">
                  <c:v>18259.216</c:v>
                </c:pt>
                <c:pt idx="781">
                  <c:v>1146.7965999999999</c:v>
                </c:pt>
                <c:pt idx="782">
                  <c:v>9386.1612999999998</c:v>
                </c:pt>
                <c:pt idx="783">
                  <c:v>24520.263999999999</c:v>
                </c:pt>
                <c:pt idx="784">
                  <c:v>4350.5144</c:v>
                </c:pt>
                <c:pt idx="785">
                  <c:v>6414.1779999999999</c:v>
                </c:pt>
                <c:pt idx="786">
                  <c:v>12741.1674</c:v>
                </c:pt>
                <c:pt idx="787">
                  <c:v>1917.3184000000001</c:v>
                </c:pt>
                <c:pt idx="788">
                  <c:v>5209.5788000000002</c:v>
                </c:pt>
                <c:pt idx="789">
                  <c:v>13457.960800000001</c:v>
                </c:pt>
                <c:pt idx="790">
                  <c:v>5662.2250000000004</c:v>
                </c:pt>
                <c:pt idx="791">
                  <c:v>1252.4069999999999</c:v>
                </c:pt>
                <c:pt idx="792">
                  <c:v>2731.9122000000002</c:v>
                </c:pt>
                <c:pt idx="793">
                  <c:v>21195.817999999999</c:v>
                </c:pt>
                <c:pt idx="794">
                  <c:v>7209.4917999999998</c:v>
                </c:pt>
                <c:pt idx="795">
                  <c:v>18310.741999999998</c:v>
                </c:pt>
                <c:pt idx="796">
                  <c:v>4266.1657999999998</c:v>
                </c:pt>
                <c:pt idx="797">
                  <c:v>4719.5240000000003</c:v>
                </c:pt>
                <c:pt idx="798">
                  <c:v>11848.141</c:v>
                </c:pt>
                <c:pt idx="799">
                  <c:v>17904.526999999998</c:v>
                </c:pt>
                <c:pt idx="800">
                  <c:v>7046.7222000000002</c:v>
                </c:pt>
                <c:pt idx="801">
                  <c:v>14313.846299999999</c:v>
                </c:pt>
                <c:pt idx="802">
                  <c:v>2103.08</c:v>
                </c:pt>
                <c:pt idx="803">
                  <c:v>38792.685599999997</c:v>
                </c:pt>
                <c:pt idx="804">
                  <c:v>1815.8759</c:v>
                </c:pt>
                <c:pt idx="805">
                  <c:v>7731.8577999999998</c:v>
                </c:pt>
                <c:pt idx="806">
                  <c:v>28476.735000000001</c:v>
                </c:pt>
                <c:pt idx="807">
                  <c:v>2136.8822</c:v>
                </c:pt>
                <c:pt idx="808">
                  <c:v>1131.5065999999999</c:v>
                </c:pt>
                <c:pt idx="809">
                  <c:v>3309.7926000000002</c:v>
                </c:pt>
                <c:pt idx="810">
                  <c:v>9414.92</c:v>
                </c:pt>
                <c:pt idx="811">
                  <c:v>6360.9935999999998</c:v>
                </c:pt>
                <c:pt idx="812">
                  <c:v>11013.7119</c:v>
                </c:pt>
                <c:pt idx="813">
                  <c:v>4428.8878000000004</c:v>
                </c:pt>
                <c:pt idx="814">
                  <c:v>5584.3056999999999</c:v>
                </c:pt>
                <c:pt idx="815">
                  <c:v>1877.9294</c:v>
                </c:pt>
                <c:pt idx="816">
                  <c:v>2842.7608</c:v>
                </c:pt>
                <c:pt idx="817">
                  <c:v>3597.596</c:v>
                </c:pt>
                <c:pt idx="818">
                  <c:v>23401.305799999998</c:v>
                </c:pt>
                <c:pt idx="819">
                  <c:v>55135.402099999999</c:v>
                </c:pt>
                <c:pt idx="820">
                  <c:v>7445.9179999999997</c:v>
                </c:pt>
                <c:pt idx="821">
                  <c:v>2680.9493000000002</c:v>
                </c:pt>
                <c:pt idx="822">
                  <c:v>1621.8827000000001</c:v>
                </c:pt>
                <c:pt idx="823">
                  <c:v>8219.2039000000004</c:v>
                </c:pt>
                <c:pt idx="824">
                  <c:v>12523.604799999999</c:v>
                </c:pt>
                <c:pt idx="825">
                  <c:v>16069.084800000001</c:v>
                </c:pt>
                <c:pt idx="826">
                  <c:v>43813.866099999999</c:v>
                </c:pt>
                <c:pt idx="827">
                  <c:v>20773.627799999998</c:v>
                </c:pt>
                <c:pt idx="828">
                  <c:v>39597.407200000001</c:v>
                </c:pt>
                <c:pt idx="829">
                  <c:v>6117.4944999999998</c:v>
                </c:pt>
                <c:pt idx="830">
                  <c:v>13393.755999999999</c:v>
                </c:pt>
                <c:pt idx="831">
                  <c:v>5266.3656000000001</c:v>
                </c:pt>
                <c:pt idx="832">
                  <c:v>4719.7366000000002</c:v>
                </c:pt>
                <c:pt idx="833">
                  <c:v>11743.9341</c:v>
                </c:pt>
                <c:pt idx="834">
                  <c:v>5377.4578000000001</c:v>
                </c:pt>
                <c:pt idx="835">
                  <c:v>7160.3302999999996</c:v>
                </c:pt>
                <c:pt idx="836">
                  <c:v>4402.2330000000002</c:v>
                </c:pt>
                <c:pt idx="837">
                  <c:v>11657.7189</c:v>
                </c:pt>
                <c:pt idx="838">
                  <c:v>6402.2914000000001</c:v>
                </c:pt>
                <c:pt idx="839">
                  <c:v>12622.1795</c:v>
                </c:pt>
                <c:pt idx="840">
                  <c:v>1526.3119999999999</c:v>
                </c:pt>
                <c:pt idx="841">
                  <c:v>12323.936</c:v>
                </c:pt>
                <c:pt idx="842">
                  <c:v>36021.011200000001</c:v>
                </c:pt>
                <c:pt idx="843">
                  <c:v>27533.912899999999</c:v>
                </c:pt>
                <c:pt idx="844">
                  <c:v>10072.055</c:v>
                </c:pt>
                <c:pt idx="845">
                  <c:v>45008.955499999996</c:v>
                </c:pt>
                <c:pt idx="846">
                  <c:v>9872.7009999999991</c:v>
                </c:pt>
                <c:pt idx="847">
                  <c:v>2438.0551999999998</c:v>
                </c:pt>
                <c:pt idx="848">
                  <c:v>2974.1260000000002</c:v>
                </c:pt>
                <c:pt idx="849">
                  <c:v>10601.6322</c:v>
                </c:pt>
                <c:pt idx="850">
                  <c:v>37270.1512</c:v>
                </c:pt>
                <c:pt idx="851">
                  <c:v>14119.62</c:v>
                </c:pt>
                <c:pt idx="852">
                  <c:v>42111.664700000001</c:v>
                </c:pt>
                <c:pt idx="853">
                  <c:v>11729.6795</c:v>
                </c:pt>
                <c:pt idx="854">
                  <c:v>24106.9126</c:v>
                </c:pt>
                <c:pt idx="855">
                  <c:v>1875.3440000000001</c:v>
                </c:pt>
                <c:pt idx="856">
                  <c:v>40974.164900000003</c:v>
                </c:pt>
                <c:pt idx="857">
                  <c:v>15817.985699999999</c:v>
                </c:pt>
                <c:pt idx="858">
                  <c:v>18218.161400000001</c:v>
                </c:pt>
                <c:pt idx="859">
                  <c:v>10965.446</c:v>
                </c:pt>
                <c:pt idx="860">
                  <c:v>46113.510999999999</c:v>
                </c:pt>
                <c:pt idx="861">
                  <c:v>7151.0919999999996</c:v>
                </c:pt>
                <c:pt idx="862">
                  <c:v>12269.688599999999</c:v>
                </c:pt>
                <c:pt idx="863">
                  <c:v>5458.0464000000002</c:v>
                </c:pt>
                <c:pt idx="864">
                  <c:v>8782.4689999999991</c:v>
                </c:pt>
                <c:pt idx="865">
                  <c:v>6600.3609999999999</c:v>
                </c:pt>
                <c:pt idx="866">
                  <c:v>1141.4450999999999</c:v>
                </c:pt>
                <c:pt idx="867">
                  <c:v>11576.13</c:v>
                </c:pt>
                <c:pt idx="868">
                  <c:v>13129.6034</c:v>
                </c:pt>
                <c:pt idx="869">
                  <c:v>4391.652</c:v>
                </c:pt>
                <c:pt idx="870">
                  <c:v>8457.8179999999993</c:v>
                </c:pt>
                <c:pt idx="871">
                  <c:v>3392.3652000000002</c:v>
                </c:pt>
                <c:pt idx="872">
                  <c:v>5966.8873999999996</c:v>
                </c:pt>
                <c:pt idx="873">
                  <c:v>6849.0259999999998</c:v>
                </c:pt>
                <c:pt idx="874">
                  <c:v>8891.1394999999993</c:v>
                </c:pt>
                <c:pt idx="875">
                  <c:v>2690.1138000000001</c:v>
                </c:pt>
                <c:pt idx="876">
                  <c:v>26140.3603</c:v>
                </c:pt>
                <c:pt idx="877">
                  <c:v>6653.7885999999999</c:v>
                </c:pt>
                <c:pt idx="878">
                  <c:v>6282.2349999999997</c:v>
                </c:pt>
                <c:pt idx="879">
                  <c:v>6311.9520000000002</c:v>
                </c:pt>
                <c:pt idx="880">
                  <c:v>3443.0639999999999</c:v>
                </c:pt>
                <c:pt idx="881">
                  <c:v>2789.0574000000001</c:v>
                </c:pt>
                <c:pt idx="882">
                  <c:v>2585.8506000000002</c:v>
                </c:pt>
                <c:pt idx="883">
                  <c:v>46255.112500000003</c:v>
                </c:pt>
                <c:pt idx="884">
                  <c:v>4877.9809999999998</c:v>
                </c:pt>
                <c:pt idx="885">
                  <c:v>19719.6947</c:v>
                </c:pt>
                <c:pt idx="886">
                  <c:v>27218.4372</c:v>
                </c:pt>
                <c:pt idx="887">
                  <c:v>5272.1758</c:v>
                </c:pt>
                <c:pt idx="888">
                  <c:v>1682.597</c:v>
                </c:pt>
                <c:pt idx="889">
                  <c:v>11945.1327</c:v>
                </c:pt>
                <c:pt idx="890">
                  <c:v>29330.983199999999</c:v>
                </c:pt>
                <c:pt idx="891">
                  <c:v>7243.8136000000004</c:v>
                </c:pt>
                <c:pt idx="892">
                  <c:v>10422.9166</c:v>
                </c:pt>
                <c:pt idx="893">
                  <c:v>44202.653599999998</c:v>
                </c:pt>
                <c:pt idx="894">
                  <c:v>13555.0049</c:v>
                </c:pt>
                <c:pt idx="895">
                  <c:v>13063.883</c:v>
                </c:pt>
                <c:pt idx="896">
                  <c:v>19798.054599999999</c:v>
                </c:pt>
                <c:pt idx="897">
                  <c:v>2221.5644000000002</c:v>
                </c:pt>
                <c:pt idx="898">
                  <c:v>1634.5734</c:v>
                </c:pt>
                <c:pt idx="899">
                  <c:v>2117.3388</c:v>
                </c:pt>
                <c:pt idx="900">
                  <c:v>8688.8588</c:v>
                </c:pt>
                <c:pt idx="901">
                  <c:v>48673.558799999999</c:v>
                </c:pt>
                <c:pt idx="902">
                  <c:v>4661.2864</c:v>
                </c:pt>
                <c:pt idx="903">
                  <c:v>8125.7844999999998</c:v>
                </c:pt>
                <c:pt idx="904">
                  <c:v>12644.589</c:v>
                </c:pt>
                <c:pt idx="905">
                  <c:v>4564.1913999999997</c:v>
                </c:pt>
                <c:pt idx="906">
                  <c:v>4846.9201999999996</c:v>
                </c:pt>
                <c:pt idx="907">
                  <c:v>7633.7205999999996</c:v>
                </c:pt>
                <c:pt idx="908">
                  <c:v>15170.069</c:v>
                </c:pt>
                <c:pt idx="909">
                  <c:v>17496.306</c:v>
                </c:pt>
                <c:pt idx="910">
                  <c:v>2639.0428999999999</c:v>
                </c:pt>
                <c:pt idx="911">
                  <c:v>33732.686699999998</c:v>
                </c:pt>
                <c:pt idx="912">
                  <c:v>14382.709000000001</c:v>
                </c:pt>
                <c:pt idx="913">
                  <c:v>7626.9930000000004</c:v>
                </c:pt>
                <c:pt idx="914">
                  <c:v>5257.5079999999998</c:v>
                </c:pt>
                <c:pt idx="915">
                  <c:v>2473.3341</c:v>
                </c:pt>
                <c:pt idx="916">
                  <c:v>21774.322199999999</c:v>
                </c:pt>
                <c:pt idx="917">
                  <c:v>35069.374499999998</c:v>
                </c:pt>
                <c:pt idx="918">
                  <c:v>13041.921</c:v>
                </c:pt>
                <c:pt idx="919">
                  <c:v>5245.2268999999997</c:v>
                </c:pt>
                <c:pt idx="920">
                  <c:v>13451.121999999999</c:v>
                </c:pt>
                <c:pt idx="921">
                  <c:v>13462.52</c:v>
                </c:pt>
                <c:pt idx="922">
                  <c:v>5488.2619999999997</c:v>
                </c:pt>
                <c:pt idx="923">
                  <c:v>4320.4107999999997</c:v>
                </c:pt>
                <c:pt idx="924">
                  <c:v>6250.4350000000004</c:v>
                </c:pt>
                <c:pt idx="925">
                  <c:v>25333.3328</c:v>
                </c:pt>
                <c:pt idx="926">
                  <c:v>2913.569</c:v>
                </c:pt>
                <c:pt idx="927">
                  <c:v>12032.325999999999</c:v>
                </c:pt>
                <c:pt idx="928">
                  <c:v>13470.804400000001</c:v>
                </c:pt>
                <c:pt idx="929">
                  <c:v>6289.7548999999999</c:v>
                </c:pt>
                <c:pt idx="930">
                  <c:v>2927.0646999999999</c:v>
                </c:pt>
                <c:pt idx="931">
                  <c:v>6238.2979999999998</c:v>
                </c:pt>
                <c:pt idx="932">
                  <c:v>10096.969999999999</c:v>
                </c:pt>
                <c:pt idx="933">
                  <c:v>7348.1419999999998</c:v>
                </c:pt>
                <c:pt idx="934">
                  <c:v>4673.3922000000002</c:v>
                </c:pt>
                <c:pt idx="935">
                  <c:v>12233.828</c:v>
                </c:pt>
                <c:pt idx="936">
                  <c:v>32108.662799999998</c:v>
                </c:pt>
                <c:pt idx="937">
                  <c:v>8965.7957999999999</c:v>
                </c:pt>
                <c:pt idx="938">
                  <c:v>2304.0021999999999</c:v>
                </c:pt>
                <c:pt idx="939">
                  <c:v>9487.6442000000006</c:v>
                </c:pt>
                <c:pt idx="940">
                  <c:v>1121.8739</c:v>
                </c:pt>
                <c:pt idx="941">
                  <c:v>9549.5650999999998</c:v>
                </c:pt>
                <c:pt idx="942">
                  <c:v>2217.4692</c:v>
                </c:pt>
                <c:pt idx="943">
                  <c:v>1628.4709</c:v>
                </c:pt>
                <c:pt idx="944">
                  <c:v>12982.8747</c:v>
                </c:pt>
                <c:pt idx="945">
                  <c:v>11674.13</c:v>
                </c:pt>
                <c:pt idx="946">
                  <c:v>7160.0940000000001</c:v>
                </c:pt>
                <c:pt idx="947">
                  <c:v>39047.285000000003</c:v>
                </c:pt>
                <c:pt idx="948">
                  <c:v>6358.7763999999997</c:v>
                </c:pt>
                <c:pt idx="949">
                  <c:v>19933.457999999999</c:v>
                </c:pt>
                <c:pt idx="950">
                  <c:v>11534.872600000001</c:v>
                </c:pt>
                <c:pt idx="951">
                  <c:v>47462.894</c:v>
                </c:pt>
                <c:pt idx="952">
                  <c:v>4527.183</c:v>
                </c:pt>
                <c:pt idx="953">
                  <c:v>38998.546000000002</c:v>
                </c:pt>
                <c:pt idx="954">
                  <c:v>20009.633600000001</c:v>
                </c:pt>
                <c:pt idx="955">
                  <c:v>3875.7341000000001</c:v>
                </c:pt>
                <c:pt idx="956">
                  <c:v>41999.519999999997</c:v>
                </c:pt>
                <c:pt idx="957">
                  <c:v>12609.887000000001</c:v>
                </c:pt>
                <c:pt idx="958">
                  <c:v>41034.221400000002</c:v>
                </c:pt>
                <c:pt idx="959">
                  <c:v>28468.919000000002</c:v>
                </c:pt>
                <c:pt idx="960">
                  <c:v>2730.1078000000002</c:v>
                </c:pt>
                <c:pt idx="961">
                  <c:v>3353.2840000000001</c:v>
                </c:pt>
                <c:pt idx="962">
                  <c:v>14474.674999999999</c:v>
                </c:pt>
                <c:pt idx="963">
                  <c:v>9500.5730000000003</c:v>
                </c:pt>
                <c:pt idx="964">
                  <c:v>26467.097399999999</c:v>
                </c:pt>
                <c:pt idx="965">
                  <c:v>4746.3440000000001</c:v>
                </c:pt>
                <c:pt idx="966">
                  <c:v>23967.383000000002</c:v>
                </c:pt>
                <c:pt idx="967">
                  <c:v>7518.0254000000004</c:v>
                </c:pt>
                <c:pt idx="968">
                  <c:v>3279.8685999999998</c:v>
                </c:pt>
                <c:pt idx="969">
                  <c:v>8596.8277999999991</c:v>
                </c:pt>
                <c:pt idx="970">
                  <c:v>10702.642400000001</c:v>
                </c:pt>
                <c:pt idx="971">
                  <c:v>4992.3764000000001</c:v>
                </c:pt>
                <c:pt idx="972">
                  <c:v>2527.8186000000001</c:v>
                </c:pt>
                <c:pt idx="973">
                  <c:v>1759.338</c:v>
                </c:pt>
                <c:pt idx="974">
                  <c:v>2322.6217999999999</c:v>
                </c:pt>
                <c:pt idx="975">
                  <c:v>16138.762000000001</c:v>
                </c:pt>
                <c:pt idx="976">
                  <c:v>7804.1605</c:v>
                </c:pt>
                <c:pt idx="977">
                  <c:v>2902.9065000000001</c:v>
                </c:pt>
                <c:pt idx="978">
                  <c:v>9704.6679999999997</c:v>
                </c:pt>
                <c:pt idx="979">
                  <c:v>4889.0367999999999</c:v>
                </c:pt>
                <c:pt idx="980">
                  <c:v>25517.113600000001</c:v>
                </c:pt>
                <c:pt idx="981">
                  <c:v>4500.3392000000003</c:v>
                </c:pt>
                <c:pt idx="982">
                  <c:v>19199.944</c:v>
                </c:pt>
                <c:pt idx="983">
                  <c:v>16796.411899999999</c:v>
                </c:pt>
                <c:pt idx="984">
                  <c:v>4915.0598</c:v>
                </c:pt>
                <c:pt idx="985">
                  <c:v>7624.63</c:v>
                </c:pt>
                <c:pt idx="986">
                  <c:v>8410.0468000000001</c:v>
                </c:pt>
                <c:pt idx="987">
                  <c:v>28340.1888</c:v>
                </c:pt>
                <c:pt idx="988">
                  <c:v>4518.8262000000004</c:v>
                </c:pt>
                <c:pt idx="989">
                  <c:v>14571.890799999999</c:v>
                </c:pt>
                <c:pt idx="990">
                  <c:v>3378.91</c:v>
                </c:pt>
                <c:pt idx="991">
                  <c:v>7144.8626000000004</c:v>
                </c:pt>
                <c:pt idx="992">
                  <c:v>10118.424000000001</c:v>
                </c:pt>
                <c:pt idx="993">
                  <c:v>5484.4673000000003</c:v>
                </c:pt>
                <c:pt idx="994">
                  <c:v>16420.494600000002</c:v>
                </c:pt>
                <c:pt idx="995">
                  <c:v>7986.4751999999999</c:v>
                </c:pt>
                <c:pt idx="996">
                  <c:v>7418.5219999999999</c:v>
                </c:pt>
                <c:pt idx="997">
                  <c:v>13887.968500000001</c:v>
                </c:pt>
                <c:pt idx="998">
                  <c:v>6551.7501000000002</c:v>
                </c:pt>
                <c:pt idx="999">
                  <c:v>5267.8181999999997</c:v>
                </c:pt>
                <c:pt idx="1000">
                  <c:v>17361.766100000001</c:v>
                </c:pt>
                <c:pt idx="1001">
                  <c:v>34472.841</c:v>
                </c:pt>
                <c:pt idx="1002">
                  <c:v>1972.95</c:v>
                </c:pt>
                <c:pt idx="1003">
                  <c:v>21232.1823</c:v>
                </c:pt>
                <c:pt idx="1004">
                  <c:v>8627.5411000000004</c:v>
                </c:pt>
                <c:pt idx="1005">
                  <c:v>4433.3877000000002</c:v>
                </c:pt>
                <c:pt idx="1006">
                  <c:v>4438.2633999999998</c:v>
                </c:pt>
                <c:pt idx="1007">
                  <c:v>24915.220799999999</c:v>
                </c:pt>
                <c:pt idx="1008">
                  <c:v>23241.4745</c:v>
                </c:pt>
                <c:pt idx="1009">
                  <c:v>9957.7216000000008</c:v>
                </c:pt>
                <c:pt idx="1010">
                  <c:v>8269.0439999999999</c:v>
                </c:pt>
                <c:pt idx="1011">
                  <c:v>18767.737700000001</c:v>
                </c:pt>
                <c:pt idx="1012">
                  <c:v>36580.282200000001</c:v>
                </c:pt>
                <c:pt idx="1013">
                  <c:v>8765.2489999999998</c:v>
                </c:pt>
                <c:pt idx="1014">
                  <c:v>5383.5360000000001</c:v>
                </c:pt>
                <c:pt idx="1015">
                  <c:v>12124.992399999999</c:v>
                </c:pt>
                <c:pt idx="1016">
                  <c:v>2709.2440000000001</c:v>
                </c:pt>
                <c:pt idx="1017">
                  <c:v>3987.9259999999999</c:v>
                </c:pt>
                <c:pt idx="1018">
                  <c:v>12495.290800000001</c:v>
                </c:pt>
                <c:pt idx="1019">
                  <c:v>26018.950499999999</c:v>
                </c:pt>
                <c:pt idx="1020">
                  <c:v>8798.5930000000008</c:v>
                </c:pt>
                <c:pt idx="1021">
                  <c:v>35595.589800000002</c:v>
                </c:pt>
                <c:pt idx="1022">
                  <c:v>42211.138200000001</c:v>
                </c:pt>
                <c:pt idx="1023">
                  <c:v>1711.0268000000001</c:v>
                </c:pt>
                <c:pt idx="1024">
                  <c:v>8569.8618000000006</c:v>
                </c:pt>
                <c:pt idx="1025">
                  <c:v>2020.1769999999999</c:v>
                </c:pt>
                <c:pt idx="1026">
                  <c:v>16450.894700000001</c:v>
                </c:pt>
                <c:pt idx="1027">
                  <c:v>21595.382300000001</c:v>
                </c:pt>
                <c:pt idx="1028">
                  <c:v>9850.4320000000007</c:v>
                </c:pt>
                <c:pt idx="1029">
                  <c:v>6877.9800999999998</c:v>
                </c:pt>
                <c:pt idx="1030">
                  <c:v>21677.2834</c:v>
                </c:pt>
                <c:pt idx="1031">
                  <c:v>44423.803</c:v>
                </c:pt>
                <c:pt idx="1032">
                  <c:v>4137.5227000000004</c:v>
                </c:pt>
                <c:pt idx="1033">
                  <c:v>13747.8724</c:v>
                </c:pt>
                <c:pt idx="1034">
                  <c:v>12950.0712</c:v>
                </c:pt>
                <c:pt idx="1035">
                  <c:v>12094.477999999999</c:v>
                </c:pt>
                <c:pt idx="1036">
                  <c:v>37484.4493</c:v>
                </c:pt>
                <c:pt idx="1037">
                  <c:v>39725.517999999996</c:v>
                </c:pt>
                <c:pt idx="1038">
                  <c:v>2250.8352</c:v>
                </c:pt>
                <c:pt idx="1039">
                  <c:v>22493.659599999999</c:v>
                </c:pt>
                <c:pt idx="1040">
                  <c:v>20234.854800000001</c:v>
                </c:pt>
                <c:pt idx="1041">
                  <c:v>1704.7002</c:v>
                </c:pt>
                <c:pt idx="1042">
                  <c:v>33475.817199999998</c:v>
                </c:pt>
                <c:pt idx="1043">
                  <c:v>3161.4540000000002</c:v>
                </c:pt>
                <c:pt idx="1044">
                  <c:v>11394.0656</c:v>
                </c:pt>
                <c:pt idx="1045">
                  <c:v>21880.82</c:v>
                </c:pt>
                <c:pt idx="1046">
                  <c:v>7325.0482000000002</c:v>
                </c:pt>
                <c:pt idx="1047">
                  <c:v>44501.398200000003</c:v>
                </c:pt>
                <c:pt idx="1048">
                  <c:v>3594.1707999999999</c:v>
                </c:pt>
                <c:pt idx="1049">
                  <c:v>39727.614000000001</c:v>
                </c:pt>
                <c:pt idx="1050">
                  <c:v>8023.1354000000001</c:v>
                </c:pt>
                <c:pt idx="1051">
                  <c:v>14394.5579</c:v>
                </c:pt>
                <c:pt idx="1052">
                  <c:v>9288.0267000000003</c:v>
                </c:pt>
                <c:pt idx="1053">
                  <c:v>25309.489000000001</c:v>
                </c:pt>
                <c:pt idx="1054">
                  <c:v>3353.4703</c:v>
                </c:pt>
                <c:pt idx="1055">
                  <c:v>10594.5016</c:v>
                </c:pt>
                <c:pt idx="1056">
                  <c:v>8277.5229999999992</c:v>
                </c:pt>
                <c:pt idx="1057">
                  <c:v>17929.303400000001</c:v>
                </c:pt>
                <c:pt idx="1058">
                  <c:v>2480.9791</c:v>
                </c:pt>
                <c:pt idx="1059">
                  <c:v>4462.7218000000003</c:v>
                </c:pt>
                <c:pt idx="1060">
                  <c:v>1981.5818999999999</c:v>
                </c:pt>
                <c:pt idx="1061">
                  <c:v>11554.223599999999</c:v>
                </c:pt>
                <c:pt idx="1062">
                  <c:v>48970.247600000002</c:v>
                </c:pt>
                <c:pt idx="1063">
                  <c:v>6548.1949999999997</c:v>
                </c:pt>
                <c:pt idx="1064">
                  <c:v>5708.8670000000002</c:v>
                </c:pt>
                <c:pt idx="1065">
                  <c:v>7045.4989999999998</c:v>
                </c:pt>
                <c:pt idx="1066">
                  <c:v>8978.1851000000006</c:v>
                </c:pt>
                <c:pt idx="1067">
                  <c:v>5757.4134000000004</c:v>
                </c:pt>
                <c:pt idx="1068">
                  <c:v>14349.8544</c:v>
                </c:pt>
                <c:pt idx="1069">
                  <c:v>10928.849</c:v>
                </c:pt>
                <c:pt idx="1070">
                  <c:v>39871.704299999998</c:v>
                </c:pt>
                <c:pt idx="1071">
                  <c:v>13974.455599999999</c:v>
                </c:pt>
                <c:pt idx="1072">
                  <c:v>1909.5273999999999</c:v>
                </c:pt>
                <c:pt idx="1073">
                  <c:v>12096.6512</c:v>
                </c:pt>
                <c:pt idx="1074">
                  <c:v>13204.285599999999</c:v>
                </c:pt>
                <c:pt idx="1075">
                  <c:v>4562.8420999999998</c:v>
                </c:pt>
                <c:pt idx="1076">
                  <c:v>8551.3469999999998</c:v>
                </c:pt>
                <c:pt idx="1077">
                  <c:v>2102.2647000000002</c:v>
                </c:pt>
                <c:pt idx="1078">
                  <c:v>34672.147199999999</c:v>
                </c:pt>
                <c:pt idx="1079">
                  <c:v>15161.5344</c:v>
                </c:pt>
                <c:pt idx="1080">
                  <c:v>11884.0486</c:v>
                </c:pt>
                <c:pt idx="1081">
                  <c:v>4454.4026000000003</c:v>
                </c:pt>
                <c:pt idx="1082">
                  <c:v>5855.9025000000001</c:v>
                </c:pt>
                <c:pt idx="1083">
                  <c:v>4076.4969999999998</c:v>
                </c:pt>
                <c:pt idx="1084">
                  <c:v>15019.76</c:v>
                </c:pt>
                <c:pt idx="1085">
                  <c:v>19023.259999999998</c:v>
                </c:pt>
                <c:pt idx="1086">
                  <c:v>10796.350200000001</c:v>
                </c:pt>
                <c:pt idx="1087">
                  <c:v>11353.2276</c:v>
                </c:pt>
                <c:pt idx="1088">
                  <c:v>9748.9105999999992</c:v>
                </c:pt>
                <c:pt idx="1089">
                  <c:v>10577.087</c:v>
                </c:pt>
                <c:pt idx="1090">
                  <c:v>41676.081100000003</c:v>
                </c:pt>
                <c:pt idx="1091">
                  <c:v>11286.538699999999</c:v>
                </c:pt>
                <c:pt idx="1092">
                  <c:v>3591.48</c:v>
                </c:pt>
                <c:pt idx="1093">
                  <c:v>33907.548000000003</c:v>
                </c:pt>
                <c:pt idx="1094">
                  <c:v>11299.343000000001</c:v>
                </c:pt>
                <c:pt idx="1095">
                  <c:v>4561.1885000000002</c:v>
                </c:pt>
                <c:pt idx="1096">
                  <c:v>44641.197399999997</c:v>
                </c:pt>
                <c:pt idx="1097">
                  <c:v>1674.6323</c:v>
                </c:pt>
                <c:pt idx="1098">
                  <c:v>23045.566200000001</c:v>
                </c:pt>
                <c:pt idx="1099">
                  <c:v>3227.1210999999998</c:v>
                </c:pt>
                <c:pt idx="1100">
                  <c:v>16776.304</c:v>
                </c:pt>
                <c:pt idx="1101">
                  <c:v>11253.421</c:v>
                </c:pt>
                <c:pt idx="1102">
                  <c:v>3471.4096</c:v>
                </c:pt>
                <c:pt idx="1103">
                  <c:v>11363.2832</c:v>
                </c:pt>
                <c:pt idx="1104">
                  <c:v>20420.604599999999</c:v>
                </c:pt>
                <c:pt idx="1105">
                  <c:v>10338.9316</c:v>
                </c:pt>
                <c:pt idx="1106">
                  <c:v>8988.1587999999992</c:v>
                </c:pt>
                <c:pt idx="1107">
                  <c:v>10493.9458</c:v>
                </c:pt>
                <c:pt idx="1108">
                  <c:v>2904.0880000000002</c:v>
                </c:pt>
                <c:pt idx="1109">
                  <c:v>8605.3615000000009</c:v>
                </c:pt>
                <c:pt idx="1110">
                  <c:v>11512.405000000001</c:v>
                </c:pt>
                <c:pt idx="1111">
                  <c:v>41949.244100000004</c:v>
                </c:pt>
                <c:pt idx="1112">
                  <c:v>24180.933499999999</c:v>
                </c:pt>
                <c:pt idx="1113">
                  <c:v>5312.1697999999997</c:v>
                </c:pt>
                <c:pt idx="1114">
                  <c:v>2396.0958999999998</c:v>
                </c:pt>
                <c:pt idx="1115">
                  <c:v>10807.4863</c:v>
                </c:pt>
                <c:pt idx="1116">
                  <c:v>9222.4025999999994</c:v>
                </c:pt>
                <c:pt idx="1117">
                  <c:v>36124.573700000001</c:v>
                </c:pt>
                <c:pt idx="1118">
                  <c:v>38282.749499999998</c:v>
                </c:pt>
                <c:pt idx="1119">
                  <c:v>5693.4305000000004</c:v>
                </c:pt>
                <c:pt idx="1120">
                  <c:v>34166.273000000001</c:v>
                </c:pt>
                <c:pt idx="1121">
                  <c:v>8347.1643000000004</c:v>
                </c:pt>
                <c:pt idx="1122">
                  <c:v>46661.4424</c:v>
                </c:pt>
                <c:pt idx="1123">
                  <c:v>18903.491399999999</c:v>
                </c:pt>
                <c:pt idx="1124">
                  <c:v>40904.199500000002</c:v>
                </c:pt>
                <c:pt idx="1125">
                  <c:v>14254.608200000001</c:v>
                </c:pt>
                <c:pt idx="1126">
                  <c:v>10214.636</c:v>
                </c:pt>
                <c:pt idx="1127">
                  <c:v>5836.5204000000003</c:v>
                </c:pt>
                <c:pt idx="1128">
                  <c:v>14358.3644</c:v>
                </c:pt>
                <c:pt idx="1129">
                  <c:v>1728.8969999999999</c:v>
                </c:pt>
                <c:pt idx="1130">
                  <c:v>8582.3022999999994</c:v>
                </c:pt>
                <c:pt idx="1131">
                  <c:v>3693.4279999999999</c:v>
                </c:pt>
                <c:pt idx="1132">
                  <c:v>20709.0203</c:v>
                </c:pt>
                <c:pt idx="1133">
                  <c:v>9991.0375999999997</c:v>
                </c:pt>
                <c:pt idx="1134">
                  <c:v>19673.3357</c:v>
                </c:pt>
                <c:pt idx="1135">
                  <c:v>11085.586799999999</c:v>
                </c:pt>
                <c:pt idx="1136">
                  <c:v>7623.518</c:v>
                </c:pt>
                <c:pt idx="1137">
                  <c:v>3176.2876999999999</c:v>
                </c:pt>
                <c:pt idx="1138">
                  <c:v>3704.3544999999999</c:v>
                </c:pt>
                <c:pt idx="1139">
                  <c:v>36898.733099999998</c:v>
                </c:pt>
                <c:pt idx="1140">
                  <c:v>9048.0272999999997</c:v>
                </c:pt>
                <c:pt idx="1141">
                  <c:v>7954.5169999999998</c:v>
                </c:pt>
                <c:pt idx="1142">
                  <c:v>27117.9938</c:v>
                </c:pt>
                <c:pt idx="1143">
                  <c:v>6338.0756000000001</c:v>
                </c:pt>
                <c:pt idx="1144">
                  <c:v>9630.3970000000008</c:v>
                </c:pt>
                <c:pt idx="1145">
                  <c:v>11289.109200000001</c:v>
                </c:pt>
                <c:pt idx="1146">
                  <c:v>52590.829400000002</c:v>
                </c:pt>
                <c:pt idx="1147">
                  <c:v>2261.5688</c:v>
                </c:pt>
                <c:pt idx="1148">
                  <c:v>10791.96</c:v>
                </c:pt>
                <c:pt idx="1149">
                  <c:v>5979.7309999999998</c:v>
                </c:pt>
                <c:pt idx="1150">
                  <c:v>2203.7359999999999</c:v>
                </c:pt>
                <c:pt idx="1151">
                  <c:v>12235.8392</c:v>
                </c:pt>
                <c:pt idx="1152">
                  <c:v>40941.285400000001</c:v>
                </c:pt>
                <c:pt idx="1153">
                  <c:v>5630.4578000000001</c:v>
                </c:pt>
                <c:pt idx="1154">
                  <c:v>11015.1747</c:v>
                </c:pt>
                <c:pt idx="1155">
                  <c:v>7228.2156000000004</c:v>
                </c:pt>
                <c:pt idx="1156">
                  <c:v>39722.746200000001</c:v>
                </c:pt>
                <c:pt idx="1157">
                  <c:v>14426.0738</c:v>
                </c:pt>
                <c:pt idx="1158">
                  <c:v>2459.7201</c:v>
                </c:pt>
                <c:pt idx="1159">
                  <c:v>3989.8409999999999</c:v>
                </c:pt>
                <c:pt idx="1160">
                  <c:v>7727.2532000000001</c:v>
                </c:pt>
                <c:pt idx="1161">
                  <c:v>5124.1886999999997</c:v>
                </c:pt>
                <c:pt idx="1162">
                  <c:v>18963.171900000001</c:v>
                </c:pt>
                <c:pt idx="1163">
                  <c:v>2200.8308000000002</c:v>
                </c:pt>
                <c:pt idx="1164">
                  <c:v>7153.5538999999999</c:v>
                </c:pt>
                <c:pt idx="1165">
                  <c:v>5227.9888000000001</c:v>
                </c:pt>
                <c:pt idx="1166">
                  <c:v>10982.5013</c:v>
                </c:pt>
                <c:pt idx="1167">
                  <c:v>4529.4769999999999</c:v>
                </c:pt>
                <c:pt idx="1168">
                  <c:v>4670.6400000000003</c:v>
                </c:pt>
                <c:pt idx="1169">
                  <c:v>6112.3530000000001</c:v>
                </c:pt>
                <c:pt idx="1170">
                  <c:v>17178.682400000002</c:v>
                </c:pt>
                <c:pt idx="1171">
                  <c:v>22478.6</c:v>
                </c:pt>
                <c:pt idx="1172">
                  <c:v>11093.6229</c:v>
                </c:pt>
                <c:pt idx="1173">
                  <c:v>6457.8433999999997</c:v>
                </c:pt>
                <c:pt idx="1174">
                  <c:v>4433.9159</c:v>
                </c:pt>
                <c:pt idx="1175">
                  <c:v>2154.3609999999999</c:v>
                </c:pt>
                <c:pt idx="1176">
                  <c:v>23887.662700000001</c:v>
                </c:pt>
                <c:pt idx="1177">
                  <c:v>6496.8860000000004</c:v>
                </c:pt>
                <c:pt idx="1178">
                  <c:v>2899.4893999999999</c:v>
                </c:pt>
                <c:pt idx="1179">
                  <c:v>19350.368900000001</c:v>
                </c:pt>
                <c:pt idx="1180">
                  <c:v>7650.7737999999999</c:v>
                </c:pt>
                <c:pt idx="1181">
                  <c:v>2850.6837999999998</c:v>
                </c:pt>
                <c:pt idx="1182">
                  <c:v>2632.9920000000002</c:v>
                </c:pt>
                <c:pt idx="1183">
                  <c:v>9447.3824000000004</c:v>
                </c:pt>
                <c:pt idx="1184">
                  <c:v>18328.238099999999</c:v>
                </c:pt>
                <c:pt idx="1185">
                  <c:v>8603.8233999999993</c:v>
                </c:pt>
                <c:pt idx="1186">
                  <c:v>37465.343800000002</c:v>
                </c:pt>
                <c:pt idx="1187">
                  <c:v>13844.797200000001</c:v>
                </c:pt>
                <c:pt idx="1188">
                  <c:v>21771.3423</c:v>
                </c:pt>
                <c:pt idx="1189">
                  <c:v>13126.6774</c:v>
                </c:pt>
                <c:pt idx="1190">
                  <c:v>5327.4002</c:v>
                </c:pt>
                <c:pt idx="1191">
                  <c:v>13725.471799999999</c:v>
                </c:pt>
                <c:pt idx="1192">
                  <c:v>13019.161</c:v>
                </c:pt>
                <c:pt idx="1193">
                  <c:v>8671.1911999999993</c:v>
                </c:pt>
                <c:pt idx="1194">
                  <c:v>4134.0824000000002</c:v>
                </c:pt>
                <c:pt idx="1195">
                  <c:v>18838.703699999998</c:v>
                </c:pt>
                <c:pt idx="1196">
                  <c:v>33307.550799999997</c:v>
                </c:pt>
                <c:pt idx="1197">
                  <c:v>5699.8374999999996</c:v>
                </c:pt>
                <c:pt idx="1198">
                  <c:v>6393.6034</c:v>
                </c:pt>
                <c:pt idx="1199">
                  <c:v>4934.7049999999999</c:v>
                </c:pt>
                <c:pt idx="1200">
                  <c:v>6198.7518</c:v>
                </c:pt>
                <c:pt idx="1201">
                  <c:v>8733.2291999999998</c:v>
                </c:pt>
                <c:pt idx="1202">
                  <c:v>2055.3249000000001</c:v>
                </c:pt>
                <c:pt idx="1203">
                  <c:v>9964.06</c:v>
                </c:pt>
                <c:pt idx="1204">
                  <c:v>18223.4512</c:v>
                </c:pt>
                <c:pt idx="1205">
                  <c:v>5116.5003999999999</c:v>
                </c:pt>
                <c:pt idx="1206">
                  <c:v>36910.608</c:v>
                </c:pt>
                <c:pt idx="1207">
                  <c:v>38415.474000000002</c:v>
                </c:pt>
                <c:pt idx="1208">
                  <c:v>20296.863399999998</c:v>
                </c:pt>
                <c:pt idx="1209">
                  <c:v>12347.172</c:v>
                </c:pt>
                <c:pt idx="1210">
                  <c:v>5373.3642</c:v>
                </c:pt>
                <c:pt idx="1211">
                  <c:v>23563.016199999998</c:v>
                </c:pt>
                <c:pt idx="1212">
                  <c:v>1702.4553000000001</c:v>
                </c:pt>
                <c:pt idx="1213">
                  <c:v>10806.839</c:v>
                </c:pt>
                <c:pt idx="1214">
                  <c:v>3956.0713999999998</c:v>
                </c:pt>
                <c:pt idx="1215">
                  <c:v>12890.0576</c:v>
                </c:pt>
                <c:pt idx="1216">
                  <c:v>5415.6611999999996</c:v>
                </c:pt>
                <c:pt idx="1217">
                  <c:v>4058.1161000000002</c:v>
                </c:pt>
                <c:pt idx="1218">
                  <c:v>41661.601999999999</c:v>
                </c:pt>
                <c:pt idx="1219">
                  <c:v>7537.1638999999996</c:v>
                </c:pt>
                <c:pt idx="1220">
                  <c:v>4718.2035999999998</c:v>
                </c:pt>
                <c:pt idx="1221">
                  <c:v>6593.5083000000004</c:v>
                </c:pt>
                <c:pt idx="1222">
                  <c:v>8442.6669999999995</c:v>
                </c:pt>
                <c:pt idx="1223">
                  <c:v>26125.674800000001</c:v>
                </c:pt>
                <c:pt idx="1224">
                  <c:v>6858.4795999999997</c:v>
                </c:pt>
                <c:pt idx="1225">
                  <c:v>4795.6567999999997</c:v>
                </c:pt>
                <c:pt idx="1226">
                  <c:v>6640.5447999999997</c:v>
                </c:pt>
                <c:pt idx="1227">
                  <c:v>7162.0122000000001</c:v>
                </c:pt>
                <c:pt idx="1228">
                  <c:v>10594.225700000001</c:v>
                </c:pt>
                <c:pt idx="1229">
                  <c:v>11938.255999999999</c:v>
                </c:pt>
                <c:pt idx="1230">
                  <c:v>60021.398999999998</c:v>
                </c:pt>
                <c:pt idx="1231">
                  <c:v>20167.335999999999</c:v>
                </c:pt>
                <c:pt idx="1232">
                  <c:v>12479.709000000001</c:v>
                </c:pt>
                <c:pt idx="1233">
                  <c:v>11345.519</c:v>
                </c:pt>
                <c:pt idx="1234">
                  <c:v>8515.7587000000003</c:v>
                </c:pt>
                <c:pt idx="1235">
                  <c:v>2699.5684000000001</c:v>
                </c:pt>
                <c:pt idx="1236">
                  <c:v>14449.8544</c:v>
                </c:pt>
                <c:pt idx="1237">
                  <c:v>12224.3508</c:v>
                </c:pt>
                <c:pt idx="1238">
                  <c:v>6985.5069999999996</c:v>
                </c:pt>
                <c:pt idx="1239">
                  <c:v>3238.4357</c:v>
                </c:pt>
                <c:pt idx="1240">
                  <c:v>47269.853999999999</c:v>
                </c:pt>
                <c:pt idx="1241">
                  <c:v>49577.662400000001</c:v>
                </c:pt>
                <c:pt idx="1242">
                  <c:v>4296.2712000000001</c:v>
                </c:pt>
                <c:pt idx="1243">
                  <c:v>3171.6149</c:v>
                </c:pt>
                <c:pt idx="1244">
                  <c:v>1135.9407000000001</c:v>
                </c:pt>
                <c:pt idx="1245">
                  <c:v>5615.3689999999997</c:v>
                </c:pt>
                <c:pt idx="1246">
                  <c:v>9101.7980000000007</c:v>
                </c:pt>
                <c:pt idx="1247">
                  <c:v>6059.1729999999998</c:v>
                </c:pt>
                <c:pt idx="1248">
                  <c:v>1633.9618</c:v>
                </c:pt>
                <c:pt idx="1249">
                  <c:v>37607.527699999999</c:v>
                </c:pt>
                <c:pt idx="1250">
                  <c:v>18648.421699999999</c:v>
                </c:pt>
                <c:pt idx="1251">
                  <c:v>1241.5650000000001</c:v>
                </c:pt>
                <c:pt idx="1252">
                  <c:v>16232.847</c:v>
                </c:pt>
                <c:pt idx="1253">
                  <c:v>15828.8217</c:v>
                </c:pt>
                <c:pt idx="1254">
                  <c:v>4415.1588000000002</c:v>
                </c:pt>
                <c:pt idx="1255">
                  <c:v>6474.0129999999999</c:v>
                </c:pt>
                <c:pt idx="1256">
                  <c:v>11436.7382</c:v>
                </c:pt>
                <c:pt idx="1257">
                  <c:v>11305.934600000001</c:v>
                </c:pt>
                <c:pt idx="1258">
                  <c:v>30063.580600000001</c:v>
                </c:pt>
                <c:pt idx="1259">
                  <c:v>10197.772199999999</c:v>
                </c:pt>
                <c:pt idx="1260">
                  <c:v>4544.2348000000002</c:v>
                </c:pt>
                <c:pt idx="1261">
                  <c:v>3277.1610000000001</c:v>
                </c:pt>
                <c:pt idx="1262">
                  <c:v>6770.1925000000001</c:v>
                </c:pt>
                <c:pt idx="1263">
                  <c:v>7337.7479999999996</c:v>
                </c:pt>
                <c:pt idx="1264">
                  <c:v>10370.9126</c:v>
                </c:pt>
                <c:pt idx="1265">
                  <c:v>26926.5144</c:v>
                </c:pt>
                <c:pt idx="1266">
                  <c:v>10704.47</c:v>
                </c:pt>
                <c:pt idx="1267">
                  <c:v>34254.053399999997</c:v>
                </c:pt>
                <c:pt idx="1268">
                  <c:v>1880.4870000000001</c:v>
                </c:pt>
                <c:pt idx="1269">
                  <c:v>8615.2999999999993</c:v>
                </c:pt>
                <c:pt idx="1270">
                  <c:v>3292.5297999999998</c:v>
                </c:pt>
                <c:pt idx="1271">
                  <c:v>3021.8092000000001</c:v>
                </c:pt>
                <c:pt idx="1272">
                  <c:v>14478.3302</c:v>
                </c:pt>
                <c:pt idx="1273">
                  <c:v>4747.0528999999997</c:v>
                </c:pt>
                <c:pt idx="1274">
                  <c:v>17043.341400000001</c:v>
                </c:pt>
                <c:pt idx="1275">
                  <c:v>10959.33</c:v>
                </c:pt>
                <c:pt idx="1276">
                  <c:v>2741.9479999999999</c:v>
                </c:pt>
                <c:pt idx="1277">
                  <c:v>4357.0436</c:v>
                </c:pt>
                <c:pt idx="1278">
                  <c:v>22462.043799999999</c:v>
                </c:pt>
                <c:pt idx="1279">
                  <c:v>4189.1130999999996</c:v>
                </c:pt>
                <c:pt idx="1280">
                  <c:v>8283.6807000000008</c:v>
                </c:pt>
                <c:pt idx="1281">
                  <c:v>24535.6986</c:v>
                </c:pt>
                <c:pt idx="1282">
                  <c:v>14283.4594</c:v>
                </c:pt>
                <c:pt idx="1283">
                  <c:v>1720.3536999999999</c:v>
                </c:pt>
                <c:pt idx="1284">
                  <c:v>47403.88</c:v>
                </c:pt>
                <c:pt idx="1285">
                  <c:v>8534.6718000000001</c:v>
                </c:pt>
                <c:pt idx="1286">
                  <c:v>3732.6251000000002</c:v>
                </c:pt>
                <c:pt idx="1287">
                  <c:v>5472.4489999999996</c:v>
                </c:pt>
                <c:pt idx="1288">
                  <c:v>38344.565999999999</c:v>
                </c:pt>
                <c:pt idx="1289">
                  <c:v>7147.4727999999996</c:v>
                </c:pt>
                <c:pt idx="1290">
                  <c:v>7133.9025000000001</c:v>
                </c:pt>
                <c:pt idx="1291">
                  <c:v>34828.654000000002</c:v>
                </c:pt>
                <c:pt idx="1292">
                  <c:v>1515.3449000000001</c:v>
                </c:pt>
                <c:pt idx="1293">
                  <c:v>9301.8935999999994</c:v>
                </c:pt>
                <c:pt idx="1294">
                  <c:v>11931.1252</c:v>
                </c:pt>
                <c:pt idx="1295">
                  <c:v>1964.78</c:v>
                </c:pt>
                <c:pt idx="1296">
                  <c:v>1708.9258</c:v>
                </c:pt>
                <c:pt idx="1297">
                  <c:v>4340.4408999999996</c:v>
                </c:pt>
                <c:pt idx="1298">
                  <c:v>5261.4694</c:v>
                </c:pt>
                <c:pt idx="1299">
                  <c:v>2710.8285999999998</c:v>
                </c:pt>
                <c:pt idx="1300">
                  <c:v>62592.873099999997</c:v>
                </c:pt>
                <c:pt idx="1301">
                  <c:v>46718.163200000003</c:v>
                </c:pt>
                <c:pt idx="1302">
                  <c:v>3208.7869999999998</c:v>
                </c:pt>
                <c:pt idx="1303">
                  <c:v>37829.724199999997</c:v>
                </c:pt>
                <c:pt idx="1304">
                  <c:v>21259.378000000001</c:v>
                </c:pt>
                <c:pt idx="1305">
                  <c:v>2464.6188000000002</c:v>
                </c:pt>
                <c:pt idx="1306">
                  <c:v>16115.3045</c:v>
                </c:pt>
                <c:pt idx="1307">
                  <c:v>21472.478800000001</c:v>
                </c:pt>
                <c:pt idx="1308">
                  <c:v>33900.652999999998</c:v>
                </c:pt>
                <c:pt idx="1309">
                  <c:v>6875.9610000000002</c:v>
                </c:pt>
                <c:pt idx="1310">
                  <c:v>6940.9098000000004</c:v>
                </c:pt>
                <c:pt idx="1311">
                  <c:v>4571.4129999999996</c:v>
                </c:pt>
                <c:pt idx="1312">
                  <c:v>4536.259</c:v>
                </c:pt>
                <c:pt idx="1313">
                  <c:v>36397.576000000001</c:v>
                </c:pt>
                <c:pt idx="1314">
                  <c:v>18765.875400000001</c:v>
                </c:pt>
                <c:pt idx="1315">
                  <c:v>11272.331399999999</c:v>
                </c:pt>
                <c:pt idx="1316">
                  <c:v>1731.6769999999999</c:v>
                </c:pt>
                <c:pt idx="1317">
                  <c:v>1163.4627</c:v>
                </c:pt>
                <c:pt idx="1318">
                  <c:v>19496.7192</c:v>
                </c:pt>
                <c:pt idx="1319">
                  <c:v>7201.7007999999996</c:v>
                </c:pt>
                <c:pt idx="1320">
                  <c:v>5425.0234</c:v>
                </c:pt>
                <c:pt idx="1321">
                  <c:v>28101.332999999999</c:v>
                </c:pt>
                <c:pt idx="1322">
                  <c:v>12981.3457</c:v>
                </c:pt>
                <c:pt idx="1323">
                  <c:v>43896.376300000004</c:v>
                </c:pt>
                <c:pt idx="1324">
                  <c:v>4239.8926000000001</c:v>
                </c:pt>
                <c:pt idx="1325">
                  <c:v>13143.336600000001</c:v>
                </c:pt>
                <c:pt idx="1326">
                  <c:v>7050.0213000000003</c:v>
                </c:pt>
                <c:pt idx="1327">
                  <c:v>9377.9046999999991</c:v>
                </c:pt>
                <c:pt idx="1328">
                  <c:v>22395.744200000001</c:v>
                </c:pt>
                <c:pt idx="1329">
                  <c:v>10325.206</c:v>
                </c:pt>
                <c:pt idx="1330">
                  <c:v>12629.1656</c:v>
                </c:pt>
                <c:pt idx="1331">
                  <c:v>10795.9373</c:v>
                </c:pt>
                <c:pt idx="1332">
                  <c:v>11411.684999999999</c:v>
                </c:pt>
                <c:pt idx="1333">
                  <c:v>10600.5483</c:v>
                </c:pt>
                <c:pt idx="1334">
                  <c:v>2205.9807999999998</c:v>
                </c:pt>
                <c:pt idx="1335">
                  <c:v>1629.8335</c:v>
                </c:pt>
                <c:pt idx="1336">
                  <c:v>2007.9449999999999</c:v>
                </c:pt>
                <c:pt idx="1337">
                  <c:v>29141.3603</c:v>
                </c:pt>
              </c:numCache>
            </c:numRef>
          </c:yVal>
          <c:smooth val="0"/>
          <c:extLst>
            <c:ext xmlns:c16="http://schemas.microsoft.com/office/drawing/2014/chart" uri="{C3380CC4-5D6E-409C-BE32-E72D297353CC}">
              <c16:uniqueId val="{00000000-9D2F-45A3-8F9B-468B6426437D}"/>
            </c:ext>
          </c:extLst>
        </c:ser>
        <c:dLbls>
          <c:showLegendKey val="0"/>
          <c:showVal val="0"/>
          <c:showCatName val="0"/>
          <c:showSerName val="0"/>
          <c:showPercent val="0"/>
          <c:showBubbleSize val="0"/>
        </c:dLbls>
        <c:axId val="1854416127"/>
        <c:axId val="1854416607"/>
      </c:scatterChart>
      <c:valAx>
        <c:axId val="18544161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416607"/>
        <c:crosses val="autoZero"/>
        <c:crossBetween val="midCat"/>
      </c:valAx>
      <c:valAx>
        <c:axId val="18544166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Charges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409]#,##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41612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kern="1200" spc="0" baseline="0">
                <a:solidFill>
                  <a:sysClr val="windowText" lastClr="000000">
                    <a:lumMod val="65000"/>
                    <a:lumOff val="35000"/>
                  </a:sysClr>
                </a:solidFill>
              </a:rPr>
              <a:t>Smoker Vs Charges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'insurance (Clean)'!$H$2:$H$1339</c:f>
              <c:numCache>
                <c:formatCode>General</c:formatCode>
                <c:ptCount val="1338"/>
                <c:pt idx="0">
                  <c:v>1</c:v>
                </c:pt>
                <c:pt idx="1">
                  <c:v>0</c:v>
                </c:pt>
                <c:pt idx="2">
                  <c:v>0</c:v>
                </c:pt>
                <c:pt idx="3">
                  <c:v>0</c:v>
                </c:pt>
                <c:pt idx="4">
                  <c:v>0</c:v>
                </c:pt>
                <c:pt idx="5">
                  <c:v>0</c:v>
                </c:pt>
                <c:pt idx="6">
                  <c:v>0</c:v>
                </c:pt>
                <c:pt idx="7">
                  <c:v>0</c:v>
                </c:pt>
                <c:pt idx="8">
                  <c:v>0</c:v>
                </c:pt>
                <c:pt idx="9">
                  <c:v>0</c:v>
                </c:pt>
                <c:pt idx="10">
                  <c:v>0</c:v>
                </c:pt>
                <c:pt idx="11">
                  <c:v>1</c:v>
                </c:pt>
                <c:pt idx="12">
                  <c:v>0</c:v>
                </c:pt>
                <c:pt idx="13">
                  <c:v>0</c:v>
                </c:pt>
                <c:pt idx="14">
                  <c:v>1</c:v>
                </c:pt>
                <c:pt idx="15">
                  <c:v>0</c:v>
                </c:pt>
                <c:pt idx="16">
                  <c:v>0</c:v>
                </c:pt>
                <c:pt idx="17">
                  <c:v>0</c:v>
                </c:pt>
                <c:pt idx="18">
                  <c:v>0</c:v>
                </c:pt>
                <c:pt idx="19">
                  <c:v>1</c:v>
                </c:pt>
                <c:pt idx="20">
                  <c:v>0</c:v>
                </c:pt>
                <c:pt idx="21">
                  <c:v>0</c:v>
                </c:pt>
                <c:pt idx="22">
                  <c:v>0</c:v>
                </c:pt>
                <c:pt idx="23">
                  <c:v>1</c:v>
                </c:pt>
                <c:pt idx="24">
                  <c:v>0</c:v>
                </c:pt>
                <c:pt idx="25">
                  <c:v>0</c:v>
                </c:pt>
                <c:pt idx="26">
                  <c:v>0</c:v>
                </c:pt>
                <c:pt idx="27">
                  <c:v>0</c:v>
                </c:pt>
                <c:pt idx="28">
                  <c:v>0</c:v>
                </c:pt>
                <c:pt idx="29">
                  <c:v>1</c:v>
                </c:pt>
                <c:pt idx="30">
                  <c:v>1</c:v>
                </c:pt>
                <c:pt idx="31">
                  <c:v>0</c:v>
                </c:pt>
                <c:pt idx="32">
                  <c:v>0</c:v>
                </c:pt>
                <c:pt idx="33">
                  <c:v>0</c:v>
                </c:pt>
                <c:pt idx="34">
                  <c:v>1</c:v>
                </c:pt>
                <c:pt idx="35">
                  <c:v>0</c:v>
                </c:pt>
                <c:pt idx="36">
                  <c:v>0</c:v>
                </c:pt>
                <c:pt idx="37">
                  <c:v>0</c:v>
                </c:pt>
                <c:pt idx="38">
                  <c:v>1</c:v>
                </c:pt>
                <c:pt idx="39">
                  <c:v>1</c:v>
                </c:pt>
                <c:pt idx="40">
                  <c:v>0</c:v>
                </c:pt>
                <c:pt idx="41">
                  <c:v>0</c:v>
                </c:pt>
                <c:pt idx="42">
                  <c:v>0</c:v>
                </c:pt>
                <c:pt idx="43">
                  <c:v>0</c:v>
                </c:pt>
                <c:pt idx="44">
                  <c:v>0</c:v>
                </c:pt>
                <c:pt idx="45">
                  <c:v>0</c:v>
                </c:pt>
                <c:pt idx="46">
                  <c:v>0</c:v>
                </c:pt>
                <c:pt idx="47">
                  <c:v>0</c:v>
                </c:pt>
                <c:pt idx="48">
                  <c:v>0</c:v>
                </c:pt>
                <c:pt idx="49">
                  <c:v>1</c:v>
                </c:pt>
                <c:pt idx="50">
                  <c:v>0</c:v>
                </c:pt>
                <c:pt idx="51">
                  <c:v>0</c:v>
                </c:pt>
                <c:pt idx="52">
                  <c:v>1</c:v>
                </c:pt>
                <c:pt idx="53">
                  <c:v>1</c:v>
                </c:pt>
                <c:pt idx="54">
                  <c:v>0</c:v>
                </c:pt>
                <c:pt idx="55">
                  <c:v>1</c:v>
                </c:pt>
                <c:pt idx="56">
                  <c:v>0</c:v>
                </c:pt>
                <c:pt idx="57">
                  <c:v>1</c:v>
                </c:pt>
                <c:pt idx="58">
                  <c:v>1</c:v>
                </c:pt>
                <c:pt idx="59">
                  <c:v>0</c:v>
                </c:pt>
                <c:pt idx="60">
                  <c:v>0</c:v>
                </c:pt>
                <c:pt idx="61">
                  <c:v>0</c:v>
                </c:pt>
                <c:pt idx="62">
                  <c:v>0</c:v>
                </c:pt>
                <c:pt idx="63">
                  <c:v>0</c:v>
                </c:pt>
                <c:pt idx="64">
                  <c:v>1</c:v>
                </c:pt>
                <c:pt idx="65">
                  <c:v>0</c:v>
                </c:pt>
                <c:pt idx="66">
                  <c:v>0</c:v>
                </c:pt>
                <c:pt idx="67">
                  <c:v>0</c:v>
                </c:pt>
                <c:pt idx="68">
                  <c:v>0</c:v>
                </c:pt>
                <c:pt idx="69">
                  <c:v>1</c:v>
                </c:pt>
                <c:pt idx="70">
                  <c:v>1</c:v>
                </c:pt>
                <c:pt idx="71">
                  <c:v>0</c:v>
                </c:pt>
                <c:pt idx="72">
                  <c:v>0</c:v>
                </c:pt>
                <c:pt idx="73">
                  <c:v>0</c:v>
                </c:pt>
                <c:pt idx="74">
                  <c:v>0</c:v>
                </c:pt>
                <c:pt idx="75">
                  <c:v>0</c:v>
                </c:pt>
                <c:pt idx="76">
                  <c:v>0</c:v>
                </c:pt>
                <c:pt idx="77">
                  <c:v>0</c:v>
                </c:pt>
                <c:pt idx="78">
                  <c:v>0</c:v>
                </c:pt>
                <c:pt idx="79">
                  <c:v>0</c:v>
                </c:pt>
                <c:pt idx="80">
                  <c:v>0</c:v>
                </c:pt>
                <c:pt idx="81">
                  <c:v>0</c:v>
                </c:pt>
                <c:pt idx="82">
                  <c:v>1</c:v>
                </c:pt>
                <c:pt idx="83">
                  <c:v>0</c:v>
                </c:pt>
                <c:pt idx="84">
                  <c:v>1</c:v>
                </c:pt>
                <c:pt idx="85">
                  <c:v>1</c:v>
                </c:pt>
                <c:pt idx="86">
                  <c:v>1</c:v>
                </c:pt>
                <c:pt idx="87">
                  <c:v>0</c:v>
                </c:pt>
                <c:pt idx="88">
                  <c:v>0</c:v>
                </c:pt>
                <c:pt idx="89">
                  <c:v>0</c:v>
                </c:pt>
                <c:pt idx="90">
                  <c:v>0</c:v>
                </c:pt>
                <c:pt idx="91">
                  <c:v>0</c:v>
                </c:pt>
                <c:pt idx="92">
                  <c:v>1</c:v>
                </c:pt>
                <c:pt idx="93">
                  <c:v>0</c:v>
                </c:pt>
                <c:pt idx="94">
                  <c:v>1</c:v>
                </c:pt>
                <c:pt idx="95">
                  <c:v>0</c:v>
                </c:pt>
                <c:pt idx="96">
                  <c:v>0</c:v>
                </c:pt>
                <c:pt idx="97">
                  <c:v>0</c:v>
                </c:pt>
                <c:pt idx="98">
                  <c:v>1</c:v>
                </c:pt>
                <c:pt idx="99">
                  <c:v>1</c:v>
                </c:pt>
                <c:pt idx="100">
                  <c:v>0</c:v>
                </c:pt>
                <c:pt idx="101">
                  <c:v>0</c:v>
                </c:pt>
                <c:pt idx="102">
                  <c:v>0</c:v>
                </c:pt>
                <c:pt idx="103">
                  <c:v>1</c:v>
                </c:pt>
                <c:pt idx="104">
                  <c:v>0</c:v>
                </c:pt>
                <c:pt idx="105">
                  <c:v>1</c:v>
                </c:pt>
                <c:pt idx="106">
                  <c:v>0</c:v>
                </c:pt>
                <c:pt idx="107">
                  <c:v>0</c:v>
                </c:pt>
                <c:pt idx="108">
                  <c:v>0</c:v>
                </c:pt>
                <c:pt idx="109">
                  <c:v>1</c:v>
                </c:pt>
                <c:pt idx="110">
                  <c:v>0</c:v>
                </c:pt>
                <c:pt idx="111">
                  <c:v>0</c:v>
                </c:pt>
                <c:pt idx="112">
                  <c:v>0</c:v>
                </c:pt>
                <c:pt idx="113">
                  <c:v>0</c:v>
                </c:pt>
                <c:pt idx="114">
                  <c:v>0</c:v>
                </c:pt>
                <c:pt idx="115">
                  <c:v>0</c:v>
                </c:pt>
                <c:pt idx="116">
                  <c:v>0</c:v>
                </c:pt>
                <c:pt idx="117">
                  <c:v>1</c:v>
                </c:pt>
                <c:pt idx="118">
                  <c:v>0</c:v>
                </c:pt>
                <c:pt idx="119">
                  <c:v>0</c:v>
                </c:pt>
                <c:pt idx="120">
                  <c:v>0</c:v>
                </c:pt>
                <c:pt idx="121">
                  <c:v>0</c:v>
                </c:pt>
                <c:pt idx="122">
                  <c:v>0</c:v>
                </c:pt>
                <c:pt idx="123">
                  <c:v>1</c:v>
                </c:pt>
                <c:pt idx="124">
                  <c:v>0</c:v>
                </c:pt>
                <c:pt idx="125">
                  <c:v>0</c:v>
                </c:pt>
                <c:pt idx="126">
                  <c:v>1</c:v>
                </c:pt>
                <c:pt idx="127">
                  <c:v>0</c:v>
                </c:pt>
                <c:pt idx="128">
                  <c:v>1</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1</c:v>
                </c:pt>
                <c:pt idx="143">
                  <c:v>0</c:v>
                </c:pt>
                <c:pt idx="144">
                  <c:v>1</c:v>
                </c:pt>
                <c:pt idx="145">
                  <c:v>0</c:v>
                </c:pt>
                <c:pt idx="146">
                  <c:v>1</c:v>
                </c:pt>
                <c:pt idx="147">
                  <c:v>0</c:v>
                </c:pt>
                <c:pt idx="148">
                  <c:v>0</c:v>
                </c:pt>
                <c:pt idx="149">
                  <c:v>0</c:v>
                </c:pt>
                <c:pt idx="150">
                  <c:v>0</c:v>
                </c:pt>
                <c:pt idx="151">
                  <c:v>0</c:v>
                </c:pt>
                <c:pt idx="152">
                  <c:v>0</c:v>
                </c:pt>
                <c:pt idx="153">
                  <c:v>1</c:v>
                </c:pt>
                <c:pt idx="154">
                  <c:v>0</c:v>
                </c:pt>
                <c:pt idx="155">
                  <c:v>0</c:v>
                </c:pt>
                <c:pt idx="156">
                  <c:v>1</c:v>
                </c:pt>
                <c:pt idx="157">
                  <c:v>1</c:v>
                </c:pt>
                <c:pt idx="158">
                  <c:v>1</c:v>
                </c:pt>
                <c:pt idx="159">
                  <c:v>0</c:v>
                </c:pt>
                <c:pt idx="160">
                  <c:v>1</c:v>
                </c:pt>
                <c:pt idx="161">
                  <c:v>1</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1</c:v>
                </c:pt>
                <c:pt idx="176">
                  <c:v>0</c:v>
                </c:pt>
                <c:pt idx="177">
                  <c:v>0</c:v>
                </c:pt>
                <c:pt idx="178">
                  <c:v>0</c:v>
                </c:pt>
                <c:pt idx="179">
                  <c:v>0</c:v>
                </c:pt>
                <c:pt idx="180">
                  <c:v>0</c:v>
                </c:pt>
                <c:pt idx="181">
                  <c:v>0</c:v>
                </c:pt>
                <c:pt idx="182">
                  <c:v>0</c:v>
                </c:pt>
                <c:pt idx="183">
                  <c:v>0</c:v>
                </c:pt>
                <c:pt idx="184">
                  <c:v>0</c:v>
                </c:pt>
                <c:pt idx="185">
                  <c:v>1</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1</c:v>
                </c:pt>
                <c:pt idx="204">
                  <c:v>0</c:v>
                </c:pt>
                <c:pt idx="205">
                  <c:v>0</c:v>
                </c:pt>
                <c:pt idx="206">
                  <c:v>0</c:v>
                </c:pt>
                <c:pt idx="207">
                  <c:v>1</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1</c:v>
                </c:pt>
                <c:pt idx="224">
                  <c:v>1</c:v>
                </c:pt>
                <c:pt idx="225">
                  <c:v>0</c:v>
                </c:pt>
                <c:pt idx="226">
                  <c:v>0</c:v>
                </c:pt>
                <c:pt idx="227">
                  <c:v>0</c:v>
                </c:pt>
                <c:pt idx="228">
                  <c:v>0</c:v>
                </c:pt>
                <c:pt idx="229">
                  <c:v>0</c:v>
                </c:pt>
                <c:pt idx="230">
                  <c:v>0</c:v>
                </c:pt>
                <c:pt idx="231">
                  <c:v>0</c:v>
                </c:pt>
                <c:pt idx="232">
                  <c:v>0</c:v>
                </c:pt>
                <c:pt idx="233">
                  <c:v>0</c:v>
                </c:pt>
                <c:pt idx="234">
                  <c:v>0</c:v>
                </c:pt>
                <c:pt idx="235">
                  <c:v>1</c:v>
                </c:pt>
                <c:pt idx="236">
                  <c:v>0</c:v>
                </c:pt>
                <c:pt idx="237">
                  <c:v>0</c:v>
                </c:pt>
                <c:pt idx="238">
                  <c:v>1</c:v>
                </c:pt>
                <c:pt idx="239">
                  <c:v>0</c:v>
                </c:pt>
                <c:pt idx="240">
                  <c:v>1</c:v>
                </c:pt>
                <c:pt idx="241">
                  <c:v>0</c:v>
                </c:pt>
                <c:pt idx="242">
                  <c:v>0</c:v>
                </c:pt>
                <c:pt idx="243">
                  <c:v>0</c:v>
                </c:pt>
                <c:pt idx="244">
                  <c:v>1</c:v>
                </c:pt>
                <c:pt idx="245">
                  <c:v>0</c:v>
                </c:pt>
                <c:pt idx="246">
                  <c:v>0</c:v>
                </c:pt>
                <c:pt idx="247">
                  <c:v>0</c:v>
                </c:pt>
                <c:pt idx="248">
                  <c:v>0</c:v>
                </c:pt>
                <c:pt idx="249">
                  <c:v>0</c:v>
                </c:pt>
                <c:pt idx="250">
                  <c:v>1</c:v>
                </c:pt>
                <c:pt idx="251">
                  <c:v>1</c:v>
                </c:pt>
                <c:pt idx="252">
                  <c:v>1</c:v>
                </c:pt>
                <c:pt idx="253">
                  <c:v>0</c:v>
                </c:pt>
                <c:pt idx="254">
                  <c:v>1</c:v>
                </c:pt>
                <c:pt idx="255">
                  <c:v>0</c:v>
                </c:pt>
                <c:pt idx="256">
                  <c:v>1</c:v>
                </c:pt>
                <c:pt idx="257">
                  <c:v>0</c:v>
                </c:pt>
                <c:pt idx="258">
                  <c:v>0</c:v>
                </c:pt>
                <c:pt idx="259">
                  <c:v>1</c:v>
                </c:pt>
                <c:pt idx="260">
                  <c:v>0</c:v>
                </c:pt>
                <c:pt idx="261">
                  <c:v>1</c:v>
                </c:pt>
                <c:pt idx="262">
                  <c:v>1</c:v>
                </c:pt>
                <c:pt idx="263">
                  <c:v>1</c:v>
                </c:pt>
                <c:pt idx="264">
                  <c:v>0</c:v>
                </c:pt>
                <c:pt idx="265">
                  <c:v>1</c:v>
                </c:pt>
                <c:pt idx="266">
                  <c:v>1</c:v>
                </c:pt>
                <c:pt idx="267">
                  <c:v>0</c:v>
                </c:pt>
                <c:pt idx="268">
                  <c:v>0</c:v>
                </c:pt>
                <c:pt idx="269">
                  <c:v>0</c:v>
                </c:pt>
                <c:pt idx="270">
                  <c:v>0</c:v>
                </c:pt>
                <c:pt idx="271">
                  <c:v>1</c:v>
                </c:pt>
                <c:pt idx="272">
                  <c:v>0</c:v>
                </c:pt>
                <c:pt idx="273">
                  <c:v>0</c:v>
                </c:pt>
                <c:pt idx="274">
                  <c:v>0</c:v>
                </c:pt>
                <c:pt idx="275">
                  <c:v>0</c:v>
                </c:pt>
                <c:pt idx="276">
                  <c:v>0</c:v>
                </c:pt>
                <c:pt idx="277">
                  <c:v>0</c:v>
                </c:pt>
                <c:pt idx="278">
                  <c:v>0</c:v>
                </c:pt>
                <c:pt idx="279">
                  <c:v>0</c:v>
                </c:pt>
                <c:pt idx="280">
                  <c:v>1</c:v>
                </c:pt>
                <c:pt idx="281">
                  <c:v>1</c:v>
                </c:pt>
                <c:pt idx="282">
                  <c:v>0</c:v>
                </c:pt>
                <c:pt idx="283">
                  <c:v>0</c:v>
                </c:pt>
                <c:pt idx="284">
                  <c:v>0</c:v>
                </c:pt>
                <c:pt idx="285">
                  <c:v>0</c:v>
                </c:pt>
                <c:pt idx="286">
                  <c:v>0</c:v>
                </c:pt>
                <c:pt idx="287">
                  <c:v>0</c:v>
                </c:pt>
                <c:pt idx="288">
                  <c:v>1</c:v>
                </c:pt>
                <c:pt idx="289">
                  <c:v>0</c:v>
                </c:pt>
                <c:pt idx="290">
                  <c:v>0</c:v>
                </c:pt>
                <c:pt idx="291">
                  <c:v>0</c:v>
                </c:pt>
                <c:pt idx="292">
                  <c:v>1</c:v>
                </c:pt>
                <c:pt idx="293">
                  <c:v>0</c:v>
                </c:pt>
                <c:pt idx="294">
                  <c:v>0</c:v>
                </c:pt>
                <c:pt idx="295">
                  <c:v>0</c:v>
                </c:pt>
                <c:pt idx="296">
                  <c:v>1</c:v>
                </c:pt>
                <c:pt idx="297">
                  <c:v>1</c:v>
                </c:pt>
                <c:pt idx="298">
                  <c:v>1</c:v>
                </c:pt>
                <c:pt idx="299">
                  <c:v>0</c:v>
                </c:pt>
                <c:pt idx="300">
                  <c:v>0</c:v>
                </c:pt>
                <c:pt idx="301">
                  <c:v>1</c:v>
                </c:pt>
                <c:pt idx="302">
                  <c:v>0</c:v>
                </c:pt>
                <c:pt idx="303">
                  <c:v>0</c:v>
                </c:pt>
                <c:pt idx="304">
                  <c:v>0</c:v>
                </c:pt>
                <c:pt idx="305">
                  <c:v>0</c:v>
                </c:pt>
                <c:pt idx="306">
                  <c:v>0</c:v>
                </c:pt>
                <c:pt idx="307">
                  <c:v>0</c:v>
                </c:pt>
                <c:pt idx="308">
                  <c:v>0</c:v>
                </c:pt>
                <c:pt idx="309">
                  <c:v>0</c:v>
                </c:pt>
                <c:pt idx="310">
                  <c:v>0</c:v>
                </c:pt>
                <c:pt idx="311">
                  <c:v>0</c:v>
                </c:pt>
                <c:pt idx="312">
                  <c:v>1</c:v>
                </c:pt>
                <c:pt idx="313">
                  <c:v>0</c:v>
                </c:pt>
                <c:pt idx="314">
                  <c:v>1</c:v>
                </c:pt>
                <c:pt idx="315">
                  <c:v>0</c:v>
                </c:pt>
                <c:pt idx="316">
                  <c:v>0</c:v>
                </c:pt>
                <c:pt idx="317">
                  <c:v>0</c:v>
                </c:pt>
                <c:pt idx="318">
                  <c:v>0</c:v>
                </c:pt>
                <c:pt idx="319">
                  <c:v>0</c:v>
                </c:pt>
                <c:pt idx="320">
                  <c:v>0</c:v>
                </c:pt>
                <c:pt idx="321">
                  <c:v>0</c:v>
                </c:pt>
                <c:pt idx="322">
                  <c:v>1</c:v>
                </c:pt>
                <c:pt idx="323">
                  <c:v>0</c:v>
                </c:pt>
                <c:pt idx="324">
                  <c:v>0</c:v>
                </c:pt>
                <c:pt idx="325">
                  <c:v>0</c:v>
                </c:pt>
                <c:pt idx="326">
                  <c:v>0</c:v>
                </c:pt>
                <c:pt idx="327">
                  <c:v>1</c:v>
                </c:pt>
                <c:pt idx="328">
                  <c:v>1</c:v>
                </c:pt>
                <c:pt idx="329">
                  <c:v>0</c:v>
                </c:pt>
                <c:pt idx="330">
                  <c:v>1</c:v>
                </c:pt>
                <c:pt idx="331">
                  <c:v>1</c:v>
                </c:pt>
                <c:pt idx="332">
                  <c:v>0</c:v>
                </c:pt>
                <c:pt idx="333">
                  <c:v>0</c:v>
                </c:pt>
                <c:pt idx="334">
                  <c:v>0</c:v>
                </c:pt>
                <c:pt idx="335">
                  <c:v>0</c:v>
                </c:pt>
                <c:pt idx="336">
                  <c:v>0</c:v>
                </c:pt>
                <c:pt idx="337">
                  <c:v>0</c:v>
                </c:pt>
                <c:pt idx="338">
                  <c:v>1</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1</c:v>
                </c:pt>
                <c:pt idx="363">
                  <c:v>0</c:v>
                </c:pt>
                <c:pt idx="364">
                  <c:v>0</c:v>
                </c:pt>
                <c:pt idx="365">
                  <c:v>0</c:v>
                </c:pt>
                <c:pt idx="366">
                  <c:v>0</c:v>
                </c:pt>
                <c:pt idx="367">
                  <c:v>0</c:v>
                </c:pt>
                <c:pt idx="368">
                  <c:v>0</c:v>
                </c:pt>
                <c:pt idx="369">
                  <c:v>0</c:v>
                </c:pt>
                <c:pt idx="370">
                  <c:v>0</c:v>
                </c:pt>
                <c:pt idx="371">
                  <c:v>0</c:v>
                </c:pt>
                <c:pt idx="372">
                  <c:v>0</c:v>
                </c:pt>
                <c:pt idx="373">
                  <c:v>1</c:v>
                </c:pt>
                <c:pt idx="374">
                  <c:v>0</c:v>
                </c:pt>
                <c:pt idx="375">
                  <c:v>1</c:v>
                </c:pt>
                <c:pt idx="376">
                  <c:v>1</c:v>
                </c:pt>
                <c:pt idx="377">
                  <c:v>1</c:v>
                </c:pt>
                <c:pt idx="378">
                  <c:v>0</c:v>
                </c:pt>
                <c:pt idx="379">
                  <c:v>0</c:v>
                </c:pt>
                <c:pt idx="380">
                  <c:v>1</c:v>
                </c:pt>
                <c:pt idx="381">
                  <c:v>1</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1</c:v>
                </c:pt>
                <c:pt idx="412">
                  <c:v>1</c:v>
                </c:pt>
                <c:pt idx="413">
                  <c:v>0</c:v>
                </c:pt>
                <c:pt idx="414">
                  <c:v>0</c:v>
                </c:pt>
                <c:pt idx="415">
                  <c:v>0</c:v>
                </c:pt>
                <c:pt idx="416">
                  <c:v>0</c:v>
                </c:pt>
                <c:pt idx="417">
                  <c:v>1</c:v>
                </c:pt>
                <c:pt idx="418">
                  <c:v>0</c:v>
                </c:pt>
                <c:pt idx="419">
                  <c:v>1</c:v>
                </c:pt>
                <c:pt idx="420">
                  <c:v>1</c:v>
                </c:pt>
                <c:pt idx="421">
                  <c:v>1</c:v>
                </c:pt>
                <c:pt idx="422">
                  <c:v>1</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1</c:v>
                </c:pt>
                <c:pt idx="442">
                  <c:v>0</c:v>
                </c:pt>
                <c:pt idx="443">
                  <c:v>0</c:v>
                </c:pt>
                <c:pt idx="444">
                  <c:v>1</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1</c:v>
                </c:pt>
                <c:pt idx="462">
                  <c:v>0</c:v>
                </c:pt>
                <c:pt idx="463">
                  <c:v>0</c:v>
                </c:pt>
                <c:pt idx="464">
                  <c:v>0</c:v>
                </c:pt>
                <c:pt idx="465">
                  <c:v>1</c:v>
                </c:pt>
                <c:pt idx="466">
                  <c:v>0</c:v>
                </c:pt>
                <c:pt idx="467">
                  <c:v>0</c:v>
                </c:pt>
                <c:pt idx="468">
                  <c:v>0</c:v>
                </c:pt>
                <c:pt idx="469">
                  <c:v>0</c:v>
                </c:pt>
                <c:pt idx="470">
                  <c:v>0</c:v>
                </c:pt>
                <c:pt idx="471">
                  <c:v>0</c:v>
                </c:pt>
                <c:pt idx="472">
                  <c:v>0</c:v>
                </c:pt>
                <c:pt idx="473">
                  <c:v>0</c:v>
                </c:pt>
                <c:pt idx="474">
                  <c:v>1</c:v>
                </c:pt>
                <c:pt idx="475">
                  <c:v>1</c:v>
                </c:pt>
                <c:pt idx="476">
                  <c:v>1</c:v>
                </c:pt>
                <c:pt idx="477">
                  <c:v>0</c:v>
                </c:pt>
                <c:pt idx="478">
                  <c:v>0</c:v>
                </c:pt>
                <c:pt idx="479">
                  <c:v>0</c:v>
                </c:pt>
                <c:pt idx="480">
                  <c:v>0</c:v>
                </c:pt>
                <c:pt idx="481">
                  <c:v>0</c:v>
                </c:pt>
                <c:pt idx="482">
                  <c:v>0</c:v>
                </c:pt>
                <c:pt idx="483">
                  <c:v>0</c:v>
                </c:pt>
                <c:pt idx="484">
                  <c:v>0</c:v>
                </c:pt>
                <c:pt idx="485">
                  <c:v>0</c:v>
                </c:pt>
                <c:pt idx="486">
                  <c:v>0</c:v>
                </c:pt>
                <c:pt idx="487">
                  <c:v>0</c:v>
                </c:pt>
                <c:pt idx="488">
                  <c:v>1</c:v>
                </c:pt>
                <c:pt idx="489">
                  <c:v>0</c:v>
                </c:pt>
                <c:pt idx="490">
                  <c:v>0</c:v>
                </c:pt>
                <c:pt idx="491">
                  <c:v>0</c:v>
                </c:pt>
                <c:pt idx="492">
                  <c:v>0</c:v>
                </c:pt>
                <c:pt idx="493">
                  <c:v>0</c:v>
                </c:pt>
                <c:pt idx="494">
                  <c:v>1</c:v>
                </c:pt>
                <c:pt idx="495">
                  <c:v>0</c:v>
                </c:pt>
                <c:pt idx="496">
                  <c:v>0</c:v>
                </c:pt>
                <c:pt idx="497">
                  <c:v>0</c:v>
                </c:pt>
                <c:pt idx="498">
                  <c:v>0</c:v>
                </c:pt>
                <c:pt idx="499">
                  <c:v>0</c:v>
                </c:pt>
                <c:pt idx="500">
                  <c:v>1</c:v>
                </c:pt>
                <c:pt idx="501">
                  <c:v>0</c:v>
                </c:pt>
                <c:pt idx="502">
                  <c:v>1</c:v>
                </c:pt>
                <c:pt idx="503">
                  <c:v>1</c:v>
                </c:pt>
                <c:pt idx="504">
                  <c:v>0</c:v>
                </c:pt>
                <c:pt idx="505">
                  <c:v>0</c:v>
                </c:pt>
                <c:pt idx="506">
                  <c:v>0</c:v>
                </c:pt>
                <c:pt idx="507">
                  <c:v>0</c:v>
                </c:pt>
                <c:pt idx="508">
                  <c:v>0</c:v>
                </c:pt>
                <c:pt idx="509">
                  <c:v>0</c:v>
                </c:pt>
                <c:pt idx="510">
                  <c:v>0</c:v>
                </c:pt>
                <c:pt idx="511">
                  <c:v>0</c:v>
                </c:pt>
                <c:pt idx="512">
                  <c:v>0</c:v>
                </c:pt>
                <c:pt idx="513">
                  <c:v>0</c:v>
                </c:pt>
                <c:pt idx="514">
                  <c:v>1</c:v>
                </c:pt>
                <c:pt idx="515">
                  <c:v>0</c:v>
                </c:pt>
                <c:pt idx="516">
                  <c:v>0</c:v>
                </c:pt>
                <c:pt idx="517">
                  <c:v>0</c:v>
                </c:pt>
                <c:pt idx="518">
                  <c:v>0</c:v>
                </c:pt>
                <c:pt idx="519">
                  <c:v>0</c:v>
                </c:pt>
                <c:pt idx="520">
                  <c:v>0</c:v>
                </c:pt>
                <c:pt idx="521">
                  <c:v>0</c:v>
                </c:pt>
                <c:pt idx="522">
                  <c:v>0</c:v>
                </c:pt>
                <c:pt idx="523">
                  <c:v>0</c:v>
                </c:pt>
                <c:pt idx="524">
                  <c:v>1</c:v>
                </c:pt>
                <c:pt idx="525">
                  <c:v>0</c:v>
                </c:pt>
                <c:pt idx="526">
                  <c:v>0</c:v>
                </c:pt>
                <c:pt idx="527">
                  <c:v>0</c:v>
                </c:pt>
                <c:pt idx="528">
                  <c:v>0</c:v>
                </c:pt>
                <c:pt idx="529">
                  <c:v>0</c:v>
                </c:pt>
                <c:pt idx="530">
                  <c:v>1</c:v>
                </c:pt>
                <c:pt idx="531">
                  <c:v>0</c:v>
                </c:pt>
                <c:pt idx="532">
                  <c:v>0</c:v>
                </c:pt>
                <c:pt idx="533">
                  <c:v>0</c:v>
                </c:pt>
                <c:pt idx="534">
                  <c:v>0</c:v>
                </c:pt>
                <c:pt idx="535">
                  <c:v>0</c:v>
                </c:pt>
                <c:pt idx="536">
                  <c:v>0</c:v>
                </c:pt>
                <c:pt idx="537">
                  <c:v>0</c:v>
                </c:pt>
                <c:pt idx="538">
                  <c:v>0</c:v>
                </c:pt>
                <c:pt idx="539">
                  <c:v>0</c:v>
                </c:pt>
                <c:pt idx="540">
                  <c:v>0</c:v>
                </c:pt>
                <c:pt idx="541">
                  <c:v>0</c:v>
                </c:pt>
                <c:pt idx="542">
                  <c:v>0</c:v>
                </c:pt>
                <c:pt idx="543">
                  <c:v>1</c:v>
                </c:pt>
                <c:pt idx="544">
                  <c:v>0</c:v>
                </c:pt>
                <c:pt idx="545">
                  <c:v>1</c:v>
                </c:pt>
                <c:pt idx="546">
                  <c:v>0</c:v>
                </c:pt>
                <c:pt idx="547">
                  <c:v>0</c:v>
                </c:pt>
                <c:pt idx="548">
                  <c:v>0</c:v>
                </c:pt>
                <c:pt idx="549">
                  <c:v>1</c:v>
                </c:pt>
                <c:pt idx="550">
                  <c:v>0</c:v>
                </c:pt>
                <c:pt idx="551">
                  <c:v>0</c:v>
                </c:pt>
                <c:pt idx="552">
                  <c:v>0</c:v>
                </c:pt>
                <c:pt idx="553">
                  <c:v>0</c:v>
                </c:pt>
                <c:pt idx="554">
                  <c:v>0</c:v>
                </c:pt>
                <c:pt idx="555">
                  <c:v>0</c:v>
                </c:pt>
                <c:pt idx="556">
                  <c:v>0</c:v>
                </c:pt>
                <c:pt idx="557">
                  <c:v>0</c:v>
                </c:pt>
                <c:pt idx="558">
                  <c:v>1</c:v>
                </c:pt>
                <c:pt idx="559">
                  <c:v>0</c:v>
                </c:pt>
                <c:pt idx="560">
                  <c:v>0</c:v>
                </c:pt>
                <c:pt idx="561">
                  <c:v>0</c:v>
                </c:pt>
                <c:pt idx="562">
                  <c:v>0</c:v>
                </c:pt>
                <c:pt idx="563">
                  <c:v>0</c:v>
                </c:pt>
                <c:pt idx="564">
                  <c:v>0</c:v>
                </c:pt>
                <c:pt idx="565">
                  <c:v>0</c:v>
                </c:pt>
                <c:pt idx="566">
                  <c:v>0</c:v>
                </c:pt>
                <c:pt idx="567">
                  <c:v>0</c:v>
                </c:pt>
                <c:pt idx="568">
                  <c:v>0</c:v>
                </c:pt>
                <c:pt idx="569">
                  <c:v>1</c:v>
                </c:pt>
                <c:pt idx="570">
                  <c:v>0</c:v>
                </c:pt>
                <c:pt idx="571">
                  <c:v>0</c:v>
                </c:pt>
                <c:pt idx="572">
                  <c:v>0</c:v>
                </c:pt>
                <c:pt idx="573">
                  <c:v>0</c:v>
                </c:pt>
                <c:pt idx="574">
                  <c:v>0</c:v>
                </c:pt>
                <c:pt idx="575">
                  <c:v>0</c:v>
                </c:pt>
                <c:pt idx="576">
                  <c:v>0</c:v>
                </c:pt>
                <c:pt idx="577">
                  <c:v>1</c:v>
                </c:pt>
                <c:pt idx="578">
                  <c:v>0</c:v>
                </c:pt>
                <c:pt idx="579">
                  <c:v>0</c:v>
                </c:pt>
                <c:pt idx="580">
                  <c:v>0</c:v>
                </c:pt>
                <c:pt idx="581">
                  <c:v>0</c:v>
                </c:pt>
                <c:pt idx="582">
                  <c:v>0</c:v>
                </c:pt>
                <c:pt idx="583">
                  <c:v>0</c:v>
                </c:pt>
                <c:pt idx="584">
                  <c:v>0</c:v>
                </c:pt>
                <c:pt idx="585">
                  <c:v>0</c:v>
                </c:pt>
                <c:pt idx="586">
                  <c:v>0</c:v>
                </c:pt>
                <c:pt idx="587">
                  <c:v>1</c:v>
                </c:pt>
                <c:pt idx="588">
                  <c:v>0</c:v>
                </c:pt>
                <c:pt idx="589">
                  <c:v>0</c:v>
                </c:pt>
                <c:pt idx="590">
                  <c:v>0</c:v>
                </c:pt>
                <c:pt idx="591">
                  <c:v>0</c:v>
                </c:pt>
                <c:pt idx="592">
                  <c:v>0</c:v>
                </c:pt>
                <c:pt idx="593">
                  <c:v>1</c:v>
                </c:pt>
                <c:pt idx="594">
                  <c:v>0</c:v>
                </c:pt>
                <c:pt idx="595">
                  <c:v>0</c:v>
                </c:pt>
                <c:pt idx="596">
                  <c:v>0</c:v>
                </c:pt>
                <c:pt idx="597">
                  <c:v>0</c:v>
                </c:pt>
                <c:pt idx="598">
                  <c:v>0</c:v>
                </c:pt>
                <c:pt idx="599">
                  <c:v>0</c:v>
                </c:pt>
                <c:pt idx="600">
                  <c:v>0</c:v>
                </c:pt>
                <c:pt idx="601">
                  <c:v>0</c:v>
                </c:pt>
                <c:pt idx="602">
                  <c:v>0</c:v>
                </c:pt>
                <c:pt idx="603">
                  <c:v>0</c:v>
                </c:pt>
                <c:pt idx="604">
                  <c:v>1</c:v>
                </c:pt>
                <c:pt idx="605">
                  <c:v>0</c:v>
                </c:pt>
                <c:pt idx="606">
                  <c:v>0</c:v>
                </c:pt>
                <c:pt idx="607">
                  <c:v>1</c:v>
                </c:pt>
                <c:pt idx="608">
                  <c:v>0</c:v>
                </c:pt>
                <c:pt idx="609">
                  <c:v>1</c:v>
                </c:pt>
                <c:pt idx="610">
                  <c:v>0</c:v>
                </c:pt>
                <c:pt idx="611">
                  <c:v>0</c:v>
                </c:pt>
                <c:pt idx="612">
                  <c:v>0</c:v>
                </c:pt>
                <c:pt idx="613">
                  <c:v>0</c:v>
                </c:pt>
                <c:pt idx="614">
                  <c:v>0</c:v>
                </c:pt>
                <c:pt idx="615">
                  <c:v>1</c:v>
                </c:pt>
                <c:pt idx="616">
                  <c:v>0</c:v>
                </c:pt>
                <c:pt idx="617">
                  <c:v>1</c:v>
                </c:pt>
                <c:pt idx="618">
                  <c:v>1</c:v>
                </c:pt>
                <c:pt idx="619">
                  <c:v>0</c:v>
                </c:pt>
                <c:pt idx="620">
                  <c:v>0</c:v>
                </c:pt>
                <c:pt idx="621">
                  <c:v>1</c:v>
                </c:pt>
                <c:pt idx="622">
                  <c:v>0</c:v>
                </c:pt>
                <c:pt idx="623">
                  <c:v>1</c:v>
                </c:pt>
                <c:pt idx="624">
                  <c:v>0</c:v>
                </c:pt>
                <c:pt idx="625">
                  <c:v>0</c:v>
                </c:pt>
                <c:pt idx="626">
                  <c:v>0</c:v>
                </c:pt>
                <c:pt idx="627">
                  <c:v>0</c:v>
                </c:pt>
                <c:pt idx="628">
                  <c:v>0</c:v>
                </c:pt>
                <c:pt idx="629">
                  <c:v>1</c:v>
                </c:pt>
                <c:pt idx="630">
                  <c:v>0</c:v>
                </c:pt>
                <c:pt idx="631">
                  <c:v>0</c:v>
                </c:pt>
                <c:pt idx="632">
                  <c:v>0</c:v>
                </c:pt>
                <c:pt idx="633">
                  <c:v>0</c:v>
                </c:pt>
                <c:pt idx="634">
                  <c:v>0</c:v>
                </c:pt>
                <c:pt idx="635">
                  <c:v>0</c:v>
                </c:pt>
                <c:pt idx="636">
                  <c:v>0</c:v>
                </c:pt>
                <c:pt idx="637">
                  <c:v>0</c:v>
                </c:pt>
                <c:pt idx="638">
                  <c:v>1</c:v>
                </c:pt>
                <c:pt idx="639">
                  <c:v>0</c:v>
                </c:pt>
                <c:pt idx="640">
                  <c:v>0</c:v>
                </c:pt>
                <c:pt idx="641">
                  <c:v>1</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1</c:v>
                </c:pt>
                <c:pt idx="656">
                  <c:v>0</c:v>
                </c:pt>
                <c:pt idx="657">
                  <c:v>0</c:v>
                </c:pt>
                <c:pt idx="658">
                  <c:v>0</c:v>
                </c:pt>
                <c:pt idx="659">
                  <c:v>0</c:v>
                </c:pt>
                <c:pt idx="660">
                  <c:v>0</c:v>
                </c:pt>
                <c:pt idx="661">
                  <c:v>0</c:v>
                </c:pt>
                <c:pt idx="662">
                  <c:v>0</c:v>
                </c:pt>
                <c:pt idx="663">
                  <c:v>0</c:v>
                </c:pt>
                <c:pt idx="664">
                  <c:v>1</c:v>
                </c:pt>
                <c:pt idx="665">
                  <c:v>1</c:v>
                </c:pt>
                <c:pt idx="666">
                  <c:v>0</c:v>
                </c:pt>
                <c:pt idx="667">
                  <c:v>1</c:v>
                </c:pt>
                <c:pt idx="668">
                  <c:v>1</c:v>
                </c:pt>
                <c:pt idx="669">
                  <c:v>0</c:v>
                </c:pt>
                <c:pt idx="670">
                  <c:v>0</c:v>
                </c:pt>
                <c:pt idx="671">
                  <c:v>0</c:v>
                </c:pt>
                <c:pt idx="672">
                  <c:v>0</c:v>
                </c:pt>
                <c:pt idx="673">
                  <c:v>0</c:v>
                </c:pt>
                <c:pt idx="674">
                  <c:v>1</c:v>
                </c:pt>
                <c:pt idx="675">
                  <c:v>0</c:v>
                </c:pt>
                <c:pt idx="676">
                  <c:v>0</c:v>
                </c:pt>
                <c:pt idx="677">
                  <c:v>1</c:v>
                </c:pt>
                <c:pt idx="678">
                  <c:v>0</c:v>
                </c:pt>
                <c:pt idx="679">
                  <c:v>0</c:v>
                </c:pt>
                <c:pt idx="680">
                  <c:v>0</c:v>
                </c:pt>
                <c:pt idx="681">
                  <c:v>0</c:v>
                </c:pt>
                <c:pt idx="682">
                  <c:v>1</c:v>
                </c:pt>
                <c:pt idx="683">
                  <c:v>0</c:v>
                </c:pt>
                <c:pt idx="684">
                  <c:v>0</c:v>
                </c:pt>
                <c:pt idx="685">
                  <c:v>0</c:v>
                </c:pt>
                <c:pt idx="686">
                  <c:v>0</c:v>
                </c:pt>
                <c:pt idx="687">
                  <c:v>0</c:v>
                </c:pt>
                <c:pt idx="688">
                  <c:v>0</c:v>
                </c:pt>
                <c:pt idx="689">
                  <c:v>1</c:v>
                </c:pt>
                <c:pt idx="690">
                  <c:v>0</c:v>
                </c:pt>
                <c:pt idx="691">
                  <c:v>0</c:v>
                </c:pt>
                <c:pt idx="692">
                  <c:v>0</c:v>
                </c:pt>
                <c:pt idx="693">
                  <c:v>0</c:v>
                </c:pt>
                <c:pt idx="694">
                  <c:v>0</c:v>
                </c:pt>
                <c:pt idx="695">
                  <c:v>0</c:v>
                </c:pt>
                <c:pt idx="696">
                  <c:v>0</c:v>
                </c:pt>
                <c:pt idx="697">
                  <c:v>1</c:v>
                </c:pt>
                <c:pt idx="698">
                  <c:v>0</c:v>
                </c:pt>
                <c:pt idx="699">
                  <c:v>0</c:v>
                </c:pt>
                <c:pt idx="700">
                  <c:v>0</c:v>
                </c:pt>
                <c:pt idx="701">
                  <c:v>0</c:v>
                </c:pt>
                <c:pt idx="702">
                  <c:v>0</c:v>
                </c:pt>
                <c:pt idx="703">
                  <c:v>0</c:v>
                </c:pt>
                <c:pt idx="704">
                  <c:v>0</c:v>
                </c:pt>
                <c:pt idx="705">
                  <c:v>0</c:v>
                </c:pt>
                <c:pt idx="706">
                  <c:v>1</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1</c:v>
                </c:pt>
                <c:pt idx="726">
                  <c:v>0</c:v>
                </c:pt>
                <c:pt idx="727">
                  <c:v>1</c:v>
                </c:pt>
                <c:pt idx="728">
                  <c:v>0</c:v>
                </c:pt>
                <c:pt idx="729">
                  <c:v>0</c:v>
                </c:pt>
                <c:pt idx="730">
                  <c:v>1</c:v>
                </c:pt>
                <c:pt idx="731">
                  <c:v>0</c:v>
                </c:pt>
                <c:pt idx="732">
                  <c:v>0</c:v>
                </c:pt>
                <c:pt idx="733">
                  <c:v>0</c:v>
                </c:pt>
                <c:pt idx="734">
                  <c:v>0</c:v>
                </c:pt>
                <c:pt idx="735">
                  <c:v>0</c:v>
                </c:pt>
                <c:pt idx="736">
                  <c:v>1</c:v>
                </c:pt>
                <c:pt idx="737">
                  <c:v>0</c:v>
                </c:pt>
                <c:pt idx="738">
                  <c:v>1</c:v>
                </c:pt>
                <c:pt idx="739">
                  <c:v>1</c:v>
                </c:pt>
                <c:pt idx="740">
                  <c:v>0</c:v>
                </c:pt>
                <c:pt idx="741">
                  <c:v>1</c:v>
                </c:pt>
                <c:pt idx="742">
                  <c:v>1</c:v>
                </c:pt>
                <c:pt idx="743">
                  <c:v>0</c:v>
                </c:pt>
                <c:pt idx="744">
                  <c:v>0</c:v>
                </c:pt>
                <c:pt idx="745">
                  <c:v>0</c:v>
                </c:pt>
                <c:pt idx="746">
                  <c:v>0</c:v>
                </c:pt>
                <c:pt idx="747">
                  <c:v>0</c:v>
                </c:pt>
                <c:pt idx="748">
                  <c:v>0</c:v>
                </c:pt>
                <c:pt idx="749">
                  <c:v>0</c:v>
                </c:pt>
                <c:pt idx="750">
                  <c:v>1</c:v>
                </c:pt>
                <c:pt idx="751">
                  <c:v>0</c:v>
                </c:pt>
                <c:pt idx="752">
                  <c:v>0</c:v>
                </c:pt>
                <c:pt idx="753">
                  <c:v>0</c:v>
                </c:pt>
                <c:pt idx="754">
                  <c:v>0</c:v>
                </c:pt>
                <c:pt idx="755">
                  <c:v>0</c:v>
                </c:pt>
                <c:pt idx="756">
                  <c:v>0</c:v>
                </c:pt>
                <c:pt idx="757">
                  <c:v>1</c:v>
                </c:pt>
                <c:pt idx="758">
                  <c:v>0</c:v>
                </c:pt>
                <c:pt idx="759">
                  <c:v>1</c:v>
                </c:pt>
                <c:pt idx="760">
                  <c:v>0</c:v>
                </c:pt>
                <c:pt idx="761">
                  <c:v>0</c:v>
                </c:pt>
                <c:pt idx="762">
                  <c:v>1</c:v>
                </c:pt>
                <c:pt idx="763">
                  <c:v>0</c:v>
                </c:pt>
                <c:pt idx="764">
                  <c:v>0</c:v>
                </c:pt>
                <c:pt idx="765">
                  <c:v>0</c:v>
                </c:pt>
                <c:pt idx="766">
                  <c:v>0</c:v>
                </c:pt>
                <c:pt idx="767">
                  <c:v>0</c:v>
                </c:pt>
                <c:pt idx="768">
                  <c:v>0</c:v>
                </c:pt>
                <c:pt idx="769">
                  <c:v>0</c:v>
                </c:pt>
                <c:pt idx="770">
                  <c:v>0</c:v>
                </c:pt>
                <c:pt idx="771">
                  <c:v>0</c:v>
                </c:pt>
                <c:pt idx="772">
                  <c:v>0</c:v>
                </c:pt>
                <c:pt idx="773">
                  <c:v>1</c:v>
                </c:pt>
                <c:pt idx="774">
                  <c:v>0</c:v>
                </c:pt>
                <c:pt idx="775">
                  <c:v>0</c:v>
                </c:pt>
                <c:pt idx="776">
                  <c:v>0</c:v>
                </c:pt>
                <c:pt idx="777">
                  <c:v>0</c:v>
                </c:pt>
                <c:pt idx="778">
                  <c:v>0</c:v>
                </c:pt>
                <c:pt idx="779">
                  <c:v>0</c:v>
                </c:pt>
                <c:pt idx="780">
                  <c:v>1</c:v>
                </c:pt>
                <c:pt idx="781">
                  <c:v>0</c:v>
                </c:pt>
                <c:pt idx="782">
                  <c:v>0</c:v>
                </c:pt>
                <c:pt idx="783">
                  <c:v>1</c:v>
                </c:pt>
                <c:pt idx="784">
                  <c:v>0</c:v>
                </c:pt>
                <c:pt idx="785">
                  <c:v>0</c:v>
                </c:pt>
                <c:pt idx="786">
                  <c:v>0</c:v>
                </c:pt>
                <c:pt idx="787">
                  <c:v>0</c:v>
                </c:pt>
                <c:pt idx="788">
                  <c:v>0</c:v>
                </c:pt>
                <c:pt idx="789">
                  <c:v>0</c:v>
                </c:pt>
                <c:pt idx="790">
                  <c:v>0</c:v>
                </c:pt>
                <c:pt idx="791">
                  <c:v>0</c:v>
                </c:pt>
                <c:pt idx="792">
                  <c:v>0</c:v>
                </c:pt>
                <c:pt idx="793">
                  <c:v>1</c:v>
                </c:pt>
                <c:pt idx="794">
                  <c:v>0</c:v>
                </c:pt>
                <c:pt idx="795">
                  <c:v>1</c:v>
                </c:pt>
                <c:pt idx="796">
                  <c:v>0</c:v>
                </c:pt>
                <c:pt idx="797">
                  <c:v>0</c:v>
                </c:pt>
                <c:pt idx="798">
                  <c:v>0</c:v>
                </c:pt>
                <c:pt idx="799">
                  <c:v>1</c:v>
                </c:pt>
                <c:pt idx="800">
                  <c:v>0</c:v>
                </c:pt>
                <c:pt idx="801">
                  <c:v>0</c:v>
                </c:pt>
                <c:pt idx="802">
                  <c:v>0</c:v>
                </c:pt>
                <c:pt idx="803">
                  <c:v>1</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1</c:v>
                </c:pt>
                <c:pt idx="819">
                  <c:v>1</c:v>
                </c:pt>
                <c:pt idx="820">
                  <c:v>0</c:v>
                </c:pt>
                <c:pt idx="821">
                  <c:v>0</c:v>
                </c:pt>
                <c:pt idx="822">
                  <c:v>0</c:v>
                </c:pt>
                <c:pt idx="823">
                  <c:v>0</c:v>
                </c:pt>
                <c:pt idx="824">
                  <c:v>0</c:v>
                </c:pt>
                <c:pt idx="825">
                  <c:v>0</c:v>
                </c:pt>
                <c:pt idx="826">
                  <c:v>1</c:v>
                </c:pt>
                <c:pt idx="827">
                  <c:v>1</c:v>
                </c:pt>
                <c:pt idx="828">
                  <c:v>1</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1</c:v>
                </c:pt>
                <c:pt idx="843">
                  <c:v>1</c:v>
                </c:pt>
                <c:pt idx="844">
                  <c:v>0</c:v>
                </c:pt>
                <c:pt idx="845">
                  <c:v>1</c:v>
                </c:pt>
                <c:pt idx="846">
                  <c:v>0</c:v>
                </c:pt>
                <c:pt idx="847">
                  <c:v>0</c:v>
                </c:pt>
                <c:pt idx="848">
                  <c:v>0</c:v>
                </c:pt>
                <c:pt idx="849">
                  <c:v>0</c:v>
                </c:pt>
                <c:pt idx="850">
                  <c:v>1</c:v>
                </c:pt>
                <c:pt idx="851">
                  <c:v>0</c:v>
                </c:pt>
                <c:pt idx="852">
                  <c:v>1</c:v>
                </c:pt>
                <c:pt idx="853">
                  <c:v>0</c:v>
                </c:pt>
                <c:pt idx="854">
                  <c:v>1</c:v>
                </c:pt>
                <c:pt idx="855">
                  <c:v>0</c:v>
                </c:pt>
                <c:pt idx="856">
                  <c:v>1</c:v>
                </c:pt>
                <c:pt idx="857">
                  <c:v>1</c:v>
                </c:pt>
                <c:pt idx="858">
                  <c:v>0</c:v>
                </c:pt>
                <c:pt idx="859">
                  <c:v>0</c:v>
                </c:pt>
                <c:pt idx="860">
                  <c:v>1</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1</c:v>
                </c:pt>
                <c:pt idx="884">
                  <c:v>0</c:v>
                </c:pt>
                <c:pt idx="885">
                  <c:v>1</c:v>
                </c:pt>
                <c:pt idx="886">
                  <c:v>1</c:v>
                </c:pt>
                <c:pt idx="887">
                  <c:v>0</c:v>
                </c:pt>
                <c:pt idx="888">
                  <c:v>0</c:v>
                </c:pt>
                <c:pt idx="889">
                  <c:v>0</c:v>
                </c:pt>
                <c:pt idx="890">
                  <c:v>1</c:v>
                </c:pt>
                <c:pt idx="891">
                  <c:v>0</c:v>
                </c:pt>
                <c:pt idx="892">
                  <c:v>0</c:v>
                </c:pt>
                <c:pt idx="893">
                  <c:v>1</c:v>
                </c:pt>
                <c:pt idx="894">
                  <c:v>0</c:v>
                </c:pt>
                <c:pt idx="895">
                  <c:v>0</c:v>
                </c:pt>
                <c:pt idx="896">
                  <c:v>1</c:v>
                </c:pt>
                <c:pt idx="897">
                  <c:v>0</c:v>
                </c:pt>
                <c:pt idx="898">
                  <c:v>0</c:v>
                </c:pt>
                <c:pt idx="899">
                  <c:v>0</c:v>
                </c:pt>
                <c:pt idx="900">
                  <c:v>0</c:v>
                </c:pt>
                <c:pt idx="901">
                  <c:v>1</c:v>
                </c:pt>
                <c:pt idx="902">
                  <c:v>0</c:v>
                </c:pt>
                <c:pt idx="903">
                  <c:v>0</c:v>
                </c:pt>
                <c:pt idx="904">
                  <c:v>0</c:v>
                </c:pt>
                <c:pt idx="905">
                  <c:v>0</c:v>
                </c:pt>
                <c:pt idx="906">
                  <c:v>0</c:v>
                </c:pt>
                <c:pt idx="907">
                  <c:v>0</c:v>
                </c:pt>
                <c:pt idx="908">
                  <c:v>0</c:v>
                </c:pt>
                <c:pt idx="909">
                  <c:v>1</c:v>
                </c:pt>
                <c:pt idx="910">
                  <c:v>0</c:v>
                </c:pt>
                <c:pt idx="911">
                  <c:v>1</c:v>
                </c:pt>
                <c:pt idx="912">
                  <c:v>0</c:v>
                </c:pt>
                <c:pt idx="913">
                  <c:v>0</c:v>
                </c:pt>
                <c:pt idx="914">
                  <c:v>0</c:v>
                </c:pt>
                <c:pt idx="915">
                  <c:v>0</c:v>
                </c:pt>
                <c:pt idx="916">
                  <c:v>1</c:v>
                </c:pt>
                <c:pt idx="917">
                  <c:v>1</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1</c:v>
                </c:pt>
                <c:pt idx="948">
                  <c:v>0</c:v>
                </c:pt>
                <c:pt idx="949">
                  <c:v>1</c:v>
                </c:pt>
                <c:pt idx="950">
                  <c:v>0</c:v>
                </c:pt>
                <c:pt idx="951">
                  <c:v>1</c:v>
                </c:pt>
                <c:pt idx="952">
                  <c:v>0</c:v>
                </c:pt>
                <c:pt idx="953">
                  <c:v>1</c:v>
                </c:pt>
                <c:pt idx="954">
                  <c:v>1</c:v>
                </c:pt>
                <c:pt idx="955">
                  <c:v>0</c:v>
                </c:pt>
                <c:pt idx="956">
                  <c:v>1</c:v>
                </c:pt>
                <c:pt idx="957">
                  <c:v>0</c:v>
                </c:pt>
                <c:pt idx="958">
                  <c:v>1</c:v>
                </c:pt>
                <c:pt idx="959">
                  <c:v>0</c:v>
                </c:pt>
                <c:pt idx="960">
                  <c:v>0</c:v>
                </c:pt>
                <c:pt idx="961">
                  <c:v>0</c:v>
                </c:pt>
                <c:pt idx="962">
                  <c:v>0</c:v>
                </c:pt>
                <c:pt idx="963">
                  <c:v>0</c:v>
                </c:pt>
                <c:pt idx="964">
                  <c:v>0</c:v>
                </c:pt>
                <c:pt idx="965">
                  <c:v>0</c:v>
                </c:pt>
                <c:pt idx="966">
                  <c:v>1</c:v>
                </c:pt>
                <c:pt idx="967">
                  <c:v>0</c:v>
                </c:pt>
                <c:pt idx="968">
                  <c:v>0</c:v>
                </c:pt>
                <c:pt idx="969">
                  <c:v>0</c:v>
                </c:pt>
                <c:pt idx="970">
                  <c:v>0</c:v>
                </c:pt>
                <c:pt idx="971">
                  <c:v>0</c:v>
                </c:pt>
                <c:pt idx="972">
                  <c:v>0</c:v>
                </c:pt>
                <c:pt idx="973">
                  <c:v>0</c:v>
                </c:pt>
                <c:pt idx="974">
                  <c:v>0</c:v>
                </c:pt>
                <c:pt idx="975">
                  <c:v>1</c:v>
                </c:pt>
                <c:pt idx="976">
                  <c:v>0</c:v>
                </c:pt>
                <c:pt idx="977">
                  <c:v>0</c:v>
                </c:pt>
                <c:pt idx="978">
                  <c:v>0</c:v>
                </c:pt>
                <c:pt idx="979">
                  <c:v>0</c:v>
                </c:pt>
                <c:pt idx="980">
                  <c:v>0</c:v>
                </c:pt>
                <c:pt idx="981">
                  <c:v>0</c:v>
                </c:pt>
                <c:pt idx="982">
                  <c:v>1</c:v>
                </c:pt>
                <c:pt idx="983">
                  <c:v>0</c:v>
                </c:pt>
                <c:pt idx="984">
                  <c:v>0</c:v>
                </c:pt>
                <c:pt idx="985">
                  <c:v>0</c:v>
                </c:pt>
                <c:pt idx="986">
                  <c:v>0</c:v>
                </c:pt>
                <c:pt idx="987">
                  <c:v>0</c:v>
                </c:pt>
                <c:pt idx="988">
                  <c:v>0</c:v>
                </c:pt>
                <c:pt idx="989">
                  <c:v>1</c:v>
                </c:pt>
                <c:pt idx="990">
                  <c:v>0</c:v>
                </c:pt>
                <c:pt idx="991">
                  <c:v>0</c:v>
                </c:pt>
                <c:pt idx="992">
                  <c:v>0</c:v>
                </c:pt>
                <c:pt idx="993">
                  <c:v>0</c:v>
                </c:pt>
                <c:pt idx="994">
                  <c:v>1</c:v>
                </c:pt>
                <c:pt idx="995">
                  <c:v>0</c:v>
                </c:pt>
                <c:pt idx="996">
                  <c:v>0</c:v>
                </c:pt>
                <c:pt idx="997">
                  <c:v>0</c:v>
                </c:pt>
                <c:pt idx="998">
                  <c:v>0</c:v>
                </c:pt>
                <c:pt idx="999">
                  <c:v>0</c:v>
                </c:pt>
                <c:pt idx="1000">
                  <c:v>1</c:v>
                </c:pt>
                <c:pt idx="1001">
                  <c:v>1</c:v>
                </c:pt>
                <c:pt idx="1002">
                  <c:v>0</c:v>
                </c:pt>
                <c:pt idx="1003">
                  <c:v>0</c:v>
                </c:pt>
                <c:pt idx="1004">
                  <c:v>0</c:v>
                </c:pt>
                <c:pt idx="1005">
                  <c:v>0</c:v>
                </c:pt>
                <c:pt idx="1006">
                  <c:v>0</c:v>
                </c:pt>
                <c:pt idx="1007">
                  <c:v>1</c:v>
                </c:pt>
                <c:pt idx="1008">
                  <c:v>0</c:v>
                </c:pt>
                <c:pt idx="1009">
                  <c:v>0</c:v>
                </c:pt>
                <c:pt idx="1010">
                  <c:v>0</c:v>
                </c:pt>
                <c:pt idx="1011">
                  <c:v>1</c:v>
                </c:pt>
                <c:pt idx="1012">
                  <c:v>0</c:v>
                </c:pt>
                <c:pt idx="1013">
                  <c:v>0</c:v>
                </c:pt>
                <c:pt idx="1014">
                  <c:v>0</c:v>
                </c:pt>
                <c:pt idx="1015">
                  <c:v>0</c:v>
                </c:pt>
                <c:pt idx="1016">
                  <c:v>0</c:v>
                </c:pt>
                <c:pt idx="1017">
                  <c:v>0</c:v>
                </c:pt>
                <c:pt idx="1018">
                  <c:v>0</c:v>
                </c:pt>
                <c:pt idx="1019">
                  <c:v>0</c:v>
                </c:pt>
                <c:pt idx="1020">
                  <c:v>0</c:v>
                </c:pt>
                <c:pt idx="1021">
                  <c:v>1</c:v>
                </c:pt>
                <c:pt idx="1022">
                  <c:v>1</c:v>
                </c:pt>
                <c:pt idx="1023">
                  <c:v>0</c:v>
                </c:pt>
                <c:pt idx="1024">
                  <c:v>0</c:v>
                </c:pt>
                <c:pt idx="1025">
                  <c:v>0</c:v>
                </c:pt>
                <c:pt idx="1026">
                  <c:v>1</c:v>
                </c:pt>
                <c:pt idx="1027">
                  <c:v>0</c:v>
                </c:pt>
                <c:pt idx="1028">
                  <c:v>0</c:v>
                </c:pt>
                <c:pt idx="1029">
                  <c:v>0</c:v>
                </c:pt>
                <c:pt idx="1030">
                  <c:v>1</c:v>
                </c:pt>
                <c:pt idx="1031">
                  <c:v>1</c:v>
                </c:pt>
                <c:pt idx="1032">
                  <c:v>0</c:v>
                </c:pt>
                <c:pt idx="1033">
                  <c:v>1</c:v>
                </c:pt>
                <c:pt idx="1034">
                  <c:v>0</c:v>
                </c:pt>
                <c:pt idx="1035">
                  <c:v>0</c:v>
                </c:pt>
                <c:pt idx="1036">
                  <c:v>1</c:v>
                </c:pt>
                <c:pt idx="1037">
                  <c:v>1</c:v>
                </c:pt>
                <c:pt idx="1038">
                  <c:v>0</c:v>
                </c:pt>
                <c:pt idx="1039">
                  <c:v>0</c:v>
                </c:pt>
                <c:pt idx="1040">
                  <c:v>1</c:v>
                </c:pt>
                <c:pt idx="1041">
                  <c:v>0</c:v>
                </c:pt>
                <c:pt idx="1042">
                  <c:v>1</c:v>
                </c:pt>
                <c:pt idx="1043">
                  <c:v>0</c:v>
                </c:pt>
                <c:pt idx="1044">
                  <c:v>0</c:v>
                </c:pt>
                <c:pt idx="1045">
                  <c:v>1</c:v>
                </c:pt>
                <c:pt idx="1046">
                  <c:v>0</c:v>
                </c:pt>
                <c:pt idx="1047">
                  <c:v>1</c:v>
                </c:pt>
                <c:pt idx="1048">
                  <c:v>0</c:v>
                </c:pt>
                <c:pt idx="1049">
                  <c:v>1</c:v>
                </c:pt>
                <c:pt idx="1050">
                  <c:v>0</c:v>
                </c:pt>
                <c:pt idx="1051">
                  <c:v>0</c:v>
                </c:pt>
                <c:pt idx="1052">
                  <c:v>0</c:v>
                </c:pt>
                <c:pt idx="1053">
                  <c:v>1</c:v>
                </c:pt>
                <c:pt idx="1054">
                  <c:v>0</c:v>
                </c:pt>
                <c:pt idx="1055">
                  <c:v>0</c:v>
                </c:pt>
                <c:pt idx="1056">
                  <c:v>0</c:v>
                </c:pt>
                <c:pt idx="1057">
                  <c:v>0</c:v>
                </c:pt>
                <c:pt idx="1058">
                  <c:v>0</c:v>
                </c:pt>
                <c:pt idx="1059">
                  <c:v>0</c:v>
                </c:pt>
                <c:pt idx="1060">
                  <c:v>0</c:v>
                </c:pt>
                <c:pt idx="1061">
                  <c:v>0</c:v>
                </c:pt>
                <c:pt idx="1062">
                  <c:v>1</c:v>
                </c:pt>
                <c:pt idx="1063">
                  <c:v>0</c:v>
                </c:pt>
                <c:pt idx="1064">
                  <c:v>0</c:v>
                </c:pt>
                <c:pt idx="1065">
                  <c:v>0</c:v>
                </c:pt>
                <c:pt idx="1066">
                  <c:v>0</c:v>
                </c:pt>
                <c:pt idx="1067">
                  <c:v>0</c:v>
                </c:pt>
                <c:pt idx="1068">
                  <c:v>0</c:v>
                </c:pt>
                <c:pt idx="1069">
                  <c:v>0</c:v>
                </c:pt>
                <c:pt idx="1070">
                  <c:v>1</c:v>
                </c:pt>
                <c:pt idx="1071">
                  <c:v>0</c:v>
                </c:pt>
                <c:pt idx="1072">
                  <c:v>0</c:v>
                </c:pt>
                <c:pt idx="1073">
                  <c:v>0</c:v>
                </c:pt>
                <c:pt idx="1074">
                  <c:v>0</c:v>
                </c:pt>
                <c:pt idx="1075">
                  <c:v>0</c:v>
                </c:pt>
                <c:pt idx="1076">
                  <c:v>0</c:v>
                </c:pt>
                <c:pt idx="1077">
                  <c:v>0</c:v>
                </c:pt>
                <c:pt idx="1078">
                  <c:v>1</c:v>
                </c:pt>
                <c:pt idx="1079">
                  <c:v>0</c:v>
                </c:pt>
                <c:pt idx="1080">
                  <c:v>0</c:v>
                </c:pt>
                <c:pt idx="1081">
                  <c:v>0</c:v>
                </c:pt>
                <c:pt idx="1082">
                  <c:v>0</c:v>
                </c:pt>
                <c:pt idx="1083">
                  <c:v>0</c:v>
                </c:pt>
                <c:pt idx="1084">
                  <c:v>0</c:v>
                </c:pt>
                <c:pt idx="1085">
                  <c:v>1</c:v>
                </c:pt>
                <c:pt idx="1086">
                  <c:v>0</c:v>
                </c:pt>
                <c:pt idx="1087">
                  <c:v>0</c:v>
                </c:pt>
                <c:pt idx="1088">
                  <c:v>0</c:v>
                </c:pt>
                <c:pt idx="1089">
                  <c:v>0</c:v>
                </c:pt>
                <c:pt idx="1090">
                  <c:v>1</c:v>
                </c:pt>
                <c:pt idx="1091">
                  <c:v>0</c:v>
                </c:pt>
                <c:pt idx="1092">
                  <c:v>0</c:v>
                </c:pt>
                <c:pt idx="1093">
                  <c:v>1</c:v>
                </c:pt>
                <c:pt idx="1094">
                  <c:v>0</c:v>
                </c:pt>
                <c:pt idx="1095">
                  <c:v>0</c:v>
                </c:pt>
                <c:pt idx="1096">
                  <c:v>1</c:v>
                </c:pt>
                <c:pt idx="1097">
                  <c:v>0</c:v>
                </c:pt>
                <c:pt idx="1098">
                  <c:v>0</c:v>
                </c:pt>
                <c:pt idx="1099">
                  <c:v>0</c:v>
                </c:pt>
                <c:pt idx="1100">
                  <c:v>1</c:v>
                </c:pt>
                <c:pt idx="1101">
                  <c:v>0</c:v>
                </c:pt>
                <c:pt idx="1102">
                  <c:v>0</c:v>
                </c:pt>
                <c:pt idx="1103">
                  <c:v>0</c:v>
                </c:pt>
                <c:pt idx="1104">
                  <c:v>0</c:v>
                </c:pt>
                <c:pt idx="1105">
                  <c:v>0</c:v>
                </c:pt>
                <c:pt idx="1106">
                  <c:v>0</c:v>
                </c:pt>
                <c:pt idx="1107">
                  <c:v>0</c:v>
                </c:pt>
                <c:pt idx="1108">
                  <c:v>0</c:v>
                </c:pt>
                <c:pt idx="1109">
                  <c:v>0</c:v>
                </c:pt>
                <c:pt idx="1110">
                  <c:v>0</c:v>
                </c:pt>
                <c:pt idx="1111">
                  <c:v>1</c:v>
                </c:pt>
                <c:pt idx="1112">
                  <c:v>1</c:v>
                </c:pt>
                <c:pt idx="1113">
                  <c:v>0</c:v>
                </c:pt>
                <c:pt idx="1114">
                  <c:v>0</c:v>
                </c:pt>
                <c:pt idx="1115">
                  <c:v>0</c:v>
                </c:pt>
                <c:pt idx="1116">
                  <c:v>0</c:v>
                </c:pt>
                <c:pt idx="1117">
                  <c:v>1</c:v>
                </c:pt>
                <c:pt idx="1118">
                  <c:v>1</c:v>
                </c:pt>
                <c:pt idx="1119">
                  <c:v>0</c:v>
                </c:pt>
                <c:pt idx="1120">
                  <c:v>1</c:v>
                </c:pt>
                <c:pt idx="1121">
                  <c:v>0</c:v>
                </c:pt>
                <c:pt idx="1122">
                  <c:v>1</c:v>
                </c:pt>
                <c:pt idx="1123">
                  <c:v>0</c:v>
                </c:pt>
                <c:pt idx="1124">
                  <c:v>1</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1</c:v>
                </c:pt>
                <c:pt idx="1140">
                  <c:v>0</c:v>
                </c:pt>
                <c:pt idx="1141">
                  <c:v>0</c:v>
                </c:pt>
                <c:pt idx="1142">
                  <c:v>0</c:v>
                </c:pt>
                <c:pt idx="1143">
                  <c:v>0</c:v>
                </c:pt>
                <c:pt idx="1144">
                  <c:v>0</c:v>
                </c:pt>
                <c:pt idx="1145">
                  <c:v>0</c:v>
                </c:pt>
                <c:pt idx="1146">
                  <c:v>1</c:v>
                </c:pt>
                <c:pt idx="1147">
                  <c:v>0</c:v>
                </c:pt>
                <c:pt idx="1148">
                  <c:v>0</c:v>
                </c:pt>
                <c:pt idx="1149">
                  <c:v>0</c:v>
                </c:pt>
                <c:pt idx="1150">
                  <c:v>0</c:v>
                </c:pt>
                <c:pt idx="1151">
                  <c:v>0</c:v>
                </c:pt>
                <c:pt idx="1152">
                  <c:v>1</c:v>
                </c:pt>
                <c:pt idx="1153">
                  <c:v>0</c:v>
                </c:pt>
                <c:pt idx="1154">
                  <c:v>0</c:v>
                </c:pt>
                <c:pt idx="1155">
                  <c:v>0</c:v>
                </c:pt>
                <c:pt idx="1156">
                  <c:v>1</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1</c:v>
                </c:pt>
                <c:pt idx="1171">
                  <c:v>1</c:v>
                </c:pt>
                <c:pt idx="1172">
                  <c:v>0</c:v>
                </c:pt>
                <c:pt idx="1173">
                  <c:v>0</c:v>
                </c:pt>
                <c:pt idx="1174">
                  <c:v>0</c:v>
                </c:pt>
                <c:pt idx="1175">
                  <c:v>0</c:v>
                </c:pt>
                <c:pt idx="1176">
                  <c:v>1</c:v>
                </c:pt>
                <c:pt idx="1177">
                  <c:v>0</c:v>
                </c:pt>
                <c:pt idx="1178">
                  <c:v>0</c:v>
                </c:pt>
                <c:pt idx="1179">
                  <c:v>1</c:v>
                </c:pt>
                <c:pt idx="1180">
                  <c:v>0</c:v>
                </c:pt>
                <c:pt idx="1181">
                  <c:v>0</c:v>
                </c:pt>
                <c:pt idx="1182">
                  <c:v>0</c:v>
                </c:pt>
                <c:pt idx="1183">
                  <c:v>0</c:v>
                </c:pt>
                <c:pt idx="1184">
                  <c:v>1</c:v>
                </c:pt>
                <c:pt idx="1185">
                  <c:v>0</c:v>
                </c:pt>
                <c:pt idx="1186">
                  <c:v>1</c:v>
                </c:pt>
                <c:pt idx="1187">
                  <c:v>0</c:v>
                </c:pt>
                <c:pt idx="1188">
                  <c:v>1</c:v>
                </c:pt>
                <c:pt idx="1189">
                  <c:v>0</c:v>
                </c:pt>
                <c:pt idx="1190">
                  <c:v>0</c:v>
                </c:pt>
                <c:pt idx="1191">
                  <c:v>0</c:v>
                </c:pt>
                <c:pt idx="1192">
                  <c:v>0</c:v>
                </c:pt>
                <c:pt idx="1193">
                  <c:v>0</c:v>
                </c:pt>
                <c:pt idx="1194">
                  <c:v>0</c:v>
                </c:pt>
                <c:pt idx="1195">
                  <c:v>0</c:v>
                </c:pt>
                <c:pt idx="1196">
                  <c:v>1</c:v>
                </c:pt>
                <c:pt idx="1197">
                  <c:v>0</c:v>
                </c:pt>
                <c:pt idx="1198">
                  <c:v>0</c:v>
                </c:pt>
                <c:pt idx="1199">
                  <c:v>0</c:v>
                </c:pt>
                <c:pt idx="1200">
                  <c:v>0</c:v>
                </c:pt>
                <c:pt idx="1201">
                  <c:v>0</c:v>
                </c:pt>
                <c:pt idx="1202">
                  <c:v>0</c:v>
                </c:pt>
                <c:pt idx="1203">
                  <c:v>0</c:v>
                </c:pt>
                <c:pt idx="1204">
                  <c:v>1</c:v>
                </c:pt>
                <c:pt idx="1205">
                  <c:v>0</c:v>
                </c:pt>
                <c:pt idx="1206">
                  <c:v>0</c:v>
                </c:pt>
                <c:pt idx="1207">
                  <c:v>1</c:v>
                </c:pt>
                <c:pt idx="1208">
                  <c:v>1</c:v>
                </c:pt>
                <c:pt idx="1209">
                  <c:v>0</c:v>
                </c:pt>
                <c:pt idx="1210">
                  <c:v>0</c:v>
                </c:pt>
                <c:pt idx="1211">
                  <c:v>0</c:v>
                </c:pt>
                <c:pt idx="1212">
                  <c:v>0</c:v>
                </c:pt>
                <c:pt idx="1213">
                  <c:v>0</c:v>
                </c:pt>
                <c:pt idx="1214">
                  <c:v>0</c:v>
                </c:pt>
                <c:pt idx="1215">
                  <c:v>0</c:v>
                </c:pt>
                <c:pt idx="1216">
                  <c:v>0</c:v>
                </c:pt>
                <c:pt idx="1217">
                  <c:v>0</c:v>
                </c:pt>
                <c:pt idx="1218">
                  <c:v>1</c:v>
                </c:pt>
                <c:pt idx="1219">
                  <c:v>0</c:v>
                </c:pt>
                <c:pt idx="1220">
                  <c:v>0</c:v>
                </c:pt>
                <c:pt idx="1221">
                  <c:v>0</c:v>
                </c:pt>
                <c:pt idx="1222">
                  <c:v>0</c:v>
                </c:pt>
                <c:pt idx="1223">
                  <c:v>1</c:v>
                </c:pt>
                <c:pt idx="1224">
                  <c:v>0</c:v>
                </c:pt>
                <c:pt idx="1225">
                  <c:v>0</c:v>
                </c:pt>
                <c:pt idx="1226">
                  <c:v>0</c:v>
                </c:pt>
                <c:pt idx="1227">
                  <c:v>0</c:v>
                </c:pt>
                <c:pt idx="1228">
                  <c:v>0</c:v>
                </c:pt>
                <c:pt idx="1229">
                  <c:v>0</c:v>
                </c:pt>
                <c:pt idx="1230">
                  <c:v>1</c:v>
                </c:pt>
                <c:pt idx="1231">
                  <c:v>1</c:v>
                </c:pt>
                <c:pt idx="1232">
                  <c:v>0</c:v>
                </c:pt>
                <c:pt idx="1233">
                  <c:v>0</c:v>
                </c:pt>
                <c:pt idx="1234">
                  <c:v>0</c:v>
                </c:pt>
                <c:pt idx="1235">
                  <c:v>0</c:v>
                </c:pt>
                <c:pt idx="1236">
                  <c:v>0</c:v>
                </c:pt>
                <c:pt idx="1237">
                  <c:v>0</c:v>
                </c:pt>
                <c:pt idx="1238">
                  <c:v>0</c:v>
                </c:pt>
                <c:pt idx="1239">
                  <c:v>0</c:v>
                </c:pt>
                <c:pt idx="1240">
                  <c:v>1</c:v>
                </c:pt>
                <c:pt idx="1241">
                  <c:v>1</c:v>
                </c:pt>
                <c:pt idx="1242">
                  <c:v>0</c:v>
                </c:pt>
                <c:pt idx="1243">
                  <c:v>0</c:v>
                </c:pt>
                <c:pt idx="1244">
                  <c:v>0</c:v>
                </c:pt>
                <c:pt idx="1245">
                  <c:v>0</c:v>
                </c:pt>
                <c:pt idx="1246">
                  <c:v>0</c:v>
                </c:pt>
                <c:pt idx="1247">
                  <c:v>0</c:v>
                </c:pt>
                <c:pt idx="1248">
                  <c:v>0</c:v>
                </c:pt>
                <c:pt idx="1249">
                  <c:v>1</c:v>
                </c:pt>
                <c:pt idx="1250">
                  <c:v>1</c:v>
                </c:pt>
                <c:pt idx="1251">
                  <c:v>0</c:v>
                </c:pt>
                <c:pt idx="1252">
                  <c:v>1</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1</c:v>
                </c:pt>
                <c:pt idx="1266">
                  <c:v>0</c:v>
                </c:pt>
                <c:pt idx="1267">
                  <c:v>1</c:v>
                </c:pt>
                <c:pt idx="1268">
                  <c:v>0</c:v>
                </c:pt>
                <c:pt idx="1269">
                  <c:v>0</c:v>
                </c:pt>
                <c:pt idx="1270">
                  <c:v>0</c:v>
                </c:pt>
                <c:pt idx="1271">
                  <c:v>0</c:v>
                </c:pt>
                <c:pt idx="1272">
                  <c:v>0</c:v>
                </c:pt>
                <c:pt idx="1273">
                  <c:v>0</c:v>
                </c:pt>
                <c:pt idx="1274">
                  <c:v>1</c:v>
                </c:pt>
                <c:pt idx="1275">
                  <c:v>0</c:v>
                </c:pt>
                <c:pt idx="1276">
                  <c:v>0</c:v>
                </c:pt>
                <c:pt idx="1277">
                  <c:v>0</c:v>
                </c:pt>
                <c:pt idx="1278">
                  <c:v>1</c:v>
                </c:pt>
                <c:pt idx="1279">
                  <c:v>0</c:v>
                </c:pt>
                <c:pt idx="1280">
                  <c:v>0</c:v>
                </c:pt>
                <c:pt idx="1281">
                  <c:v>1</c:v>
                </c:pt>
                <c:pt idx="1282">
                  <c:v>1</c:v>
                </c:pt>
                <c:pt idx="1283">
                  <c:v>0</c:v>
                </c:pt>
                <c:pt idx="1284">
                  <c:v>1</c:v>
                </c:pt>
                <c:pt idx="1285">
                  <c:v>0</c:v>
                </c:pt>
                <c:pt idx="1286">
                  <c:v>0</c:v>
                </c:pt>
                <c:pt idx="1287">
                  <c:v>0</c:v>
                </c:pt>
                <c:pt idx="1288">
                  <c:v>1</c:v>
                </c:pt>
                <c:pt idx="1289">
                  <c:v>0</c:v>
                </c:pt>
                <c:pt idx="1290">
                  <c:v>0</c:v>
                </c:pt>
                <c:pt idx="1291">
                  <c:v>1</c:v>
                </c:pt>
                <c:pt idx="1292">
                  <c:v>0</c:v>
                </c:pt>
                <c:pt idx="1293">
                  <c:v>0</c:v>
                </c:pt>
                <c:pt idx="1294">
                  <c:v>0</c:v>
                </c:pt>
                <c:pt idx="1295">
                  <c:v>0</c:v>
                </c:pt>
                <c:pt idx="1296">
                  <c:v>0</c:v>
                </c:pt>
                <c:pt idx="1297">
                  <c:v>0</c:v>
                </c:pt>
                <c:pt idx="1298">
                  <c:v>0</c:v>
                </c:pt>
                <c:pt idx="1299">
                  <c:v>0</c:v>
                </c:pt>
                <c:pt idx="1300">
                  <c:v>1</c:v>
                </c:pt>
                <c:pt idx="1301">
                  <c:v>1</c:v>
                </c:pt>
                <c:pt idx="1302">
                  <c:v>0</c:v>
                </c:pt>
                <c:pt idx="1303">
                  <c:v>1</c:v>
                </c:pt>
                <c:pt idx="1304">
                  <c:v>1</c:v>
                </c:pt>
                <c:pt idx="1305">
                  <c:v>0</c:v>
                </c:pt>
                <c:pt idx="1306">
                  <c:v>1</c:v>
                </c:pt>
                <c:pt idx="1307">
                  <c:v>1</c:v>
                </c:pt>
                <c:pt idx="1308">
                  <c:v>1</c:v>
                </c:pt>
                <c:pt idx="1309">
                  <c:v>0</c:v>
                </c:pt>
                <c:pt idx="1310">
                  <c:v>0</c:v>
                </c:pt>
                <c:pt idx="1311">
                  <c:v>0</c:v>
                </c:pt>
                <c:pt idx="1312">
                  <c:v>0</c:v>
                </c:pt>
                <c:pt idx="1313">
                  <c:v>1</c:v>
                </c:pt>
                <c:pt idx="1314">
                  <c:v>1</c:v>
                </c:pt>
                <c:pt idx="1315">
                  <c:v>0</c:v>
                </c:pt>
                <c:pt idx="1316">
                  <c:v>0</c:v>
                </c:pt>
                <c:pt idx="1317">
                  <c:v>0</c:v>
                </c:pt>
                <c:pt idx="1318">
                  <c:v>0</c:v>
                </c:pt>
                <c:pt idx="1319">
                  <c:v>0</c:v>
                </c:pt>
                <c:pt idx="1320">
                  <c:v>0</c:v>
                </c:pt>
                <c:pt idx="1321">
                  <c:v>1</c:v>
                </c:pt>
                <c:pt idx="1322">
                  <c:v>0</c:v>
                </c:pt>
                <c:pt idx="1323">
                  <c:v>1</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1</c:v>
                </c:pt>
              </c:numCache>
            </c:numRef>
          </c:xVal>
          <c:yVal>
            <c:numRef>
              <c:f>'insurance (Clean)'!$K$2:$K$1339</c:f>
              <c:numCache>
                <c:formatCode>[$$-409]#,##0.00</c:formatCode>
                <c:ptCount val="1338"/>
                <c:pt idx="0">
                  <c:v>16884.923999999999</c:v>
                </c:pt>
                <c:pt idx="1">
                  <c:v>1725.5523000000001</c:v>
                </c:pt>
                <c:pt idx="2">
                  <c:v>4449.4620000000004</c:v>
                </c:pt>
                <c:pt idx="3">
                  <c:v>21984.470600000001</c:v>
                </c:pt>
                <c:pt idx="4">
                  <c:v>3866.8552</c:v>
                </c:pt>
                <c:pt idx="5">
                  <c:v>3756.6215999999999</c:v>
                </c:pt>
                <c:pt idx="6">
                  <c:v>8240.5895999999993</c:v>
                </c:pt>
                <c:pt idx="7">
                  <c:v>7281.5056000000004</c:v>
                </c:pt>
                <c:pt idx="8">
                  <c:v>6406.4107000000004</c:v>
                </c:pt>
                <c:pt idx="9">
                  <c:v>28923.136900000001</c:v>
                </c:pt>
                <c:pt idx="10">
                  <c:v>2721.3208</c:v>
                </c:pt>
                <c:pt idx="11">
                  <c:v>27808.7251</c:v>
                </c:pt>
                <c:pt idx="12">
                  <c:v>1826.8430000000001</c:v>
                </c:pt>
                <c:pt idx="13">
                  <c:v>11090.7178</c:v>
                </c:pt>
                <c:pt idx="14">
                  <c:v>39611.757700000002</c:v>
                </c:pt>
                <c:pt idx="15">
                  <c:v>1837.2370000000001</c:v>
                </c:pt>
                <c:pt idx="16">
                  <c:v>10797.3362</c:v>
                </c:pt>
                <c:pt idx="17">
                  <c:v>2395.1716000000001</c:v>
                </c:pt>
                <c:pt idx="18">
                  <c:v>10602.385</c:v>
                </c:pt>
                <c:pt idx="19">
                  <c:v>36837.466999999997</c:v>
                </c:pt>
                <c:pt idx="20">
                  <c:v>13228.847</c:v>
                </c:pt>
                <c:pt idx="21">
                  <c:v>4149.7359999999999</c:v>
                </c:pt>
                <c:pt idx="22">
                  <c:v>1137.011</c:v>
                </c:pt>
                <c:pt idx="23">
                  <c:v>37701.876799999998</c:v>
                </c:pt>
                <c:pt idx="24">
                  <c:v>6203.9017999999996</c:v>
                </c:pt>
                <c:pt idx="25">
                  <c:v>14001.1338</c:v>
                </c:pt>
                <c:pt idx="26">
                  <c:v>14451.8352</c:v>
                </c:pt>
                <c:pt idx="27">
                  <c:v>12268.6322</c:v>
                </c:pt>
                <c:pt idx="28">
                  <c:v>2775.1922</c:v>
                </c:pt>
                <c:pt idx="29">
                  <c:v>38711</c:v>
                </c:pt>
                <c:pt idx="30">
                  <c:v>35585.576000000001</c:v>
                </c:pt>
                <c:pt idx="31">
                  <c:v>2198.1898000000001</c:v>
                </c:pt>
                <c:pt idx="32">
                  <c:v>4687.7969999999996</c:v>
                </c:pt>
                <c:pt idx="33">
                  <c:v>13770.097900000001</c:v>
                </c:pt>
                <c:pt idx="34">
                  <c:v>51194.559099999999</c:v>
                </c:pt>
                <c:pt idx="35">
                  <c:v>1625.4338</c:v>
                </c:pt>
                <c:pt idx="36">
                  <c:v>15612.1934</c:v>
                </c:pt>
                <c:pt idx="37">
                  <c:v>2302.3000000000002</c:v>
                </c:pt>
                <c:pt idx="38">
                  <c:v>39774.276299999998</c:v>
                </c:pt>
                <c:pt idx="39">
                  <c:v>48173.360999999997</c:v>
                </c:pt>
                <c:pt idx="40">
                  <c:v>3046.0619999999999</c:v>
                </c:pt>
                <c:pt idx="41">
                  <c:v>4949.7587000000003</c:v>
                </c:pt>
                <c:pt idx="42">
                  <c:v>6272.4772000000003</c:v>
                </c:pt>
                <c:pt idx="43">
                  <c:v>6313.759</c:v>
                </c:pt>
                <c:pt idx="44">
                  <c:v>6079.6715000000004</c:v>
                </c:pt>
                <c:pt idx="45">
                  <c:v>20630.283500000001</c:v>
                </c:pt>
                <c:pt idx="46">
                  <c:v>3393.3564000000001</c:v>
                </c:pt>
                <c:pt idx="47">
                  <c:v>3556.9223000000002</c:v>
                </c:pt>
                <c:pt idx="48">
                  <c:v>12629.896699999999</c:v>
                </c:pt>
                <c:pt idx="49">
                  <c:v>38709.175999999999</c:v>
                </c:pt>
                <c:pt idx="50">
                  <c:v>2211.1307999999999</c:v>
                </c:pt>
                <c:pt idx="51">
                  <c:v>3579.8287</c:v>
                </c:pt>
                <c:pt idx="52">
                  <c:v>23568.272000000001</c:v>
                </c:pt>
                <c:pt idx="53">
                  <c:v>37742.575700000001</c:v>
                </c:pt>
                <c:pt idx="54">
                  <c:v>8059.6791000000003</c:v>
                </c:pt>
                <c:pt idx="55">
                  <c:v>47496.494400000003</c:v>
                </c:pt>
                <c:pt idx="56">
                  <c:v>13607.3688</c:v>
                </c:pt>
                <c:pt idx="57">
                  <c:v>34303.167200000004</c:v>
                </c:pt>
                <c:pt idx="58">
                  <c:v>23244.790199999999</c:v>
                </c:pt>
                <c:pt idx="59">
                  <c:v>5989.5236000000004</c:v>
                </c:pt>
                <c:pt idx="60">
                  <c:v>8606.2173999999995</c:v>
                </c:pt>
                <c:pt idx="61">
                  <c:v>4504.6624000000002</c:v>
                </c:pt>
                <c:pt idx="62">
                  <c:v>30166.618200000001</c:v>
                </c:pt>
                <c:pt idx="63">
                  <c:v>4133.6415999999999</c:v>
                </c:pt>
                <c:pt idx="64">
                  <c:v>14711.7438</c:v>
                </c:pt>
                <c:pt idx="65">
                  <c:v>1743.2139999999999</c:v>
                </c:pt>
                <c:pt idx="66">
                  <c:v>14235.072</c:v>
                </c:pt>
                <c:pt idx="67">
                  <c:v>6389.3778000000002</c:v>
                </c:pt>
                <c:pt idx="68">
                  <c:v>5920.1040999999996</c:v>
                </c:pt>
                <c:pt idx="69">
                  <c:v>17663.144199999999</c:v>
                </c:pt>
                <c:pt idx="70">
                  <c:v>16577.779500000001</c:v>
                </c:pt>
                <c:pt idx="71">
                  <c:v>6799.4579999999996</c:v>
                </c:pt>
                <c:pt idx="72">
                  <c:v>11741.726000000001</c:v>
                </c:pt>
                <c:pt idx="73">
                  <c:v>11946.625899999999</c:v>
                </c:pt>
                <c:pt idx="74">
                  <c:v>7726.8540000000003</c:v>
                </c:pt>
                <c:pt idx="75">
                  <c:v>11356.660900000001</c:v>
                </c:pt>
                <c:pt idx="76">
                  <c:v>3947.4131000000002</c:v>
                </c:pt>
                <c:pt idx="77">
                  <c:v>1532.4697000000001</c:v>
                </c:pt>
                <c:pt idx="78">
                  <c:v>2755.0210000000002</c:v>
                </c:pt>
                <c:pt idx="79">
                  <c:v>6571.0244000000002</c:v>
                </c:pt>
                <c:pt idx="80">
                  <c:v>4441.2132000000001</c:v>
                </c:pt>
                <c:pt idx="81">
                  <c:v>7935.2911999999997</c:v>
                </c:pt>
                <c:pt idx="82">
                  <c:v>37165.163800000002</c:v>
                </c:pt>
                <c:pt idx="83">
                  <c:v>11033.661700000001</c:v>
                </c:pt>
                <c:pt idx="84">
                  <c:v>39836.519</c:v>
                </c:pt>
                <c:pt idx="85">
                  <c:v>21098.554</c:v>
                </c:pt>
                <c:pt idx="86">
                  <c:v>43578.939400000003</c:v>
                </c:pt>
                <c:pt idx="87">
                  <c:v>11073.175999999999</c:v>
                </c:pt>
                <c:pt idx="88">
                  <c:v>8026.6665999999996</c:v>
                </c:pt>
                <c:pt idx="89">
                  <c:v>11082.5772</c:v>
                </c:pt>
                <c:pt idx="90">
                  <c:v>2026.9740999999999</c:v>
                </c:pt>
                <c:pt idx="91">
                  <c:v>10942.132</c:v>
                </c:pt>
                <c:pt idx="92">
                  <c:v>30184.936699999998</c:v>
                </c:pt>
                <c:pt idx="93">
                  <c:v>5729.0052999999998</c:v>
                </c:pt>
                <c:pt idx="94">
                  <c:v>47291.055</c:v>
                </c:pt>
                <c:pt idx="95">
                  <c:v>3766.8838000000001</c:v>
                </c:pt>
                <c:pt idx="96">
                  <c:v>12105.32</c:v>
                </c:pt>
                <c:pt idx="97">
                  <c:v>10226.2842</c:v>
                </c:pt>
                <c:pt idx="98">
                  <c:v>22412.648499999999</c:v>
                </c:pt>
                <c:pt idx="99">
                  <c:v>15820.699000000001</c:v>
                </c:pt>
                <c:pt idx="100">
                  <c:v>6186.1270000000004</c:v>
                </c:pt>
                <c:pt idx="101">
                  <c:v>3645.0893999999998</c:v>
                </c:pt>
                <c:pt idx="102">
                  <c:v>21344.846699999998</c:v>
                </c:pt>
                <c:pt idx="103">
                  <c:v>30942.191800000001</c:v>
                </c:pt>
                <c:pt idx="104">
                  <c:v>5003.8530000000001</c:v>
                </c:pt>
                <c:pt idx="105">
                  <c:v>17560.379799999999</c:v>
                </c:pt>
                <c:pt idx="106">
                  <c:v>2331.5189999999998</c:v>
                </c:pt>
                <c:pt idx="107">
                  <c:v>3877.3042</c:v>
                </c:pt>
                <c:pt idx="108">
                  <c:v>2867.1196</c:v>
                </c:pt>
                <c:pt idx="109">
                  <c:v>47055.532099999997</c:v>
                </c:pt>
                <c:pt idx="110">
                  <c:v>10825.253699999999</c:v>
                </c:pt>
                <c:pt idx="111">
                  <c:v>11881.358</c:v>
                </c:pt>
                <c:pt idx="112">
                  <c:v>4646.759</c:v>
                </c:pt>
                <c:pt idx="113">
                  <c:v>2404.7338</c:v>
                </c:pt>
                <c:pt idx="114">
                  <c:v>11488.316999999999</c:v>
                </c:pt>
                <c:pt idx="115">
                  <c:v>30259.995599999998</c:v>
                </c:pt>
                <c:pt idx="116">
                  <c:v>11381.3254</c:v>
                </c:pt>
                <c:pt idx="117">
                  <c:v>19107.779600000002</c:v>
                </c:pt>
                <c:pt idx="118">
                  <c:v>8601.3292999999994</c:v>
                </c:pt>
                <c:pt idx="119">
                  <c:v>6686.4313000000002</c:v>
                </c:pt>
                <c:pt idx="120">
                  <c:v>7740.3370000000004</c:v>
                </c:pt>
                <c:pt idx="121">
                  <c:v>1705.6244999999999</c:v>
                </c:pt>
                <c:pt idx="122">
                  <c:v>2257.4751999999999</c:v>
                </c:pt>
                <c:pt idx="123">
                  <c:v>39556.494500000001</c:v>
                </c:pt>
                <c:pt idx="124">
                  <c:v>10115.0088</c:v>
                </c:pt>
                <c:pt idx="125">
                  <c:v>3385.3991999999998</c:v>
                </c:pt>
                <c:pt idx="126">
                  <c:v>17081.080000000002</c:v>
                </c:pt>
                <c:pt idx="127">
                  <c:v>9634.5380000000005</c:v>
                </c:pt>
                <c:pt idx="128">
                  <c:v>32734.186300000001</c:v>
                </c:pt>
                <c:pt idx="129">
                  <c:v>6082.4049999999997</c:v>
                </c:pt>
                <c:pt idx="130">
                  <c:v>12815.445</c:v>
                </c:pt>
                <c:pt idx="131">
                  <c:v>13616.3586</c:v>
                </c:pt>
                <c:pt idx="132">
                  <c:v>11163.567999999999</c:v>
                </c:pt>
                <c:pt idx="133">
                  <c:v>1632.5644</c:v>
                </c:pt>
                <c:pt idx="134">
                  <c:v>2457.2112000000002</c:v>
                </c:pt>
                <c:pt idx="135">
                  <c:v>2155.6815000000001</c:v>
                </c:pt>
                <c:pt idx="136">
                  <c:v>1261.442</c:v>
                </c:pt>
                <c:pt idx="137">
                  <c:v>2045.6851999999999</c:v>
                </c:pt>
                <c:pt idx="138">
                  <c:v>27322.733899999999</c:v>
                </c:pt>
                <c:pt idx="139">
                  <c:v>2166.732</c:v>
                </c:pt>
                <c:pt idx="140">
                  <c:v>27375.9048</c:v>
                </c:pt>
                <c:pt idx="141">
                  <c:v>3490.5491000000002</c:v>
                </c:pt>
                <c:pt idx="142">
                  <c:v>18972.494999999999</c:v>
                </c:pt>
                <c:pt idx="143">
                  <c:v>18157.876</c:v>
                </c:pt>
                <c:pt idx="144">
                  <c:v>20745.989099999999</c:v>
                </c:pt>
                <c:pt idx="145">
                  <c:v>5138.2566999999999</c:v>
                </c:pt>
                <c:pt idx="146">
                  <c:v>40720.550999999999</c:v>
                </c:pt>
                <c:pt idx="147">
                  <c:v>9877.6077000000005</c:v>
                </c:pt>
                <c:pt idx="148">
                  <c:v>10959.6947</c:v>
                </c:pt>
                <c:pt idx="149">
                  <c:v>1842.519</c:v>
                </c:pt>
                <c:pt idx="150">
                  <c:v>5125.2156999999997</c:v>
                </c:pt>
                <c:pt idx="151">
                  <c:v>7789.6350000000002</c:v>
                </c:pt>
                <c:pt idx="152">
                  <c:v>6334.3436000000002</c:v>
                </c:pt>
                <c:pt idx="153">
                  <c:v>19964.746299999999</c:v>
                </c:pt>
                <c:pt idx="154">
                  <c:v>7077.1894000000002</c:v>
                </c:pt>
                <c:pt idx="155">
                  <c:v>6948.7007999999996</c:v>
                </c:pt>
                <c:pt idx="156">
                  <c:v>21223.675800000001</c:v>
                </c:pt>
                <c:pt idx="157">
                  <c:v>15518.180200000001</c:v>
                </c:pt>
                <c:pt idx="158">
                  <c:v>36950.256699999998</c:v>
                </c:pt>
                <c:pt idx="159">
                  <c:v>19749.383399999999</c:v>
                </c:pt>
                <c:pt idx="160">
                  <c:v>21348.705999999998</c:v>
                </c:pt>
                <c:pt idx="161">
                  <c:v>36149.483500000002</c:v>
                </c:pt>
                <c:pt idx="162">
                  <c:v>10450.552</c:v>
                </c:pt>
                <c:pt idx="163">
                  <c:v>5152.134</c:v>
                </c:pt>
                <c:pt idx="164">
                  <c:v>5028.1466</c:v>
                </c:pt>
                <c:pt idx="165">
                  <c:v>10407.085800000001</c:v>
                </c:pt>
                <c:pt idx="166">
                  <c:v>4830.63</c:v>
                </c:pt>
                <c:pt idx="167">
                  <c:v>6128.7974000000004</c:v>
                </c:pt>
                <c:pt idx="168">
                  <c:v>2719.2797999999998</c:v>
                </c:pt>
                <c:pt idx="169">
                  <c:v>4827.9049999999997</c:v>
                </c:pt>
                <c:pt idx="170">
                  <c:v>13405.390299999999</c:v>
                </c:pt>
                <c:pt idx="171">
                  <c:v>8116.68</c:v>
                </c:pt>
                <c:pt idx="172">
                  <c:v>1694.7963999999999</c:v>
                </c:pt>
                <c:pt idx="173">
                  <c:v>5246.0469999999996</c:v>
                </c:pt>
                <c:pt idx="174">
                  <c:v>2855.4376000000002</c:v>
                </c:pt>
                <c:pt idx="175">
                  <c:v>48824.45</c:v>
                </c:pt>
                <c:pt idx="176">
                  <c:v>6455.8626000000004</c:v>
                </c:pt>
                <c:pt idx="177">
                  <c:v>10436.096</c:v>
                </c:pt>
                <c:pt idx="178">
                  <c:v>8823.2790000000005</c:v>
                </c:pt>
                <c:pt idx="179">
                  <c:v>8538.2883999999995</c:v>
                </c:pt>
                <c:pt idx="180">
                  <c:v>11735.879000000001</c:v>
                </c:pt>
                <c:pt idx="181">
                  <c:v>1631.8212000000001</c:v>
                </c:pt>
                <c:pt idx="182">
                  <c:v>4005.4225000000001</c:v>
                </c:pt>
                <c:pt idx="183">
                  <c:v>7419.4778999999999</c:v>
                </c:pt>
                <c:pt idx="184">
                  <c:v>7731.4270999999999</c:v>
                </c:pt>
                <c:pt idx="185">
                  <c:v>43753.337</c:v>
                </c:pt>
                <c:pt idx="186">
                  <c:v>3981.9767999999999</c:v>
                </c:pt>
                <c:pt idx="187">
                  <c:v>5325.6509999999998</c:v>
                </c:pt>
                <c:pt idx="188">
                  <c:v>6775.9610000000002</c:v>
                </c:pt>
                <c:pt idx="189">
                  <c:v>4922.9159</c:v>
                </c:pt>
                <c:pt idx="190">
                  <c:v>12557.605299999999</c:v>
                </c:pt>
                <c:pt idx="191">
                  <c:v>4883.866</c:v>
                </c:pt>
                <c:pt idx="192">
                  <c:v>2137.6536000000001</c:v>
                </c:pt>
                <c:pt idx="193">
                  <c:v>12044.342000000001</c:v>
                </c:pt>
                <c:pt idx="194">
                  <c:v>1137.4697000000001</c:v>
                </c:pt>
                <c:pt idx="195">
                  <c:v>1639.5631000000001</c:v>
                </c:pt>
                <c:pt idx="196">
                  <c:v>5649.7150000000001</c:v>
                </c:pt>
                <c:pt idx="197">
                  <c:v>8516.8289999999997</c:v>
                </c:pt>
                <c:pt idx="198">
                  <c:v>9644.2525000000005</c:v>
                </c:pt>
                <c:pt idx="199">
                  <c:v>14901.5167</c:v>
                </c:pt>
                <c:pt idx="200">
                  <c:v>2130.6759000000002</c:v>
                </c:pt>
                <c:pt idx="201">
                  <c:v>8871.1517000000003</c:v>
                </c:pt>
                <c:pt idx="202">
                  <c:v>13012.2086</c:v>
                </c:pt>
                <c:pt idx="203">
                  <c:v>37133.898200000003</c:v>
                </c:pt>
                <c:pt idx="204">
                  <c:v>7147.1049999999996</c:v>
                </c:pt>
                <c:pt idx="205">
                  <c:v>4337.7352000000001</c:v>
                </c:pt>
                <c:pt idx="206">
                  <c:v>11743.299000000001</c:v>
                </c:pt>
                <c:pt idx="207">
                  <c:v>20984.0936</c:v>
                </c:pt>
                <c:pt idx="208">
                  <c:v>13880.949000000001</c:v>
                </c:pt>
                <c:pt idx="209">
                  <c:v>6610.1097</c:v>
                </c:pt>
                <c:pt idx="210">
                  <c:v>1980.07</c:v>
                </c:pt>
                <c:pt idx="211">
                  <c:v>8162.7161999999998</c:v>
                </c:pt>
                <c:pt idx="212">
                  <c:v>3537.703</c:v>
                </c:pt>
                <c:pt idx="213">
                  <c:v>5002.7826999999997</c:v>
                </c:pt>
                <c:pt idx="214">
                  <c:v>8520.0259999999998</c:v>
                </c:pt>
                <c:pt idx="215">
                  <c:v>7371.7719999999999</c:v>
                </c:pt>
                <c:pt idx="216">
                  <c:v>10355.641</c:v>
                </c:pt>
                <c:pt idx="217">
                  <c:v>2483.7359999999999</c:v>
                </c:pt>
                <c:pt idx="218">
                  <c:v>3392.9767999999999</c:v>
                </c:pt>
                <c:pt idx="219">
                  <c:v>25081.767800000001</c:v>
                </c:pt>
                <c:pt idx="220">
                  <c:v>5012.4709999999995</c:v>
                </c:pt>
                <c:pt idx="221">
                  <c:v>10564.8845</c:v>
                </c:pt>
                <c:pt idx="222">
                  <c:v>5253.5240000000003</c:v>
                </c:pt>
                <c:pt idx="223">
                  <c:v>34779.614999999998</c:v>
                </c:pt>
                <c:pt idx="224">
                  <c:v>19515.5416</c:v>
                </c:pt>
                <c:pt idx="225">
                  <c:v>11987.1682</c:v>
                </c:pt>
                <c:pt idx="226">
                  <c:v>2689.4953999999998</c:v>
                </c:pt>
                <c:pt idx="227">
                  <c:v>24227.337200000002</c:v>
                </c:pt>
                <c:pt idx="228">
                  <c:v>7358.1755999999996</c:v>
                </c:pt>
                <c:pt idx="229">
                  <c:v>9225.2564000000002</c:v>
                </c:pt>
                <c:pt idx="230">
                  <c:v>7443.643</c:v>
                </c:pt>
                <c:pt idx="231">
                  <c:v>14001.286700000001</c:v>
                </c:pt>
                <c:pt idx="232">
                  <c:v>1727.7850000000001</c:v>
                </c:pt>
                <c:pt idx="233">
                  <c:v>12333.828</c:v>
                </c:pt>
                <c:pt idx="234">
                  <c:v>6710.1918999999998</c:v>
                </c:pt>
                <c:pt idx="235">
                  <c:v>19444.265800000001</c:v>
                </c:pt>
                <c:pt idx="236">
                  <c:v>1615.7666999999999</c:v>
                </c:pt>
                <c:pt idx="237">
                  <c:v>4463.2051000000001</c:v>
                </c:pt>
                <c:pt idx="238">
                  <c:v>17352.6803</c:v>
                </c:pt>
                <c:pt idx="239">
                  <c:v>7152.6714000000002</c:v>
                </c:pt>
                <c:pt idx="240">
                  <c:v>38511.628299999997</c:v>
                </c:pt>
                <c:pt idx="241">
                  <c:v>5354.0745999999999</c:v>
                </c:pt>
                <c:pt idx="242">
                  <c:v>35160.134599999998</c:v>
                </c:pt>
                <c:pt idx="243">
                  <c:v>7196.8670000000002</c:v>
                </c:pt>
                <c:pt idx="244">
                  <c:v>29523.1656</c:v>
                </c:pt>
                <c:pt idx="245">
                  <c:v>24476.478500000001</c:v>
                </c:pt>
                <c:pt idx="246">
                  <c:v>12648.7034</c:v>
                </c:pt>
                <c:pt idx="247">
                  <c:v>1986.9333999999999</c:v>
                </c:pt>
                <c:pt idx="248">
                  <c:v>1832.0940000000001</c:v>
                </c:pt>
                <c:pt idx="249">
                  <c:v>4040.5581999999999</c:v>
                </c:pt>
                <c:pt idx="250">
                  <c:v>12829.455099999999</c:v>
                </c:pt>
                <c:pt idx="251">
                  <c:v>47305.305</c:v>
                </c:pt>
                <c:pt idx="252">
                  <c:v>44260.749900000003</c:v>
                </c:pt>
                <c:pt idx="253">
                  <c:v>4260.7439999999997</c:v>
                </c:pt>
                <c:pt idx="254">
                  <c:v>41097.161800000002</c:v>
                </c:pt>
                <c:pt idx="255">
                  <c:v>13047.332399999999</c:v>
                </c:pt>
                <c:pt idx="256">
                  <c:v>43921.183700000001</c:v>
                </c:pt>
                <c:pt idx="257">
                  <c:v>5400.9804999999997</c:v>
                </c:pt>
                <c:pt idx="258">
                  <c:v>11520.0998</c:v>
                </c:pt>
                <c:pt idx="259">
                  <c:v>33750.291799999999</c:v>
                </c:pt>
                <c:pt idx="260">
                  <c:v>11837.16</c:v>
                </c:pt>
                <c:pt idx="261">
                  <c:v>17085.267599999999</c:v>
                </c:pt>
                <c:pt idx="262">
                  <c:v>24869.836800000001</c:v>
                </c:pt>
                <c:pt idx="263">
                  <c:v>36219.405400000003</c:v>
                </c:pt>
                <c:pt idx="264">
                  <c:v>20462.9977</c:v>
                </c:pt>
                <c:pt idx="265">
                  <c:v>46151.124499999998</c:v>
                </c:pt>
                <c:pt idx="266">
                  <c:v>17179.522000000001</c:v>
                </c:pt>
                <c:pt idx="267">
                  <c:v>14590.632</c:v>
                </c:pt>
                <c:pt idx="268">
                  <c:v>7441.0529999999999</c:v>
                </c:pt>
                <c:pt idx="269">
                  <c:v>9282.4806000000008</c:v>
                </c:pt>
                <c:pt idx="270">
                  <c:v>1719.4363000000001</c:v>
                </c:pt>
                <c:pt idx="271">
                  <c:v>42856.838000000003</c:v>
                </c:pt>
                <c:pt idx="272">
                  <c:v>7265.7025000000003</c:v>
                </c:pt>
                <c:pt idx="273">
                  <c:v>9617.6623999999993</c:v>
                </c:pt>
                <c:pt idx="274">
                  <c:v>2523.1695</c:v>
                </c:pt>
                <c:pt idx="275">
                  <c:v>9715.8410000000003</c:v>
                </c:pt>
                <c:pt idx="276">
                  <c:v>2803.6977999999999</c:v>
                </c:pt>
                <c:pt idx="277">
                  <c:v>2150.4690000000001</c:v>
                </c:pt>
                <c:pt idx="278">
                  <c:v>12928.7911</c:v>
                </c:pt>
                <c:pt idx="279">
                  <c:v>9855.1314000000002</c:v>
                </c:pt>
                <c:pt idx="280">
                  <c:v>22331.566800000001</c:v>
                </c:pt>
                <c:pt idx="281">
                  <c:v>48549.178399999997</c:v>
                </c:pt>
                <c:pt idx="282">
                  <c:v>4237.1265999999996</c:v>
                </c:pt>
                <c:pt idx="283">
                  <c:v>11879.103999999999</c:v>
                </c:pt>
                <c:pt idx="284">
                  <c:v>9625.92</c:v>
                </c:pt>
                <c:pt idx="285">
                  <c:v>7742.1098000000002</c:v>
                </c:pt>
                <c:pt idx="286">
                  <c:v>9432.9253000000008</c:v>
                </c:pt>
                <c:pt idx="287">
                  <c:v>14256.192800000001</c:v>
                </c:pt>
                <c:pt idx="288">
                  <c:v>47896.791400000002</c:v>
                </c:pt>
                <c:pt idx="289">
                  <c:v>25992.821</c:v>
                </c:pt>
                <c:pt idx="290">
                  <c:v>3172.018</c:v>
                </c:pt>
                <c:pt idx="291">
                  <c:v>20277.807499999999</c:v>
                </c:pt>
                <c:pt idx="292">
                  <c:v>42112.2356</c:v>
                </c:pt>
                <c:pt idx="293">
                  <c:v>2156.7518</c:v>
                </c:pt>
                <c:pt idx="294">
                  <c:v>3906.127</c:v>
                </c:pt>
                <c:pt idx="295">
                  <c:v>1704.5681</c:v>
                </c:pt>
                <c:pt idx="296">
                  <c:v>16297.846</c:v>
                </c:pt>
                <c:pt idx="297">
                  <c:v>21978.676899999999</c:v>
                </c:pt>
                <c:pt idx="298">
                  <c:v>38746.355100000001</c:v>
                </c:pt>
                <c:pt idx="299">
                  <c:v>9249.4951999999994</c:v>
                </c:pt>
                <c:pt idx="300">
                  <c:v>6746.7425000000003</c:v>
                </c:pt>
                <c:pt idx="301">
                  <c:v>24873.384900000001</c:v>
                </c:pt>
                <c:pt idx="302">
                  <c:v>12265.5069</c:v>
                </c:pt>
                <c:pt idx="303">
                  <c:v>4349.4620000000004</c:v>
                </c:pt>
                <c:pt idx="304">
                  <c:v>12646.207</c:v>
                </c:pt>
                <c:pt idx="305">
                  <c:v>19442.353500000001</c:v>
                </c:pt>
                <c:pt idx="306">
                  <c:v>20177.6711</c:v>
                </c:pt>
                <c:pt idx="307">
                  <c:v>4151.0286999999998</c:v>
                </c:pt>
                <c:pt idx="308">
                  <c:v>11944.5944</c:v>
                </c:pt>
                <c:pt idx="309">
                  <c:v>7749.1563999999998</c:v>
                </c:pt>
                <c:pt idx="310">
                  <c:v>8444.4740000000002</c:v>
                </c:pt>
                <c:pt idx="311">
                  <c:v>1737.376</c:v>
                </c:pt>
                <c:pt idx="312">
                  <c:v>42124.515299999999</c:v>
                </c:pt>
                <c:pt idx="313">
                  <c:v>8124.4084000000003</c:v>
                </c:pt>
                <c:pt idx="314">
                  <c:v>34838.873</c:v>
                </c:pt>
                <c:pt idx="315">
                  <c:v>9722.7695000000003</c:v>
                </c:pt>
                <c:pt idx="316">
                  <c:v>8835.2649999999994</c:v>
                </c:pt>
                <c:pt idx="317">
                  <c:v>10435.065199999999</c:v>
                </c:pt>
                <c:pt idx="318">
                  <c:v>7421.1945999999998</c:v>
                </c:pt>
                <c:pt idx="319">
                  <c:v>4667.6076000000003</c:v>
                </c:pt>
                <c:pt idx="320">
                  <c:v>4894.7533000000003</c:v>
                </c:pt>
                <c:pt idx="321">
                  <c:v>24671.6633</c:v>
                </c:pt>
                <c:pt idx="322">
                  <c:v>35491.64</c:v>
                </c:pt>
                <c:pt idx="323">
                  <c:v>11566.3006</c:v>
                </c:pt>
                <c:pt idx="324">
                  <c:v>2866.0909999999999</c:v>
                </c:pt>
                <c:pt idx="325">
                  <c:v>6600.2060000000001</c:v>
                </c:pt>
                <c:pt idx="326">
                  <c:v>3561.8888999999999</c:v>
                </c:pt>
                <c:pt idx="327">
                  <c:v>42760.502200000003</c:v>
                </c:pt>
                <c:pt idx="328">
                  <c:v>47928.03</c:v>
                </c:pt>
                <c:pt idx="329">
                  <c:v>9144.5650000000005</c:v>
                </c:pt>
                <c:pt idx="330">
                  <c:v>48517.563199999997</c:v>
                </c:pt>
                <c:pt idx="331">
                  <c:v>24393.6224</c:v>
                </c:pt>
                <c:pt idx="332">
                  <c:v>13429.035400000001</c:v>
                </c:pt>
                <c:pt idx="333">
                  <c:v>11658.379199999999</c:v>
                </c:pt>
                <c:pt idx="334">
                  <c:v>19144.576499999999</c:v>
                </c:pt>
                <c:pt idx="335">
                  <c:v>13822.803</c:v>
                </c:pt>
                <c:pt idx="336">
                  <c:v>12142.578600000001</c:v>
                </c:pt>
                <c:pt idx="337">
                  <c:v>13937.666499999999</c:v>
                </c:pt>
                <c:pt idx="338">
                  <c:v>41919.097000000002</c:v>
                </c:pt>
                <c:pt idx="339">
                  <c:v>8232.6388000000006</c:v>
                </c:pt>
                <c:pt idx="340">
                  <c:v>18955.2202</c:v>
                </c:pt>
                <c:pt idx="341">
                  <c:v>13352.0998</c:v>
                </c:pt>
                <c:pt idx="342">
                  <c:v>13217.094499999999</c:v>
                </c:pt>
                <c:pt idx="343">
                  <c:v>13981.850399999999</c:v>
                </c:pt>
                <c:pt idx="344">
                  <c:v>10977.2063</c:v>
                </c:pt>
                <c:pt idx="345">
                  <c:v>6184.2993999999999</c:v>
                </c:pt>
                <c:pt idx="346">
                  <c:v>4889.9994999999999</c:v>
                </c:pt>
                <c:pt idx="347">
                  <c:v>8334.4575999999997</c:v>
                </c:pt>
                <c:pt idx="348">
                  <c:v>5478.0367999999999</c:v>
                </c:pt>
                <c:pt idx="349">
                  <c:v>1635.7336</c:v>
                </c:pt>
                <c:pt idx="350">
                  <c:v>11830.6072</c:v>
                </c:pt>
                <c:pt idx="351">
                  <c:v>8932.0840000000007</c:v>
                </c:pt>
                <c:pt idx="352">
                  <c:v>3554.203</c:v>
                </c:pt>
                <c:pt idx="353">
                  <c:v>12404.8791</c:v>
                </c:pt>
                <c:pt idx="354">
                  <c:v>14133.0378</c:v>
                </c:pt>
                <c:pt idx="355">
                  <c:v>24603.0484</c:v>
                </c:pt>
                <c:pt idx="356">
                  <c:v>8944.1151000000009</c:v>
                </c:pt>
                <c:pt idx="357">
                  <c:v>9620.3307000000004</c:v>
                </c:pt>
                <c:pt idx="358">
                  <c:v>1837.2819</c:v>
                </c:pt>
                <c:pt idx="359">
                  <c:v>1607.5101</c:v>
                </c:pt>
                <c:pt idx="360">
                  <c:v>10043.249</c:v>
                </c:pt>
                <c:pt idx="361">
                  <c:v>4751.07</c:v>
                </c:pt>
                <c:pt idx="362">
                  <c:v>13844.505999999999</c:v>
                </c:pt>
                <c:pt idx="363">
                  <c:v>2597.779</c:v>
                </c:pt>
                <c:pt idx="364">
                  <c:v>3180.5101</c:v>
                </c:pt>
                <c:pt idx="365">
                  <c:v>9778.3472000000002</c:v>
                </c:pt>
                <c:pt idx="366">
                  <c:v>13430.264999999999</c:v>
                </c:pt>
                <c:pt idx="367">
                  <c:v>8017.0612000000001</c:v>
                </c:pt>
                <c:pt idx="368">
                  <c:v>8116.2687999999998</c:v>
                </c:pt>
                <c:pt idx="369">
                  <c:v>3481.8679999999999</c:v>
                </c:pt>
                <c:pt idx="370">
                  <c:v>13415.0381</c:v>
                </c:pt>
                <c:pt idx="371">
                  <c:v>12029.286700000001</c:v>
                </c:pt>
                <c:pt idx="372">
                  <c:v>7639.4174000000003</c:v>
                </c:pt>
                <c:pt idx="373">
                  <c:v>36085.218999999997</c:v>
                </c:pt>
                <c:pt idx="374">
                  <c:v>1391.5287000000001</c:v>
                </c:pt>
                <c:pt idx="375">
                  <c:v>18033.9679</c:v>
                </c:pt>
                <c:pt idx="376">
                  <c:v>21659.930100000001</c:v>
                </c:pt>
                <c:pt idx="377">
                  <c:v>38126.246500000001</c:v>
                </c:pt>
                <c:pt idx="378">
                  <c:v>16455.7078</c:v>
                </c:pt>
                <c:pt idx="379">
                  <c:v>27000.984700000001</c:v>
                </c:pt>
                <c:pt idx="380">
                  <c:v>15006.579400000001</c:v>
                </c:pt>
                <c:pt idx="381">
                  <c:v>42303.692199999998</c:v>
                </c:pt>
                <c:pt idx="382">
                  <c:v>20781.4889</c:v>
                </c:pt>
                <c:pt idx="383">
                  <c:v>5846.9175999999998</c:v>
                </c:pt>
                <c:pt idx="384">
                  <c:v>8302.5355999999992</c:v>
                </c:pt>
                <c:pt idx="385">
                  <c:v>1261.8589999999999</c:v>
                </c:pt>
                <c:pt idx="386">
                  <c:v>11856.4115</c:v>
                </c:pt>
                <c:pt idx="387">
                  <c:v>30284.642899999999</c:v>
                </c:pt>
                <c:pt idx="388">
                  <c:v>3176.8159000000001</c:v>
                </c:pt>
                <c:pt idx="389">
                  <c:v>4618.0798999999997</c:v>
                </c:pt>
                <c:pt idx="390">
                  <c:v>10736.870800000001</c:v>
                </c:pt>
                <c:pt idx="391">
                  <c:v>2138.0707000000002</c:v>
                </c:pt>
                <c:pt idx="392">
                  <c:v>8964.0606000000007</c:v>
                </c:pt>
                <c:pt idx="393">
                  <c:v>9290.1394999999993</c:v>
                </c:pt>
                <c:pt idx="394">
                  <c:v>9411.0049999999992</c:v>
                </c:pt>
                <c:pt idx="395">
                  <c:v>7526.7064</c:v>
                </c:pt>
                <c:pt idx="396">
                  <c:v>8522.0030000000006</c:v>
                </c:pt>
                <c:pt idx="397">
                  <c:v>16586.4977</c:v>
                </c:pt>
                <c:pt idx="398">
                  <c:v>14988.432000000001</c:v>
                </c:pt>
                <c:pt idx="399">
                  <c:v>1631.6683</c:v>
                </c:pt>
                <c:pt idx="400">
                  <c:v>9264.7970000000005</c:v>
                </c:pt>
                <c:pt idx="401">
                  <c:v>8083.9197999999997</c:v>
                </c:pt>
                <c:pt idx="402">
                  <c:v>14692.669400000001</c:v>
                </c:pt>
                <c:pt idx="403">
                  <c:v>10269.459999999999</c:v>
                </c:pt>
                <c:pt idx="404">
                  <c:v>3260.1990000000001</c:v>
                </c:pt>
                <c:pt idx="405">
                  <c:v>11396.9002</c:v>
                </c:pt>
                <c:pt idx="406">
                  <c:v>4185.0978999999998</c:v>
                </c:pt>
                <c:pt idx="407">
                  <c:v>8539.6710000000003</c:v>
                </c:pt>
                <c:pt idx="408">
                  <c:v>6652.5288</c:v>
                </c:pt>
                <c:pt idx="409">
                  <c:v>4074.4537</c:v>
                </c:pt>
                <c:pt idx="410">
                  <c:v>1621.3402000000001</c:v>
                </c:pt>
                <c:pt idx="411">
                  <c:v>19594.809600000001</c:v>
                </c:pt>
                <c:pt idx="412">
                  <c:v>14455.644</c:v>
                </c:pt>
                <c:pt idx="413">
                  <c:v>5080.0959999999995</c:v>
                </c:pt>
                <c:pt idx="414">
                  <c:v>2134.9014999999999</c:v>
                </c:pt>
                <c:pt idx="415">
                  <c:v>7345.7266</c:v>
                </c:pt>
                <c:pt idx="416">
                  <c:v>9140.9509999999991</c:v>
                </c:pt>
                <c:pt idx="417">
                  <c:v>18608.261999999999</c:v>
                </c:pt>
                <c:pt idx="418">
                  <c:v>14418.2804</c:v>
                </c:pt>
                <c:pt idx="419">
                  <c:v>28950.4692</c:v>
                </c:pt>
                <c:pt idx="420">
                  <c:v>46889.261200000001</c:v>
                </c:pt>
                <c:pt idx="421">
                  <c:v>46599.108399999997</c:v>
                </c:pt>
                <c:pt idx="422">
                  <c:v>39125.332199999997</c:v>
                </c:pt>
                <c:pt idx="423">
                  <c:v>2727.3951000000002</c:v>
                </c:pt>
                <c:pt idx="424">
                  <c:v>8968.33</c:v>
                </c:pt>
                <c:pt idx="425">
                  <c:v>9788.8659000000007</c:v>
                </c:pt>
                <c:pt idx="426">
                  <c:v>6555.0703999999996</c:v>
                </c:pt>
                <c:pt idx="427">
                  <c:v>7323.7348000000002</c:v>
                </c:pt>
                <c:pt idx="428">
                  <c:v>3167.4558000000002</c:v>
                </c:pt>
                <c:pt idx="429">
                  <c:v>18804.752400000001</c:v>
                </c:pt>
                <c:pt idx="430">
                  <c:v>23082.955300000001</c:v>
                </c:pt>
                <c:pt idx="431">
                  <c:v>4906.4096</c:v>
                </c:pt>
                <c:pt idx="432">
                  <c:v>5969.723</c:v>
                </c:pt>
                <c:pt idx="433">
                  <c:v>12638.195</c:v>
                </c:pt>
                <c:pt idx="434">
                  <c:v>4243.59</c:v>
                </c:pt>
                <c:pt idx="435">
                  <c:v>13919.822899999999</c:v>
                </c:pt>
                <c:pt idx="436">
                  <c:v>2254.7966999999999</c:v>
                </c:pt>
                <c:pt idx="437">
                  <c:v>5926.8459999999995</c:v>
                </c:pt>
                <c:pt idx="438">
                  <c:v>12592.5345</c:v>
                </c:pt>
                <c:pt idx="439">
                  <c:v>2897.3235</c:v>
                </c:pt>
                <c:pt idx="440">
                  <c:v>4738.2682000000004</c:v>
                </c:pt>
                <c:pt idx="441">
                  <c:v>37079.372000000003</c:v>
                </c:pt>
                <c:pt idx="442">
                  <c:v>1149.3959</c:v>
                </c:pt>
                <c:pt idx="443">
                  <c:v>28287.897700000001</c:v>
                </c:pt>
                <c:pt idx="444">
                  <c:v>26109.329000000002</c:v>
                </c:pt>
                <c:pt idx="445">
                  <c:v>7345.0839999999998</c:v>
                </c:pt>
                <c:pt idx="446">
                  <c:v>12730.999599999999</c:v>
                </c:pt>
                <c:pt idx="447">
                  <c:v>11454.021500000001</c:v>
                </c:pt>
                <c:pt idx="448">
                  <c:v>5910.9440000000004</c:v>
                </c:pt>
                <c:pt idx="449">
                  <c:v>4762.3289999999997</c:v>
                </c:pt>
                <c:pt idx="450">
                  <c:v>7512.2669999999998</c:v>
                </c:pt>
                <c:pt idx="451">
                  <c:v>4032.2406999999998</c:v>
                </c:pt>
                <c:pt idx="452">
                  <c:v>1969.614</c:v>
                </c:pt>
                <c:pt idx="453">
                  <c:v>1769.5316</c:v>
                </c:pt>
                <c:pt idx="454">
                  <c:v>4686.3887000000004</c:v>
                </c:pt>
                <c:pt idx="455">
                  <c:v>21797.000400000001</c:v>
                </c:pt>
                <c:pt idx="456">
                  <c:v>11881.9696</c:v>
                </c:pt>
                <c:pt idx="457">
                  <c:v>11840.775</c:v>
                </c:pt>
                <c:pt idx="458">
                  <c:v>10601.412</c:v>
                </c:pt>
                <c:pt idx="459">
                  <c:v>7682.67</c:v>
                </c:pt>
                <c:pt idx="460">
                  <c:v>10381.4787</c:v>
                </c:pt>
                <c:pt idx="461">
                  <c:v>22144.031999999999</c:v>
                </c:pt>
                <c:pt idx="462">
                  <c:v>15230.324000000001</c:v>
                </c:pt>
                <c:pt idx="463">
                  <c:v>11165.417600000001</c:v>
                </c:pt>
                <c:pt idx="464">
                  <c:v>1632.0362</c:v>
                </c:pt>
                <c:pt idx="465">
                  <c:v>19521.968199999999</c:v>
                </c:pt>
                <c:pt idx="466">
                  <c:v>13224.692999999999</c:v>
                </c:pt>
                <c:pt idx="467">
                  <c:v>12643.3778</c:v>
                </c:pt>
                <c:pt idx="468">
                  <c:v>23288.928400000001</c:v>
                </c:pt>
                <c:pt idx="469">
                  <c:v>2201.0971</c:v>
                </c:pt>
                <c:pt idx="470">
                  <c:v>2497.0383000000002</c:v>
                </c:pt>
                <c:pt idx="471">
                  <c:v>2203.4717999999998</c:v>
                </c:pt>
                <c:pt idx="472">
                  <c:v>1744.4649999999999</c:v>
                </c:pt>
                <c:pt idx="473">
                  <c:v>20878.7844</c:v>
                </c:pt>
                <c:pt idx="474">
                  <c:v>25382.296999999999</c:v>
                </c:pt>
                <c:pt idx="475">
                  <c:v>28868.6639</c:v>
                </c:pt>
                <c:pt idx="476">
                  <c:v>35147.5285</c:v>
                </c:pt>
                <c:pt idx="477">
                  <c:v>2534.3937999999998</c:v>
                </c:pt>
                <c:pt idx="478">
                  <c:v>1534.3045</c:v>
                </c:pt>
                <c:pt idx="479">
                  <c:v>1824.2854</c:v>
                </c:pt>
                <c:pt idx="480">
                  <c:v>15555.1888</c:v>
                </c:pt>
                <c:pt idx="481">
                  <c:v>9304.7019</c:v>
                </c:pt>
                <c:pt idx="482">
                  <c:v>1622.1885</c:v>
                </c:pt>
                <c:pt idx="483">
                  <c:v>9880.0679999999993</c:v>
                </c:pt>
                <c:pt idx="484">
                  <c:v>9563.0290000000005</c:v>
                </c:pt>
                <c:pt idx="485">
                  <c:v>4347.0234</c:v>
                </c:pt>
                <c:pt idx="486">
                  <c:v>12475.3513</c:v>
                </c:pt>
                <c:pt idx="487">
                  <c:v>1253.9359999999999</c:v>
                </c:pt>
                <c:pt idx="488">
                  <c:v>48885.135600000001</c:v>
                </c:pt>
                <c:pt idx="489">
                  <c:v>10461.9794</c:v>
                </c:pt>
                <c:pt idx="490">
                  <c:v>1748.7739999999999</c:v>
                </c:pt>
                <c:pt idx="491">
                  <c:v>24513.0913</c:v>
                </c:pt>
                <c:pt idx="492">
                  <c:v>2196.4731999999999</c:v>
                </c:pt>
                <c:pt idx="493">
                  <c:v>12574.049000000001</c:v>
                </c:pt>
                <c:pt idx="494">
                  <c:v>17942.106</c:v>
                </c:pt>
                <c:pt idx="495">
                  <c:v>1967.0227</c:v>
                </c:pt>
                <c:pt idx="496">
                  <c:v>4931.6469999999999</c:v>
                </c:pt>
                <c:pt idx="497">
                  <c:v>8027.9679999999998</c:v>
                </c:pt>
                <c:pt idx="498">
                  <c:v>8211.1002000000008</c:v>
                </c:pt>
                <c:pt idx="499">
                  <c:v>13470.86</c:v>
                </c:pt>
                <c:pt idx="500">
                  <c:v>36197.699000000001</c:v>
                </c:pt>
                <c:pt idx="501">
                  <c:v>6837.3687</c:v>
                </c:pt>
                <c:pt idx="502">
                  <c:v>22218.1149</c:v>
                </c:pt>
                <c:pt idx="503">
                  <c:v>32548.340499999998</c:v>
                </c:pt>
                <c:pt idx="504">
                  <c:v>5974.3846999999996</c:v>
                </c:pt>
                <c:pt idx="505">
                  <c:v>6796.8631999999998</c:v>
                </c:pt>
                <c:pt idx="506">
                  <c:v>2643.2685000000001</c:v>
                </c:pt>
                <c:pt idx="507">
                  <c:v>3077.0954999999999</c:v>
                </c:pt>
                <c:pt idx="508">
                  <c:v>3044.2132999999999</c:v>
                </c:pt>
                <c:pt idx="509">
                  <c:v>11455.28</c:v>
                </c:pt>
                <c:pt idx="510">
                  <c:v>11763.000899999999</c:v>
                </c:pt>
                <c:pt idx="511">
                  <c:v>2498.4144000000001</c:v>
                </c:pt>
                <c:pt idx="512">
                  <c:v>9361.3268000000007</c:v>
                </c:pt>
                <c:pt idx="513">
                  <c:v>1256.299</c:v>
                </c:pt>
                <c:pt idx="514">
                  <c:v>21082.16</c:v>
                </c:pt>
                <c:pt idx="515">
                  <c:v>11362.754999999999</c:v>
                </c:pt>
                <c:pt idx="516">
                  <c:v>27724.288799999998</c:v>
                </c:pt>
                <c:pt idx="517">
                  <c:v>8413.4629999999997</c:v>
                </c:pt>
                <c:pt idx="518">
                  <c:v>5240.7650000000003</c:v>
                </c:pt>
                <c:pt idx="519">
                  <c:v>3857.7592</c:v>
                </c:pt>
                <c:pt idx="520">
                  <c:v>25656.5753</c:v>
                </c:pt>
                <c:pt idx="521">
                  <c:v>3994.1777999999999</c:v>
                </c:pt>
                <c:pt idx="522">
                  <c:v>9866.3047999999999</c:v>
                </c:pt>
                <c:pt idx="523">
                  <c:v>5397.6166999999996</c:v>
                </c:pt>
                <c:pt idx="524">
                  <c:v>38245.5933</c:v>
                </c:pt>
                <c:pt idx="525">
                  <c:v>11482.6348</c:v>
                </c:pt>
                <c:pt idx="526">
                  <c:v>24059.680199999999</c:v>
                </c:pt>
                <c:pt idx="527">
                  <c:v>9861.0249999999996</c:v>
                </c:pt>
                <c:pt idx="528">
                  <c:v>8342.9087999999992</c:v>
                </c:pt>
                <c:pt idx="529">
                  <c:v>1708.0014000000001</c:v>
                </c:pt>
                <c:pt idx="530">
                  <c:v>48675.517699999997</c:v>
                </c:pt>
                <c:pt idx="531">
                  <c:v>14043.476699999999</c:v>
                </c:pt>
                <c:pt idx="532">
                  <c:v>12925.886</c:v>
                </c:pt>
                <c:pt idx="533">
                  <c:v>19214.7055</c:v>
                </c:pt>
                <c:pt idx="534">
                  <c:v>13831.1152</c:v>
                </c:pt>
                <c:pt idx="535">
                  <c:v>6067.1268</c:v>
                </c:pt>
                <c:pt idx="536">
                  <c:v>5972.3779999999997</c:v>
                </c:pt>
                <c:pt idx="537">
                  <c:v>8825.0859999999993</c:v>
                </c:pt>
                <c:pt idx="538">
                  <c:v>8233.0974999999999</c:v>
                </c:pt>
                <c:pt idx="539">
                  <c:v>27346.042099999999</c:v>
                </c:pt>
                <c:pt idx="540">
                  <c:v>6196.4480000000003</c:v>
                </c:pt>
                <c:pt idx="541">
                  <c:v>3056.3881000000001</c:v>
                </c:pt>
                <c:pt idx="542">
                  <c:v>13887.204</c:v>
                </c:pt>
                <c:pt idx="543">
                  <c:v>63770.428</c:v>
                </c:pt>
                <c:pt idx="544">
                  <c:v>10231.499900000001</c:v>
                </c:pt>
                <c:pt idx="545">
                  <c:v>23807.240600000001</c:v>
                </c:pt>
                <c:pt idx="546">
                  <c:v>3268.8465999999999</c:v>
                </c:pt>
                <c:pt idx="547">
                  <c:v>11538.421</c:v>
                </c:pt>
                <c:pt idx="548">
                  <c:v>3213.6219999999998</c:v>
                </c:pt>
                <c:pt idx="549">
                  <c:v>45863.205000000002</c:v>
                </c:pt>
                <c:pt idx="550">
                  <c:v>13390.558999999999</c:v>
                </c:pt>
                <c:pt idx="551">
                  <c:v>3972.9247</c:v>
                </c:pt>
                <c:pt idx="552">
                  <c:v>12957.118</c:v>
                </c:pt>
                <c:pt idx="553">
                  <c:v>11187.6567</c:v>
                </c:pt>
                <c:pt idx="554">
                  <c:v>17878.900699999998</c:v>
                </c:pt>
                <c:pt idx="555">
                  <c:v>3847.674</c:v>
                </c:pt>
                <c:pt idx="556">
                  <c:v>8334.5895999999993</c:v>
                </c:pt>
                <c:pt idx="557">
                  <c:v>3935.1799000000001</c:v>
                </c:pt>
                <c:pt idx="558">
                  <c:v>39983.425999999999</c:v>
                </c:pt>
                <c:pt idx="559">
                  <c:v>1646.4296999999999</c:v>
                </c:pt>
                <c:pt idx="560">
                  <c:v>9193.8384999999998</c:v>
                </c:pt>
                <c:pt idx="561">
                  <c:v>10923.933199999999</c:v>
                </c:pt>
                <c:pt idx="562">
                  <c:v>2494.0219999999999</c:v>
                </c:pt>
                <c:pt idx="563">
                  <c:v>9058.7302999999993</c:v>
                </c:pt>
                <c:pt idx="564">
                  <c:v>2801.2588000000001</c:v>
                </c:pt>
                <c:pt idx="565">
                  <c:v>2128.431</c:v>
                </c:pt>
                <c:pt idx="566">
                  <c:v>6373.5573999999997</c:v>
                </c:pt>
                <c:pt idx="567">
                  <c:v>7256.7231000000002</c:v>
                </c:pt>
                <c:pt idx="568">
                  <c:v>11552.904</c:v>
                </c:pt>
                <c:pt idx="569">
                  <c:v>45702.022400000002</c:v>
                </c:pt>
                <c:pt idx="570">
                  <c:v>3761.2919999999999</c:v>
                </c:pt>
                <c:pt idx="571">
                  <c:v>2219.4450999999999</c:v>
                </c:pt>
                <c:pt idx="572">
                  <c:v>4753.6368000000002</c:v>
                </c:pt>
                <c:pt idx="573">
                  <c:v>31620.001100000001</c:v>
                </c:pt>
                <c:pt idx="574">
                  <c:v>13224.057000000001</c:v>
                </c:pt>
                <c:pt idx="575">
                  <c:v>12222.898300000001</c:v>
                </c:pt>
                <c:pt idx="576">
                  <c:v>1664.9996000000001</c:v>
                </c:pt>
                <c:pt idx="577">
                  <c:v>58571.074500000002</c:v>
                </c:pt>
                <c:pt idx="578">
                  <c:v>9724.5300000000007</c:v>
                </c:pt>
                <c:pt idx="579">
                  <c:v>3206.4913999999999</c:v>
                </c:pt>
                <c:pt idx="580">
                  <c:v>12913.992399999999</c:v>
                </c:pt>
                <c:pt idx="581">
                  <c:v>1639.5631000000001</c:v>
                </c:pt>
                <c:pt idx="582">
                  <c:v>6356.2707</c:v>
                </c:pt>
                <c:pt idx="583">
                  <c:v>17626.2395</c:v>
                </c:pt>
                <c:pt idx="584">
                  <c:v>1242.816</c:v>
                </c:pt>
                <c:pt idx="585">
                  <c:v>4779.6022999999996</c:v>
                </c:pt>
                <c:pt idx="586">
                  <c:v>3861.2096000000001</c:v>
                </c:pt>
                <c:pt idx="587">
                  <c:v>43943.876100000001</c:v>
                </c:pt>
                <c:pt idx="588">
                  <c:v>13635.6379</c:v>
                </c:pt>
                <c:pt idx="589">
                  <c:v>5976.8311000000003</c:v>
                </c:pt>
                <c:pt idx="590">
                  <c:v>11842.441999999999</c:v>
                </c:pt>
                <c:pt idx="591">
                  <c:v>8428.0692999999992</c:v>
                </c:pt>
                <c:pt idx="592">
                  <c:v>2566.4706999999999</c:v>
                </c:pt>
                <c:pt idx="593">
                  <c:v>15359.104499999999</c:v>
                </c:pt>
                <c:pt idx="594">
                  <c:v>5709.1643999999997</c:v>
                </c:pt>
                <c:pt idx="595">
                  <c:v>8823.9858000000004</c:v>
                </c:pt>
                <c:pt idx="596">
                  <c:v>7640.3091999999997</c:v>
                </c:pt>
                <c:pt idx="597">
                  <c:v>5594.8455000000004</c:v>
                </c:pt>
                <c:pt idx="598">
                  <c:v>7441.5010000000002</c:v>
                </c:pt>
                <c:pt idx="599">
                  <c:v>33471.971899999997</c:v>
                </c:pt>
                <c:pt idx="600">
                  <c:v>1633.0444</c:v>
                </c:pt>
                <c:pt idx="601">
                  <c:v>9174.1355999999996</c:v>
                </c:pt>
                <c:pt idx="602">
                  <c:v>11070.535</c:v>
                </c:pt>
                <c:pt idx="603">
                  <c:v>16085.127500000001</c:v>
                </c:pt>
                <c:pt idx="604">
                  <c:v>17468.983899999999</c:v>
                </c:pt>
                <c:pt idx="605">
                  <c:v>9283.5619999999999</c:v>
                </c:pt>
                <c:pt idx="606">
                  <c:v>3558.6201999999998</c:v>
                </c:pt>
                <c:pt idx="607">
                  <c:v>25678.778399999999</c:v>
                </c:pt>
                <c:pt idx="608">
                  <c:v>4435.0941999999995</c:v>
                </c:pt>
                <c:pt idx="609">
                  <c:v>39241.442000000003</c:v>
                </c:pt>
                <c:pt idx="610">
                  <c:v>8547.6913000000004</c:v>
                </c:pt>
                <c:pt idx="611">
                  <c:v>6571.5439999999999</c:v>
                </c:pt>
                <c:pt idx="612">
                  <c:v>2207.6974</c:v>
                </c:pt>
                <c:pt idx="613">
                  <c:v>6753.0379999999996</c:v>
                </c:pt>
                <c:pt idx="614">
                  <c:v>1880.07</c:v>
                </c:pt>
                <c:pt idx="615">
                  <c:v>42969.852700000003</c:v>
                </c:pt>
                <c:pt idx="616">
                  <c:v>11658.115</c:v>
                </c:pt>
                <c:pt idx="617">
                  <c:v>23306.546999999999</c:v>
                </c:pt>
                <c:pt idx="618">
                  <c:v>34439.855900000002</c:v>
                </c:pt>
                <c:pt idx="619">
                  <c:v>10713.644</c:v>
                </c:pt>
                <c:pt idx="620">
                  <c:v>3659.346</c:v>
                </c:pt>
                <c:pt idx="621">
                  <c:v>40182.245999999999</c:v>
                </c:pt>
                <c:pt idx="622">
                  <c:v>9182.17</c:v>
                </c:pt>
                <c:pt idx="623">
                  <c:v>34617.840600000003</c:v>
                </c:pt>
                <c:pt idx="624">
                  <c:v>12129.6142</c:v>
                </c:pt>
                <c:pt idx="625">
                  <c:v>3736.4647</c:v>
                </c:pt>
                <c:pt idx="626">
                  <c:v>6748.5911999999998</c:v>
                </c:pt>
                <c:pt idx="627">
                  <c:v>11326.714900000001</c:v>
                </c:pt>
                <c:pt idx="628">
                  <c:v>11365.951999999999</c:v>
                </c:pt>
                <c:pt idx="629">
                  <c:v>42983.458500000001</c:v>
                </c:pt>
                <c:pt idx="630">
                  <c:v>10085.846</c:v>
                </c:pt>
                <c:pt idx="631">
                  <c:v>1977.8150000000001</c:v>
                </c:pt>
                <c:pt idx="632">
                  <c:v>3366.6696999999999</c:v>
                </c:pt>
                <c:pt idx="633">
                  <c:v>7173.36</c:v>
                </c:pt>
                <c:pt idx="634">
                  <c:v>9391.3459999999995</c:v>
                </c:pt>
                <c:pt idx="635">
                  <c:v>14410.9321</c:v>
                </c:pt>
                <c:pt idx="636">
                  <c:v>2709.1118999999999</c:v>
                </c:pt>
                <c:pt idx="637">
                  <c:v>24915.046300000002</c:v>
                </c:pt>
                <c:pt idx="638">
                  <c:v>20149.322899999999</c:v>
                </c:pt>
                <c:pt idx="639">
                  <c:v>12949.1554</c:v>
                </c:pt>
                <c:pt idx="640">
                  <c:v>6666.2430000000004</c:v>
                </c:pt>
                <c:pt idx="641">
                  <c:v>32787.458599999998</c:v>
                </c:pt>
                <c:pt idx="642">
                  <c:v>13143.864799999999</c:v>
                </c:pt>
                <c:pt idx="643">
                  <c:v>4466.6214</c:v>
                </c:pt>
                <c:pt idx="644">
                  <c:v>18806.145499999999</c:v>
                </c:pt>
                <c:pt idx="645">
                  <c:v>10141.136200000001</c:v>
                </c:pt>
                <c:pt idx="646">
                  <c:v>6123.5688</c:v>
                </c:pt>
                <c:pt idx="647">
                  <c:v>8252.2842999999993</c:v>
                </c:pt>
                <c:pt idx="648">
                  <c:v>1712.2270000000001</c:v>
                </c:pt>
                <c:pt idx="649">
                  <c:v>12430.9534</c:v>
                </c:pt>
                <c:pt idx="650">
                  <c:v>9800.8881999999994</c:v>
                </c:pt>
                <c:pt idx="651">
                  <c:v>10579.710999999999</c:v>
                </c:pt>
                <c:pt idx="652">
                  <c:v>8280.6226999999999</c:v>
                </c:pt>
                <c:pt idx="653">
                  <c:v>8527.5319999999992</c:v>
                </c:pt>
                <c:pt idx="654">
                  <c:v>12244.531000000001</c:v>
                </c:pt>
                <c:pt idx="655">
                  <c:v>24667.419000000002</c:v>
                </c:pt>
                <c:pt idx="656">
                  <c:v>3410.3240000000001</c:v>
                </c:pt>
                <c:pt idx="657">
                  <c:v>4058.7123999999999</c:v>
                </c:pt>
                <c:pt idx="658">
                  <c:v>26392.260300000002</c:v>
                </c:pt>
                <c:pt idx="659">
                  <c:v>14394.3982</c:v>
                </c:pt>
                <c:pt idx="660">
                  <c:v>6435.6237000000001</c:v>
                </c:pt>
                <c:pt idx="661">
                  <c:v>22192.437099999999</c:v>
                </c:pt>
                <c:pt idx="662">
                  <c:v>5148.5526</c:v>
                </c:pt>
                <c:pt idx="663">
                  <c:v>1136.3994</c:v>
                </c:pt>
                <c:pt idx="664">
                  <c:v>27037.914100000002</c:v>
                </c:pt>
                <c:pt idx="665">
                  <c:v>42560.430399999997</c:v>
                </c:pt>
                <c:pt idx="666">
                  <c:v>8703.4560000000001</c:v>
                </c:pt>
                <c:pt idx="667">
                  <c:v>40003.332199999997</c:v>
                </c:pt>
                <c:pt idx="668">
                  <c:v>45710.207799999996</c:v>
                </c:pt>
                <c:pt idx="669">
                  <c:v>6500.2358999999997</c:v>
                </c:pt>
                <c:pt idx="670">
                  <c:v>4837.5823</c:v>
                </c:pt>
                <c:pt idx="671">
                  <c:v>3943.5954000000002</c:v>
                </c:pt>
                <c:pt idx="672">
                  <c:v>4399.7309999999998</c:v>
                </c:pt>
                <c:pt idx="673">
                  <c:v>6185.3208000000004</c:v>
                </c:pt>
                <c:pt idx="674">
                  <c:v>46200.985099999998</c:v>
                </c:pt>
                <c:pt idx="675">
                  <c:v>7222.7861999999996</c:v>
                </c:pt>
                <c:pt idx="676">
                  <c:v>12485.8009</c:v>
                </c:pt>
                <c:pt idx="677">
                  <c:v>46130.5265</c:v>
                </c:pt>
                <c:pt idx="678">
                  <c:v>12363.547</c:v>
                </c:pt>
                <c:pt idx="679">
                  <c:v>10156.7832</c:v>
                </c:pt>
                <c:pt idx="680">
                  <c:v>2585.2689999999998</c:v>
                </c:pt>
                <c:pt idx="681">
                  <c:v>1242.26</c:v>
                </c:pt>
                <c:pt idx="682">
                  <c:v>40103.89</c:v>
                </c:pt>
                <c:pt idx="683">
                  <c:v>9863.4717999999993</c:v>
                </c:pt>
                <c:pt idx="684">
                  <c:v>4766.0219999999999</c:v>
                </c:pt>
                <c:pt idx="685">
                  <c:v>11244.376899999999</c:v>
                </c:pt>
                <c:pt idx="686">
                  <c:v>7729.6458000000002</c:v>
                </c:pt>
                <c:pt idx="687">
                  <c:v>5438.7491</c:v>
                </c:pt>
                <c:pt idx="688">
                  <c:v>26236.58</c:v>
                </c:pt>
                <c:pt idx="689">
                  <c:v>34806.467700000001</c:v>
                </c:pt>
                <c:pt idx="690">
                  <c:v>2104.1134000000002</c:v>
                </c:pt>
                <c:pt idx="691">
                  <c:v>8068.1850000000004</c:v>
                </c:pt>
                <c:pt idx="692">
                  <c:v>2362.2289999999998</c:v>
                </c:pt>
                <c:pt idx="693">
                  <c:v>2352.9684000000002</c:v>
                </c:pt>
                <c:pt idx="694">
                  <c:v>3577.9989999999998</c:v>
                </c:pt>
                <c:pt idx="695">
                  <c:v>3201.2451999999998</c:v>
                </c:pt>
                <c:pt idx="696">
                  <c:v>29186.482400000001</c:v>
                </c:pt>
                <c:pt idx="697">
                  <c:v>40273.645499999999</c:v>
                </c:pt>
                <c:pt idx="698">
                  <c:v>10976.245800000001</c:v>
                </c:pt>
                <c:pt idx="699">
                  <c:v>3500.6122999999998</c:v>
                </c:pt>
                <c:pt idx="700">
                  <c:v>2020.5523000000001</c:v>
                </c:pt>
                <c:pt idx="701">
                  <c:v>9541.6955999999991</c:v>
                </c:pt>
                <c:pt idx="702">
                  <c:v>9504.3102999999992</c:v>
                </c:pt>
                <c:pt idx="703">
                  <c:v>5385.3379000000004</c:v>
                </c:pt>
                <c:pt idx="704">
                  <c:v>8930.9346000000005</c:v>
                </c:pt>
                <c:pt idx="705">
                  <c:v>5375.0379999999996</c:v>
                </c:pt>
                <c:pt idx="706">
                  <c:v>44400.4064</c:v>
                </c:pt>
                <c:pt idx="707">
                  <c:v>10264.4421</c:v>
                </c:pt>
                <c:pt idx="708">
                  <c:v>6113.2309999999998</c:v>
                </c:pt>
                <c:pt idx="709">
                  <c:v>5469.0065999999997</c:v>
                </c:pt>
                <c:pt idx="710">
                  <c:v>1727.54</c:v>
                </c:pt>
                <c:pt idx="711">
                  <c:v>10107.220600000001</c:v>
                </c:pt>
                <c:pt idx="712">
                  <c:v>8310.8392000000003</c:v>
                </c:pt>
                <c:pt idx="713">
                  <c:v>1984.4532999999999</c:v>
                </c:pt>
                <c:pt idx="714">
                  <c:v>2457.502</c:v>
                </c:pt>
                <c:pt idx="715">
                  <c:v>12146.971</c:v>
                </c:pt>
                <c:pt idx="716">
                  <c:v>9566.9909000000007</c:v>
                </c:pt>
                <c:pt idx="717">
                  <c:v>13112.604799999999</c:v>
                </c:pt>
                <c:pt idx="718">
                  <c:v>10848.1343</c:v>
                </c:pt>
                <c:pt idx="719">
                  <c:v>12231.613600000001</c:v>
                </c:pt>
                <c:pt idx="720">
                  <c:v>9875.6803999999993</c:v>
                </c:pt>
                <c:pt idx="721">
                  <c:v>11264.540999999999</c:v>
                </c:pt>
                <c:pt idx="722">
                  <c:v>12979.358</c:v>
                </c:pt>
                <c:pt idx="723">
                  <c:v>1263.249</c:v>
                </c:pt>
                <c:pt idx="724">
                  <c:v>10106.1342</c:v>
                </c:pt>
                <c:pt idx="725">
                  <c:v>40932.429499999998</c:v>
                </c:pt>
                <c:pt idx="726">
                  <c:v>6664.6859999999997</c:v>
                </c:pt>
                <c:pt idx="727">
                  <c:v>16657.717400000001</c:v>
                </c:pt>
                <c:pt idx="728">
                  <c:v>2217.6012000000001</c:v>
                </c:pt>
                <c:pt idx="729">
                  <c:v>6781.3541999999998</c:v>
                </c:pt>
                <c:pt idx="730">
                  <c:v>19361.998800000001</c:v>
                </c:pt>
                <c:pt idx="731">
                  <c:v>10065.413</c:v>
                </c:pt>
                <c:pt idx="732">
                  <c:v>4234.9269999999997</c:v>
                </c:pt>
                <c:pt idx="733">
                  <c:v>9447.2504000000008</c:v>
                </c:pt>
                <c:pt idx="734">
                  <c:v>14007.222</c:v>
                </c:pt>
                <c:pt idx="735">
                  <c:v>9583.8932999999997</c:v>
                </c:pt>
                <c:pt idx="736">
                  <c:v>40419.019099999998</c:v>
                </c:pt>
                <c:pt idx="737">
                  <c:v>3484.3310000000001</c:v>
                </c:pt>
                <c:pt idx="738">
                  <c:v>36189.101699999999</c:v>
                </c:pt>
                <c:pt idx="739">
                  <c:v>44585.455900000001</c:v>
                </c:pt>
                <c:pt idx="740">
                  <c:v>8604.4835999999996</c:v>
                </c:pt>
                <c:pt idx="741">
                  <c:v>18246.495500000001</c:v>
                </c:pt>
                <c:pt idx="742">
                  <c:v>43254.417999999998</c:v>
                </c:pt>
                <c:pt idx="743">
                  <c:v>3757.8447999999999</c:v>
                </c:pt>
                <c:pt idx="744">
                  <c:v>8827.2098999999998</c:v>
                </c:pt>
                <c:pt idx="745">
                  <c:v>9910.3598000000002</c:v>
                </c:pt>
                <c:pt idx="746">
                  <c:v>11737.8488</c:v>
                </c:pt>
                <c:pt idx="747">
                  <c:v>1627.2824000000001</c:v>
                </c:pt>
                <c:pt idx="748">
                  <c:v>8556.9069999999992</c:v>
                </c:pt>
                <c:pt idx="749">
                  <c:v>3062.5082000000002</c:v>
                </c:pt>
                <c:pt idx="750">
                  <c:v>19539.242999999999</c:v>
                </c:pt>
                <c:pt idx="751">
                  <c:v>1906.3581999999999</c:v>
                </c:pt>
                <c:pt idx="752">
                  <c:v>14210.536</c:v>
                </c:pt>
                <c:pt idx="753">
                  <c:v>11833.782300000001</c:v>
                </c:pt>
                <c:pt idx="754">
                  <c:v>17128.426100000001</c:v>
                </c:pt>
                <c:pt idx="755">
                  <c:v>5031.2695999999996</c:v>
                </c:pt>
                <c:pt idx="756">
                  <c:v>7985.8149999999996</c:v>
                </c:pt>
                <c:pt idx="757">
                  <c:v>23065.420699999999</c:v>
                </c:pt>
                <c:pt idx="758">
                  <c:v>5428.7277000000004</c:v>
                </c:pt>
                <c:pt idx="759">
                  <c:v>36307.798300000002</c:v>
                </c:pt>
                <c:pt idx="760">
                  <c:v>3925.7582000000002</c:v>
                </c:pt>
                <c:pt idx="761">
                  <c:v>2416.9549999999999</c:v>
                </c:pt>
                <c:pt idx="762">
                  <c:v>19040.876</c:v>
                </c:pt>
                <c:pt idx="763">
                  <c:v>3070.8087</c:v>
                </c:pt>
                <c:pt idx="764">
                  <c:v>9095.0681999999997</c:v>
                </c:pt>
                <c:pt idx="765">
                  <c:v>11842.623799999999</c:v>
                </c:pt>
                <c:pt idx="766">
                  <c:v>8062.7640000000001</c:v>
                </c:pt>
                <c:pt idx="767">
                  <c:v>7050.6419999999998</c:v>
                </c:pt>
                <c:pt idx="768">
                  <c:v>14319.031000000001</c:v>
                </c:pt>
                <c:pt idx="769">
                  <c:v>6933.2421999999997</c:v>
                </c:pt>
                <c:pt idx="770">
                  <c:v>27941.2876</c:v>
                </c:pt>
                <c:pt idx="771">
                  <c:v>11150.78</c:v>
                </c:pt>
                <c:pt idx="772">
                  <c:v>12797.2096</c:v>
                </c:pt>
                <c:pt idx="773">
                  <c:v>17748.5062</c:v>
                </c:pt>
                <c:pt idx="774">
                  <c:v>7261.741</c:v>
                </c:pt>
                <c:pt idx="775">
                  <c:v>10560.4917</c:v>
                </c:pt>
                <c:pt idx="776">
                  <c:v>6986.6970000000001</c:v>
                </c:pt>
                <c:pt idx="777">
                  <c:v>7448.4040000000005</c:v>
                </c:pt>
                <c:pt idx="778">
                  <c:v>5934.3797999999997</c:v>
                </c:pt>
                <c:pt idx="779">
                  <c:v>9869.8101999999999</c:v>
                </c:pt>
                <c:pt idx="780">
                  <c:v>18259.216</c:v>
                </c:pt>
                <c:pt idx="781">
                  <c:v>1146.7965999999999</c:v>
                </c:pt>
                <c:pt idx="782">
                  <c:v>9386.1612999999998</c:v>
                </c:pt>
                <c:pt idx="783">
                  <c:v>24520.263999999999</c:v>
                </c:pt>
                <c:pt idx="784">
                  <c:v>4350.5144</c:v>
                </c:pt>
                <c:pt idx="785">
                  <c:v>6414.1779999999999</c:v>
                </c:pt>
                <c:pt idx="786">
                  <c:v>12741.1674</c:v>
                </c:pt>
                <c:pt idx="787">
                  <c:v>1917.3184000000001</c:v>
                </c:pt>
                <c:pt idx="788">
                  <c:v>5209.5788000000002</c:v>
                </c:pt>
                <c:pt idx="789">
                  <c:v>13457.960800000001</c:v>
                </c:pt>
                <c:pt idx="790">
                  <c:v>5662.2250000000004</c:v>
                </c:pt>
                <c:pt idx="791">
                  <c:v>1252.4069999999999</c:v>
                </c:pt>
                <c:pt idx="792">
                  <c:v>2731.9122000000002</c:v>
                </c:pt>
                <c:pt idx="793">
                  <c:v>21195.817999999999</c:v>
                </c:pt>
                <c:pt idx="794">
                  <c:v>7209.4917999999998</c:v>
                </c:pt>
                <c:pt idx="795">
                  <c:v>18310.741999999998</c:v>
                </c:pt>
                <c:pt idx="796">
                  <c:v>4266.1657999999998</c:v>
                </c:pt>
                <c:pt idx="797">
                  <c:v>4719.5240000000003</c:v>
                </c:pt>
                <c:pt idx="798">
                  <c:v>11848.141</c:v>
                </c:pt>
                <c:pt idx="799">
                  <c:v>17904.526999999998</c:v>
                </c:pt>
                <c:pt idx="800">
                  <c:v>7046.7222000000002</c:v>
                </c:pt>
                <c:pt idx="801">
                  <c:v>14313.846299999999</c:v>
                </c:pt>
                <c:pt idx="802">
                  <c:v>2103.08</c:v>
                </c:pt>
                <c:pt idx="803">
                  <c:v>38792.685599999997</c:v>
                </c:pt>
                <c:pt idx="804">
                  <c:v>1815.8759</c:v>
                </c:pt>
                <c:pt idx="805">
                  <c:v>7731.8577999999998</c:v>
                </c:pt>
                <c:pt idx="806">
                  <c:v>28476.735000000001</c:v>
                </c:pt>
                <c:pt idx="807">
                  <c:v>2136.8822</c:v>
                </c:pt>
                <c:pt idx="808">
                  <c:v>1131.5065999999999</c:v>
                </c:pt>
                <c:pt idx="809">
                  <c:v>3309.7926000000002</c:v>
                </c:pt>
                <c:pt idx="810">
                  <c:v>9414.92</c:v>
                </c:pt>
                <c:pt idx="811">
                  <c:v>6360.9935999999998</c:v>
                </c:pt>
                <c:pt idx="812">
                  <c:v>11013.7119</c:v>
                </c:pt>
                <c:pt idx="813">
                  <c:v>4428.8878000000004</c:v>
                </c:pt>
                <c:pt idx="814">
                  <c:v>5584.3056999999999</c:v>
                </c:pt>
                <c:pt idx="815">
                  <c:v>1877.9294</c:v>
                </c:pt>
                <c:pt idx="816">
                  <c:v>2842.7608</c:v>
                </c:pt>
                <c:pt idx="817">
                  <c:v>3597.596</c:v>
                </c:pt>
                <c:pt idx="818">
                  <c:v>23401.305799999998</c:v>
                </c:pt>
                <c:pt idx="819">
                  <c:v>55135.402099999999</c:v>
                </c:pt>
                <c:pt idx="820">
                  <c:v>7445.9179999999997</c:v>
                </c:pt>
                <c:pt idx="821">
                  <c:v>2680.9493000000002</c:v>
                </c:pt>
                <c:pt idx="822">
                  <c:v>1621.8827000000001</c:v>
                </c:pt>
                <c:pt idx="823">
                  <c:v>8219.2039000000004</c:v>
                </c:pt>
                <c:pt idx="824">
                  <c:v>12523.604799999999</c:v>
                </c:pt>
                <c:pt idx="825">
                  <c:v>16069.084800000001</c:v>
                </c:pt>
                <c:pt idx="826">
                  <c:v>43813.866099999999</c:v>
                </c:pt>
                <c:pt idx="827">
                  <c:v>20773.627799999998</c:v>
                </c:pt>
                <c:pt idx="828">
                  <c:v>39597.407200000001</c:v>
                </c:pt>
                <c:pt idx="829">
                  <c:v>6117.4944999999998</c:v>
                </c:pt>
                <c:pt idx="830">
                  <c:v>13393.755999999999</c:v>
                </c:pt>
                <c:pt idx="831">
                  <c:v>5266.3656000000001</c:v>
                </c:pt>
                <c:pt idx="832">
                  <c:v>4719.7366000000002</c:v>
                </c:pt>
                <c:pt idx="833">
                  <c:v>11743.9341</c:v>
                </c:pt>
                <c:pt idx="834">
                  <c:v>5377.4578000000001</c:v>
                </c:pt>
                <c:pt idx="835">
                  <c:v>7160.3302999999996</c:v>
                </c:pt>
                <c:pt idx="836">
                  <c:v>4402.2330000000002</c:v>
                </c:pt>
                <c:pt idx="837">
                  <c:v>11657.7189</c:v>
                </c:pt>
                <c:pt idx="838">
                  <c:v>6402.2914000000001</c:v>
                </c:pt>
                <c:pt idx="839">
                  <c:v>12622.1795</c:v>
                </c:pt>
                <c:pt idx="840">
                  <c:v>1526.3119999999999</c:v>
                </c:pt>
                <c:pt idx="841">
                  <c:v>12323.936</c:v>
                </c:pt>
                <c:pt idx="842">
                  <c:v>36021.011200000001</c:v>
                </c:pt>
                <c:pt idx="843">
                  <c:v>27533.912899999999</c:v>
                </c:pt>
                <c:pt idx="844">
                  <c:v>10072.055</c:v>
                </c:pt>
                <c:pt idx="845">
                  <c:v>45008.955499999996</c:v>
                </c:pt>
                <c:pt idx="846">
                  <c:v>9872.7009999999991</c:v>
                </c:pt>
                <c:pt idx="847">
                  <c:v>2438.0551999999998</c:v>
                </c:pt>
                <c:pt idx="848">
                  <c:v>2974.1260000000002</c:v>
                </c:pt>
                <c:pt idx="849">
                  <c:v>10601.6322</c:v>
                </c:pt>
                <c:pt idx="850">
                  <c:v>37270.1512</c:v>
                </c:pt>
                <c:pt idx="851">
                  <c:v>14119.62</c:v>
                </c:pt>
                <c:pt idx="852">
                  <c:v>42111.664700000001</c:v>
                </c:pt>
                <c:pt idx="853">
                  <c:v>11729.6795</c:v>
                </c:pt>
                <c:pt idx="854">
                  <c:v>24106.9126</c:v>
                </c:pt>
                <c:pt idx="855">
                  <c:v>1875.3440000000001</c:v>
                </c:pt>
                <c:pt idx="856">
                  <c:v>40974.164900000003</c:v>
                </c:pt>
                <c:pt idx="857">
                  <c:v>15817.985699999999</c:v>
                </c:pt>
                <c:pt idx="858">
                  <c:v>18218.161400000001</c:v>
                </c:pt>
                <c:pt idx="859">
                  <c:v>10965.446</c:v>
                </c:pt>
                <c:pt idx="860">
                  <c:v>46113.510999999999</c:v>
                </c:pt>
                <c:pt idx="861">
                  <c:v>7151.0919999999996</c:v>
                </c:pt>
                <c:pt idx="862">
                  <c:v>12269.688599999999</c:v>
                </c:pt>
                <c:pt idx="863">
                  <c:v>5458.0464000000002</c:v>
                </c:pt>
                <c:pt idx="864">
                  <c:v>8782.4689999999991</c:v>
                </c:pt>
                <c:pt idx="865">
                  <c:v>6600.3609999999999</c:v>
                </c:pt>
                <c:pt idx="866">
                  <c:v>1141.4450999999999</c:v>
                </c:pt>
                <c:pt idx="867">
                  <c:v>11576.13</c:v>
                </c:pt>
                <c:pt idx="868">
                  <c:v>13129.6034</c:v>
                </c:pt>
                <c:pt idx="869">
                  <c:v>4391.652</c:v>
                </c:pt>
                <c:pt idx="870">
                  <c:v>8457.8179999999993</c:v>
                </c:pt>
                <c:pt idx="871">
                  <c:v>3392.3652000000002</c:v>
                </c:pt>
                <c:pt idx="872">
                  <c:v>5966.8873999999996</c:v>
                </c:pt>
                <c:pt idx="873">
                  <c:v>6849.0259999999998</c:v>
                </c:pt>
                <c:pt idx="874">
                  <c:v>8891.1394999999993</c:v>
                </c:pt>
                <c:pt idx="875">
                  <c:v>2690.1138000000001</c:v>
                </c:pt>
                <c:pt idx="876">
                  <c:v>26140.3603</c:v>
                </c:pt>
                <c:pt idx="877">
                  <c:v>6653.7885999999999</c:v>
                </c:pt>
                <c:pt idx="878">
                  <c:v>6282.2349999999997</c:v>
                </c:pt>
                <c:pt idx="879">
                  <c:v>6311.9520000000002</c:v>
                </c:pt>
                <c:pt idx="880">
                  <c:v>3443.0639999999999</c:v>
                </c:pt>
                <c:pt idx="881">
                  <c:v>2789.0574000000001</c:v>
                </c:pt>
                <c:pt idx="882">
                  <c:v>2585.8506000000002</c:v>
                </c:pt>
                <c:pt idx="883">
                  <c:v>46255.112500000003</c:v>
                </c:pt>
                <c:pt idx="884">
                  <c:v>4877.9809999999998</c:v>
                </c:pt>
                <c:pt idx="885">
                  <c:v>19719.6947</c:v>
                </c:pt>
                <c:pt idx="886">
                  <c:v>27218.4372</c:v>
                </c:pt>
                <c:pt idx="887">
                  <c:v>5272.1758</c:v>
                </c:pt>
                <c:pt idx="888">
                  <c:v>1682.597</c:v>
                </c:pt>
                <c:pt idx="889">
                  <c:v>11945.1327</c:v>
                </c:pt>
                <c:pt idx="890">
                  <c:v>29330.983199999999</c:v>
                </c:pt>
                <c:pt idx="891">
                  <c:v>7243.8136000000004</c:v>
                </c:pt>
                <c:pt idx="892">
                  <c:v>10422.9166</c:v>
                </c:pt>
                <c:pt idx="893">
                  <c:v>44202.653599999998</c:v>
                </c:pt>
                <c:pt idx="894">
                  <c:v>13555.0049</c:v>
                </c:pt>
                <c:pt idx="895">
                  <c:v>13063.883</c:v>
                </c:pt>
                <c:pt idx="896">
                  <c:v>19798.054599999999</c:v>
                </c:pt>
                <c:pt idx="897">
                  <c:v>2221.5644000000002</c:v>
                </c:pt>
                <c:pt idx="898">
                  <c:v>1634.5734</c:v>
                </c:pt>
                <c:pt idx="899">
                  <c:v>2117.3388</c:v>
                </c:pt>
                <c:pt idx="900">
                  <c:v>8688.8588</c:v>
                </c:pt>
                <c:pt idx="901">
                  <c:v>48673.558799999999</c:v>
                </c:pt>
                <c:pt idx="902">
                  <c:v>4661.2864</c:v>
                </c:pt>
                <c:pt idx="903">
                  <c:v>8125.7844999999998</c:v>
                </c:pt>
                <c:pt idx="904">
                  <c:v>12644.589</c:v>
                </c:pt>
                <c:pt idx="905">
                  <c:v>4564.1913999999997</c:v>
                </c:pt>
                <c:pt idx="906">
                  <c:v>4846.9201999999996</c:v>
                </c:pt>
                <c:pt idx="907">
                  <c:v>7633.7205999999996</c:v>
                </c:pt>
                <c:pt idx="908">
                  <c:v>15170.069</c:v>
                </c:pt>
                <c:pt idx="909">
                  <c:v>17496.306</c:v>
                </c:pt>
                <c:pt idx="910">
                  <c:v>2639.0428999999999</c:v>
                </c:pt>
                <c:pt idx="911">
                  <c:v>33732.686699999998</c:v>
                </c:pt>
                <c:pt idx="912">
                  <c:v>14382.709000000001</c:v>
                </c:pt>
                <c:pt idx="913">
                  <c:v>7626.9930000000004</c:v>
                </c:pt>
                <c:pt idx="914">
                  <c:v>5257.5079999999998</c:v>
                </c:pt>
                <c:pt idx="915">
                  <c:v>2473.3341</c:v>
                </c:pt>
                <c:pt idx="916">
                  <c:v>21774.322199999999</c:v>
                </c:pt>
                <c:pt idx="917">
                  <c:v>35069.374499999998</c:v>
                </c:pt>
                <c:pt idx="918">
                  <c:v>13041.921</c:v>
                </c:pt>
                <c:pt idx="919">
                  <c:v>5245.2268999999997</c:v>
                </c:pt>
                <c:pt idx="920">
                  <c:v>13451.121999999999</c:v>
                </c:pt>
                <c:pt idx="921">
                  <c:v>13462.52</c:v>
                </c:pt>
                <c:pt idx="922">
                  <c:v>5488.2619999999997</c:v>
                </c:pt>
                <c:pt idx="923">
                  <c:v>4320.4107999999997</c:v>
                </c:pt>
                <c:pt idx="924">
                  <c:v>6250.4350000000004</c:v>
                </c:pt>
                <c:pt idx="925">
                  <c:v>25333.3328</c:v>
                </c:pt>
                <c:pt idx="926">
                  <c:v>2913.569</c:v>
                </c:pt>
                <c:pt idx="927">
                  <c:v>12032.325999999999</c:v>
                </c:pt>
                <c:pt idx="928">
                  <c:v>13470.804400000001</c:v>
                </c:pt>
                <c:pt idx="929">
                  <c:v>6289.7548999999999</c:v>
                </c:pt>
                <c:pt idx="930">
                  <c:v>2927.0646999999999</c:v>
                </c:pt>
                <c:pt idx="931">
                  <c:v>6238.2979999999998</c:v>
                </c:pt>
                <c:pt idx="932">
                  <c:v>10096.969999999999</c:v>
                </c:pt>
                <c:pt idx="933">
                  <c:v>7348.1419999999998</c:v>
                </c:pt>
                <c:pt idx="934">
                  <c:v>4673.3922000000002</c:v>
                </c:pt>
                <c:pt idx="935">
                  <c:v>12233.828</c:v>
                </c:pt>
                <c:pt idx="936">
                  <c:v>32108.662799999998</c:v>
                </c:pt>
                <c:pt idx="937">
                  <c:v>8965.7957999999999</c:v>
                </c:pt>
                <c:pt idx="938">
                  <c:v>2304.0021999999999</c:v>
                </c:pt>
                <c:pt idx="939">
                  <c:v>9487.6442000000006</c:v>
                </c:pt>
                <c:pt idx="940">
                  <c:v>1121.8739</c:v>
                </c:pt>
                <c:pt idx="941">
                  <c:v>9549.5650999999998</c:v>
                </c:pt>
                <c:pt idx="942">
                  <c:v>2217.4692</c:v>
                </c:pt>
                <c:pt idx="943">
                  <c:v>1628.4709</c:v>
                </c:pt>
                <c:pt idx="944">
                  <c:v>12982.8747</c:v>
                </c:pt>
                <c:pt idx="945">
                  <c:v>11674.13</c:v>
                </c:pt>
                <c:pt idx="946">
                  <c:v>7160.0940000000001</c:v>
                </c:pt>
                <c:pt idx="947">
                  <c:v>39047.285000000003</c:v>
                </c:pt>
                <c:pt idx="948">
                  <c:v>6358.7763999999997</c:v>
                </c:pt>
                <c:pt idx="949">
                  <c:v>19933.457999999999</c:v>
                </c:pt>
                <c:pt idx="950">
                  <c:v>11534.872600000001</c:v>
                </c:pt>
                <c:pt idx="951">
                  <c:v>47462.894</c:v>
                </c:pt>
                <c:pt idx="952">
                  <c:v>4527.183</c:v>
                </c:pt>
                <c:pt idx="953">
                  <c:v>38998.546000000002</c:v>
                </c:pt>
                <c:pt idx="954">
                  <c:v>20009.633600000001</c:v>
                </c:pt>
                <c:pt idx="955">
                  <c:v>3875.7341000000001</c:v>
                </c:pt>
                <c:pt idx="956">
                  <c:v>41999.519999999997</c:v>
                </c:pt>
                <c:pt idx="957">
                  <c:v>12609.887000000001</c:v>
                </c:pt>
                <c:pt idx="958">
                  <c:v>41034.221400000002</c:v>
                </c:pt>
                <c:pt idx="959">
                  <c:v>28468.919000000002</c:v>
                </c:pt>
                <c:pt idx="960">
                  <c:v>2730.1078000000002</c:v>
                </c:pt>
                <c:pt idx="961">
                  <c:v>3353.2840000000001</c:v>
                </c:pt>
                <c:pt idx="962">
                  <c:v>14474.674999999999</c:v>
                </c:pt>
                <c:pt idx="963">
                  <c:v>9500.5730000000003</c:v>
                </c:pt>
                <c:pt idx="964">
                  <c:v>26467.097399999999</c:v>
                </c:pt>
                <c:pt idx="965">
                  <c:v>4746.3440000000001</c:v>
                </c:pt>
                <c:pt idx="966">
                  <c:v>23967.383000000002</c:v>
                </c:pt>
                <c:pt idx="967">
                  <c:v>7518.0254000000004</c:v>
                </c:pt>
                <c:pt idx="968">
                  <c:v>3279.8685999999998</c:v>
                </c:pt>
                <c:pt idx="969">
                  <c:v>8596.8277999999991</c:v>
                </c:pt>
                <c:pt idx="970">
                  <c:v>10702.642400000001</c:v>
                </c:pt>
                <c:pt idx="971">
                  <c:v>4992.3764000000001</c:v>
                </c:pt>
                <c:pt idx="972">
                  <c:v>2527.8186000000001</c:v>
                </c:pt>
                <c:pt idx="973">
                  <c:v>1759.338</c:v>
                </c:pt>
                <c:pt idx="974">
                  <c:v>2322.6217999999999</c:v>
                </c:pt>
                <c:pt idx="975">
                  <c:v>16138.762000000001</c:v>
                </c:pt>
                <c:pt idx="976">
                  <c:v>7804.1605</c:v>
                </c:pt>
                <c:pt idx="977">
                  <c:v>2902.9065000000001</c:v>
                </c:pt>
                <c:pt idx="978">
                  <c:v>9704.6679999999997</c:v>
                </c:pt>
                <c:pt idx="979">
                  <c:v>4889.0367999999999</c:v>
                </c:pt>
                <c:pt idx="980">
                  <c:v>25517.113600000001</c:v>
                </c:pt>
                <c:pt idx="981">
                  <c:v>4500.3392000000003</c:v>
                </c:pt>
                <c:pt idx="982">
                  <c:v>19199.944</c:v>
                </c:pt>
                <c:pt idx="983">
                  <c:v>16796.411899999999</c:v>
                </c:pt>
                <c:pt idx="984">
                  <c:v>4915.0598</c:v>
                </c:pt>
                <c:pt idx="985">
                  <c:v>7624.63</c:v>
                </c:pt>
                <c:pt idx="986">
                  <c:v>8410.0468000000001</c:v>
                </c:pt>
                <c:pt idx="987">
                  <c:v>28340.1888</c:v>
                </c:pt>
                <c:pt idx="988">
                  <c:v>4518.8262000000004</c:v>
                </c:pt>
                <c:pt idx="989">
                  <c:v>14571.890799999999</c:v>
                </c:pt>
                <c:pt idx="990">
                  <c:v>3378.91</c:v>
                </c:pt>
                <c:pt idx="991">
                  <c:v>7144.8626000000004</c:v>
                </c:pt>
                <c:pt idx="992">
                  <c:v>10118.424000000001</c:v>
                </c:pt>
                <c:pt idx="993">
                  <c:v>5484.4673000000003</c:v>
                </c:pt>
                <c:pt idx="994">
                  <c:v>16420.494600000002</c:v>
                </c:pt>
                <c:pt idx="995">
                  <c:v>7986.4751999999999</c:v>
                </c:pt>
                <c:pt idx="996">
                  <c:v>7418.5219999999999</c:v>
                </c:pt>
                <c:pt idx="997">
                  <c:v>13887.968500000001</c:v>
                </c:pt>
                <c:pt idx="998">
                  <c:v>6551.7501000000002</c:v>
                </c:pt>
                <c:pt idx="999">
                  <c:v>5267.8181999999997</c:v>
                </c:pt>
                <c:pt idx="1000">
                  <c:v>17361.766100000001</c:v>
                </c:pt>
                <c:pt idx="1001">
                  <c:v>34472.841</c:v>
                </c:pt>
                <c:pt idx="1002">
                  <c:v>1972.95</c:v>
                </c:pt>
                <c:pt idx="1003">
                  <c:v>21232.1823</c:v>
                </c:pt>
                <c:pt idx="1004">
                  <c:v>8627.5411000000004</c:v>
                </c:pt>
                <c:pt idx="1005">
                  <c:v>4433.3877000000002</c:v>
                </c:pt>
                <c:pt idx="1006">
                  <c:v>4438.2633999999998</c:v>
                </c:pt>
                <c:pt idx="1007">
                  <c:v>24915.220799999999</c:v>
                </c:pt>
                <c:pt idx="1008">
                  <c:v>23241.4745</c:v>
                </c:pt>
                <c:pt idx="1009">
                  <c:v>9957.7216000000008</c:v>
                </c:pt>
                <c:pt idx="1010">
                  <c:v>8269.0439999999999</c:v>
                </c:pt>
                <c:pt idx="1011">
                  <c:v>18767.737700000001</c:v>
                </c:pt>
                <c:pt idx="1012">
                  <c:v>36580.282200000001</c:v>
                </c:pt>
                <c:pt idx="1013">
                  <c:v>8765.2489999999998</c:v>
                </c:pt>
                <c:pt idx="1014">
                  <c:v>5383.5360000000001</c:v>
                </c:pt>
                <c:pt idx="1015">
                  <c:v>12124.992399999999</c:v>
                </c:pt>
                <c:pt idx="1016">
                  <c:v>2709.2440000000001</c:v>
                </c:pt>
                <c:pt idx="1017">
                  <c:v>3987.9259999999999</c:v>
                </c:pt>
                <c:pt idx="1018">
                  <c:v>12495.290800000001</c:v>
                </c:pt>
                <c:pt idx="1019">
                  <c:v>26018.950499999999</c:v>
                </c:pt>
                <c:pt idx="1020">
                  <c:v>8798.5930000000008</c:v>
                </c:pt>
                <c:pt idx="1021">
                  <c:v>35595.589800000002</c:v>
                </c:pt>
                <c:pt idx="1022">
                  <c:v>42211.138200000001</c:v>
                </c:pt>
                <c:pt idx="1023">
                  <c:v>1711.0268000000001</c:v>
                </c:pt>
                <c:pt idx="1024">
                  <c:v>8569.8618000000006</c:v>
                </c:pt>
                <c:pt idx="1025">
                  <c:v>2020.1769999999999</c:v>
                </c:pt>
                <c:pt idx="1026">
                  <c:v>16450.894700000001</c:v>
                </c:pt>
                <c:pt idx="1027">
                  <c:v>21595.382300000001</c:v>
                </c:pt>
                <c:pt idx="1028">
                  <c:v>9850.4320000000007</c:v>
                </c:pt>
                <c:pt idx="1029">
                  <c:v>6877.9800999999998</c:v>
                </c:pt>
                <c:pt idx="1030">
                  <c:v>21677.2834</c:v>
                </c:pt>
                <c:pt idx="1031">
                  <c:v>44423.803</c:v>
                </c:pt>
                <c:pt idx="1032">
                  <c:v>4137.5227000000004</c:v>
                </c:pt>
                <c:pt idx="1033">
                  <c:v>13747.8724</c:v>
                </c:pt>
                <c:pt idx="1034">
                  <c:v>12950.0712</c:v>
                </c:pt>
                <c:pt idx="1035">
                  <c:v>12094.477999999999</c:v>
                </c:pt>
                <c:pt idx="1036">
                  <c:v>37484.4493</c:v>
                </c:pt>
                <c:pt idx="1037">
                  <c:v>39725.517999999996</c:v>
                </c:pt>
                <c:pt idx="1038">
                  <c:v>2250.8352</c:v>
                </c:pt>
                <c:pt idx="1039">
                  <c:v>22493.659599999999</c:v>
                </c:pt>
                <c:pt idx="1040">
                  <c:v>20234.854800000001</c:v>
                </c:pt>
                <c:pt idx="1041">
                  <c:v>1704.7002</c:v>
                </c:pt>
                <c:pt idx="1042">
                  <c:v>33475.817199999998</c:v>
                </c:pt>
                <c:pt idx="1043">
                  <c:v>3161.4540000000002</c:v>
                </c:pt>
                <c:pt idx="1044">
                  <c:v>11394.0656</c:v>
                </c:pt>
                <c:pt idx="1045">
                  <c:v>21880.82</c:v>
                </c:pt>
                <c:pt idx="1046">
                  <c:v>7325.0482000000002</c:v>
                </c:pt>
                <c:pt idx="1047">
                  <c:v>44501.398200000003</c:v>
                </c:pt>
                <c:pt idx="1048">
                  <c:v>3594.1707999999999</c:v>
                </c:pt>
                <c:pt idx="1049">
                  <c:v>39727.614000000001</c:v>
                </c:pt>
                <c:pt idx="1050">
                  <c:v>8023.1354000000001</c:v>
                </c:pt>
                <c:pt idx="1051">
                  <c:v>14394.5579</c:v>
                </c:pt>
                <c:pt idx="1052">
                  <c:v>9288.0267000000003</c:v>
                </c:pt>
                <c:pt idx="1053">
                  <c:v>25309.489000000001</c:v>
                </c:pt>
                <c:pt idx="1054">
                  <c:v>3353.4703</c:v>
                </c:pt>
                <c:pt idx="1055">
                  <c:v>10594.5016</c:v>
                </c:pt>
                <c:pt idx="1056">
                  <c:v>8277.5229999999992</c:v>
                </c:pt>
                <c:pt idx="1057">
                  <c:v>17929.303400000001</c:v>
                </c:pt>
                <c:pt idx="1058">
                  <c:v>2480.9791</c:v>
                </c:pt>
                <c:pt idx="1059">
                  <c:v>4462.7218000000003</c:v>
                </c:pt>
                <c:pt idx="1060">
                  <c:v>1981.5818999999999</c:v>
                </c:pt>
                <c:pt idx="1061">
                  <c:v>11554.223599999999</c:v>
                </c:pt>
                <c:pt idx="1062">
                  <c:v>48970.247600000002</c:v>
                </c:pt>
                <c:pt idx="1063">
                  <c:v>6548.1949999999997</c:v>
                </c:pt>
                <c:pt idx="1064">
                  <c:v>5708.8670000000002</c:v>
                </c:pt>
                <c:pt idx="1065">
                  <c:v>7045.4989999999998</c:v>
                </c:pt>
                <c:pt idx="1066">
                  <c:v>8978.1851000000006</c:v>
                </c:pt>
                <c:pt idx="1067">
                  <c:v>5757.4134000000004</c:v>
                </c:pt>
                <c:pt idx="1068">
                  <c:v>14349.8544</c:v>
                </c:pt>
                <c:pt idx="1069">
                  <c:v>10928.849</c:v>
                </c:pt>
                <c:pt idx="1070">
                  <c:v>39871.704299999998</c:v>
                </c:pt>
                <c:pt idx="1071">
                  <c:v>13974.455599999999</c:v>
                </c:pt>
                <c:pt idx="1072">
                  <c:v>1909.5273999999999</c:v>
                </c:pt>
                <c:pt idx="1073">
                  <c:v>12096.6512</c:v>
                </c:pt>
                <c:pt idx="1074">
                  <c:v>13204.285599999999</c:v>
                </c:pt>
                <c:pt idx="1075">
                  <c:v>4562.8420999999998</c:v>
                </c:pt>
                <c:pt idx="1076">
                  <c:v>8551.3469999999998</c:v>
                </c:pt>
                <c:pt idx="1077">
                  <c:v>2102.2647000000002</c:v>
                </c:pt>
                <c:pt idx="1078">
                  <c:v>34672.147199999999</c:v>
                </c:pt>
                <c:pt idx="1079">
                  <c:v>15161.5344</c:v>
                </c:pt>
                <c:pt idx="1080">
                  <c:v>11884.0486</c:v>
                </c:pt>
                <c:pt idx="1081">
                  <c:v>4454.4026000000003</c:v>
                </c:pt>
                <c:pt idx="1082">
                  <c:v>5855.9025000000001</c:v>
                </c:pt>
                <c:pt idx="1083">
                  <c:v>4076.4969999999998</c:v>
                </c:pt>
                <c:pt idx="1084">
                  <c:v>15019.76</c:v>
                </c:pt>
                <c:pt idx="1085">
                  <c:v>19023.259999999998</c:v>
                </c:pt>
                <c:pt idx="1086">
                  <c:v>10796.350200000001</c:v>
                </c:pt>
                <c:pt idx="1087">
                  <c:v>11353.2276</c:v>
                </c:pt>
                <c:pt idx="1088">
                  <c:v>9748.9105999999992</c:v>
                </c:pt>
                <c:pt idx="1089">
                  <c:v>10577.087</c:v>
                </c:pt>
                <c:pt idx="1090">
                  <c:v>41676.081100000003</c:v>
                </c:pt>
                <c:pt idx="1091">
                  <c:v>11286.538699999999</c:v>
                </c:pt>
                <c:pt idx="1092">
                  <c:v>3591.48</c:v>
                </c:pt>
                <c:pt idx="1093">
                  <c:v>33907.548000000003</c:v>
                </c:pt>
                <c:pt idx="1094">
                  <c:v>11299.343000000001</c:v>
                </c:pt>
                <c:pt idx="1095">
                  <c:v>4561.1885000000002</c:v>
                </c:pt>
                <c:pt idx="1096">
                  <c:v>44641.197399999997</c:v>
                </c:pt>
                <c:pt idx="1097">
                  <c:v>1674.6323</c:v>
                </c:pt>
                <c:pt idx="1098">
                  <c:v>23045.566200000001</c:v>
                </c:pt>
                <c:pt idx="1099">
                  <c:v>3227.1210999999998</c:v>
                </c:pt>
                <c:pt idx="1100">
                  <c:v>16776.304</c:v>
                </c:pt>
                <c:pt idx="1101">
                  <c:v>11253.421</c:v>
                </c:pt>
                <c:pt idx="1102">
                  <c:v>3471.4096</c:v>
                </c:pt>
                <c:pt idx="1103">
                  <c:v>11363.2832</c:v>
                </c:pt>
                <c:pt idx="1104">
                  <c:v>20420.604599999999</c:v>
                </c:pt>
                <c:pt idx="1105">
                  <c:v>10338.9316</c:v>
                </c:pt>
                <c:pt idx="1106">
                  <c:v>8988.1587999999992</c:v>
                </c:pt>
                <c:pt idx="1107">
                  <c:v>10493.9458</c:v>
                </c:pt>
                <c:pt idx="1108">
                  <c:v>2904.0880000000002</c:v>
                </c:pt>
                <c:pt idx="1109">
                  <c:v>8605.3615000000009</c:v>
                </c:pt>
                <c:pt idx="1110">
                  <c:v>11512.405000000001</c:v>
                </c:pt>
                <c:pt idx="1111">
                  <c:v>41949.244100000004</c:v>
                </c:pt>
                <c:pt idx="1112">
                  <c:v>24180.933499999999</c:v>
                </c:pt>
                <c:pt idx="1113">
                  <c:v>5312.1697999999997</c:v>
                </c:pt>
                <c:pt idx="1114">
                  <c:v>2396.0958999999998</c:v>
                </c:pt>
                <c:pt idx="1115">
                  <c:v>10807.4863</c:v>
                </c:pt>
                <c:pt idx="1116">
                  <c:v>9222.4025999999994</c:v>
                </c:pt>
                <c:pt idx="1117">
                  <c:v>36124.573700000001</c:v>
                </c:pt>
                <c:pt idx="1118">
                  <c:v>38282.749499999998</c:v>
                </c:pt>
                <c:pt idx="1119">
                  <c:v>5693.4305000000004</c:v>
                </c:pt>
                <c:pt idx="1120">
                  <c:v>34166.273000000001</c:v>
                </c:pt>
                <c:pt idx="1121">
                  <c:v>8347.1643000000004</c:v>
                </c:pt>
                <c:pt idx="1122">
                  <c:v>46661.4424</c:v>
                </c:pt>
                <c:pt idx="1123">
                  <c:v>18903.491399999999</c:v>
                </c:pt>
                <c:pt idx="1124">
                  <c:v>40904.199500000002</c:v>
                </c:pt>
                <c:pt idx="1125">
                  <c:v>14254.608200000001</c:v>
                </c:pt>
                <c:pt idx="1126">
                  <c:v>10214.636</c:v>
                </c:pt>
                <c:pt idx="1127">
                  <c:v>5836.5204000000003</c:v>
                </c:pt>
                <c:pt idx="1128">
                  <c:v>14358.3644</c:v>
                </c:pt>
                <c:pt idx="1129">
                  <c:v>1728.8969999999999</c:v>
                </c:pt>
                <c:pt idx="1130">
                  <c:v>8582.3022999999994</c:v>
                </c:pt>
                <c:pt idx="1131">
                  <c:v>3693.4279999999999</c:v>
                </c:pt>
                <c:pt idx="1132">
                  <c:v>20709.0203</c:v>
                </c:pt>
                <c:pt idx="1133">
                  <c:v>9991.0375999999997</c:v>
                </c:pt>
                <c:pt idx="1134">
                  <c:v>19673.3357</c:v>
                </c:pt>
                <c:pt idx="1135">
                  <c:v>11085.586799999999</c:v>
                </c:pt>
                <c:pt idx="1136">
                  <c:v>7623.518</c:v>
                </c:pt>
                <c:pt idx="1137">
                  <c:v>3176.2876999999999</c:v>
                </c:pt>
                <c:pt idx="1138">
                  <c:v>3704.3544999999999</c:v>
                </c:pt>
                <c:pt idx="1139">
                  <c:v>36898.733099999998</c:v>
                </c:pt>
                <c:pt idx="1140">
                  <c:v>9048.0272999999997</c:v>
                </c:pt>
                <c:pt idx="1141">
                  <c:v>7954.5169999999998</c:v>
                </c:pt>
                <c:pt idx="1142">
                  <c:v>27117.9938</c:v>
                </c:pt>
                <c:pt idx="1143">
                  <c:v>6338.0756000000001</c:v>
                </c:pt>
                <c:pt idx="1144">
                  <c:v>9630.3970000000008</c:v>
                </c:pt>
                <c:pt idx="1145">
                  <c:v>11289.109200000001</c:v>
                </c:pt>
                <c:pt idx="1146">
                  <c:v>52590.829400000002</c:v>
                </c:pt>
                <c:pt idx="1147">
                  <c:v>2261.5688</c:v>
                </c:pt>
                <c:pt idx="1148">
                  <c:v>10791.96</c:v>
                </c:pt>
                <c:pt idx="1149">
                  <c:v>5979.7309999999998</c:v>
                </c:pt>
                <c:pt idx="1150">
                  <c:v>2203.7359999999999</c:v>
                </c:pt>
                <c:pt idx="1151">
                  <c:v>12235.8392</c:v>
                </c:pt>
                <c:pt idx="1152">
                  <c:v>40941.285400000001</c:v>
                </c:pt>
                <c:pt idx="1153">
                  <c:v>5630.4578000000001</c:v>
                </c:pt>
                <c:pt idx="1154">
                  <c:v>11015.1747</c:v>
                </c:pt>
                <c:pt idx="1155">
                  <c:v>7228.2156000000004</c:v>
                </c:pt>
                <c:pt idx="1156">
                  <c:v>39722.746200000001</c:v>
                </c:pt>
                <c:pt idx="1157">
                  <c:v>14426.0738</c:v>
                </c:pt>
                <c:pt idx="1158">
                  <c:v>2459.7201</c:v>
                </c:pt>
                <c:pt idx="1159">
                  <c:v>3989.8409999999999</c:v>
                </c:pt>
                <c:pt idx="1160">
                  <c:v>7727.2532000000001</c:v>
                </c:pt>
                <c:pt idx="1161">
                  <c:v>5124.1886999999997</c:v>
                </c:pt>
                <c:pt idx="1162">
                  <c:v>18963.171900000001</c:v>
                </c:pt>
                <c:pt idx="1163">
                  <c:v>2200.8308000000002</c:v>
                </c:pt>
                <c:pt idx="1164">
                  <c:v>7153.5538999999999</c:v>
                </c:pt>
                <c:pt idx="1165">
                  <c:v>5227.9888000000001</c:v>
                </c:pt>
                <c:pt idx="1166">
                  <c:v>10982.5013</c:v>
                </c:pt>
                <c:pt idx="1167">
                  <c:v>4529.4769999999999</c:v>
                </c:pt>
                <c:pt idx="1168">
                  <c:v>4670.6400000000003</c:v>
                </c:pt>
                <c:pt idx="1169">
                  <c:v>6112.3530000000001</c:v>
                </c:pt>
                <c:pt idx="1170">
                  <c:v>17178.682400000002</c:v>
                </c:pt>
                <c:pt idx="1171">
                  <c:v>22478.6</c:v>
                </c:pt>
                <c:pt idx="1172">
                  <c:v>11093.6229</c:v>
                </c:pt>
                <c:pt idx="1173">
                  <c:v>6457.8433999999997</c:v>
                </c:pt>
                <c:pt idx="1174">
                  <c:v>4433.9159</c:v>
                </c:pt>
                <c:pt idx="1175">
                  <c:v>2154.3609999999999</c:v>
                </c:pt>
                <c:pt idx="1176">
                  <c:v>23887.662700000001</c:v>
                </c:pt>
                <c:pt idx="1177">
                  <c:v>6496.8860000000004</c:v>
                </c:pt>
                <c:pt idx="1178">
                  <c:v>2899.4893999999999</c:v>
                </c:pt>
                <c:pt idx="1179">
                  <c:v>19350.368900000001</c:v>
                </c:pt>
                <c:pt idx="1180">
                  <c:v>7650.7737999999999</c:v>
                </c:pt>
                <c:pt idx="1181">
                  <c:v>2850.6837999999998</c:v>
                </c:pt>
                <c:pt idx="1182">
                  <c:v>2632.9920000000002</c:v>
                </c:pt>
                <c:pt idx="1183">
                  <c:v>9447.3824000000004</c:v>
                </c:pt>
                <c:pt idx="1184">
                  <c:v>18328.238099999999</c:v>
                </c:pt>
                <c:pt idx="1185">
                  <c:v>8603.8233999999993</c:v>
                </c:pt>
                <c:pt idx="1186">
                  <c:v>37465.343800000002</c:v>
                </c:pt>
                <c:pt idx="1187">
                  <c:v>13844.797200000001</c:v>
                </c:pt>
                <c:pt idx="1188">
                  <c:v>21771.3423</c:v>
                </c:pt>
                <c:pt idx="1189">
                  <c:v>13126.6774</c:v>
                </c:pt>
                <c:pt idx="1190">
                  <c:v>5327.4002</c:v>
                </c:pt>
                <c:pt idx="1191">
                  <c:v>13725.471799999999</c:v>
                </c:pt>
                <c:pt idx="1192">
                  <c:v>13019.161</c:v>
                </c:pt>
                <c:pt idx="1193">
                  <c:v>8671.1911999999993</c:v>
                </c:pt>
                <c:pt idx="1194">
                  <c:v>4134.0824000000002</c:v>
                </c:pt>
                <c:pt idx="1195">
                  <c:v>18838.703699999998</c:v>
                </c:pt>
                <c:pt idx="1196">
                  <c:v>33307.550799999997</c:v>
                </c:pt>
                <c:pt idx="1197">
                  <c:v>5699.8374999999996</c:v>
                </c:pt>
                <c:pt idx="1198">
                  <c:v>6393.6034</c:v>
                </c:pt>
                <c:pt idx="1199">
                  <c:v>4934.7049999999999</c:v>
                </c:pt>
                <c:pt idx="1200">
                  <c:v>6198.7518</c:v>
                </c:pt>
                <c:pt idx="1201">
                  <c:v>8733.2291999999998</c:v>
                </c:pt>
                <c:pt idx="1202">
                  <c:v>2055.3249000000001</c:v>
                </c:pt>
                <c:pt idx="1203">
                  <c:v>9964.06</c:v>
                </c:pt>
                <c:pt idx="1204">
                  <c:v>18223.4512</c:v>
                </c:pt>
                <c:pt idx="1205">
                  <c:v>5116.5003999999999</c:v>
                </c:pt>
                <c:pt idx="1206">
                  <c:v>36910.608</c:v>
                </c:pt>
                <c:pt idx="1207">
                  <c:v>38415.474000000002</c:v>
                </c:pt>
                <c:pt idx="1208">
                  <c:v>20296.863399999998</c:v>
                </c:pt>
                <c:pt idx="1209">
                  <c:v>12347.172</c:v>
                </c:pt>
                <c:pt idx="1210">
                  <c:v>5373.3642</c:v>
                </c:pt>
                <c:pt idx="1211">
                  <c:v>23563.016199999998</c:v>
                </c:pt>
                <c:pt idx="1212">
                  <c:v>1702.4553000000001</c:v>
                </c:pt>
                <c:pt idx="1213">
                  <c:v>10806.839</c:v>
                </c:pt>
                <c:pt idx="1214">
                  <c:v>3956.0713999999998</c:v>
                </c:pt>
                <c:pt idx="1215">
                  <c:v>12890.0576</c:v>
                </c:pt>
                <c:pt idx="1216">
                  <c:v>5415.6611999999996</c:v>
                </c:pt>
                <c:pt idx="1217">
                  <c:v>4058.1161000000002</c:v>
                </c:pt>
                <c:pt idx="1218">
                  <c:v>41661.601999999999</c:v>
                </c:pt>
                <c:pt idx="1219">
                  <c:v>7537.1638999999996</c:v>
                </c:pt>
                <c:pt idx="1220">
                  <c:v>4718.2035999999998</c:v>
                </c:pt>
                <c:pt idx="1221">
                  <c:v>6593.5083000000004</c:v>
                </c:pt>
                <c:pt idx="1222">
                  <c:v>8442.6669999999995</c:v>
                </c:pt>
                <c:pt idx="1223">
                  <c:v>26125.674800000001</c:v>
                </c:pt>
                <c:pt idx="1224">
                  <c:v>6858.4795999999997</c:v>
                </c:pt>
                <c:pt idx="1225">
                  <c:v>4795.6567999999997</c:v>
                </c:pt>
                <c:pt idx="1226">
                  <c:v>6640.5447999999997</c:v>
                </c:pt>
                <c:pt idx="1227">
                  <c:v>7162.0122000000001</c:v>
                </c:pt>
                <c:pt idx="1228">
                  <c:v>10594.225700000001</c:v>
                </c:pt>
                <c:pt idx="1229">
                  <c:v>11938.255999999999</c:v>
                </c:pt>
                <c:pt idx="1230">
                  <c:v>60021.398999999998</c:v>
                </c:pt>
                <c:pt idx="1231">
                  <c:v>20167.335999999999</c:v>
                </c:pt>
                <c:pt idx="1232">
                  <c:v>12479.709000000001</c:v>
                </c:pt>
                <c:pt idx="1233">
                  <c:v>11345.519</c:v>
                </c:pt>
                <c:pt idx="1234">
                  <c:v>8515.7587000000003</c:v>
                </c:pt>
                <c:pt idx="1235">
                  <c:v>2699.5684000000001</c:v>
                </c:pt>
                <c:pt idx="1236">
                  <c:v>14449.8544</c:v>
                </c:pt>
                <c:pt idx="1237">
                  <c:v>12224.3508</c:v>
                </c:pt>
                <c:pt idx="1238">
                  <c:v>6985.5069999999996</c:v>
                </c:pt>
                <c:pt idx="1239">
                  <c:v>3238.4357</c:v>
                </c:pt>
                <c:pt idx="1240">
                  <c:v>47269.853999999999</c:v>
                </c:pt>
                <c:pt idx="1241">
                  <c:v>49577.662400000001</c:v>
                </c:pt>
                <c:pt idx="1242">
                  <c:v>4296.2712000000001</c:v>
                </c:pt>
                <c:pt idx="1243">
                  <c:v>3171.6149</c:v>
                </c:pt>
                <c:pt idx="1244">
                  <c:v>1135.9407000000001</c:v>
                </c:pt>
                <c:pt idx="1245">
                  <c:v>5615.3689999999997</c:v>
                </c:pt>
                <c:pt idx="1246">
                  <c:v>9101.7980000000007</c:v>
                </c:pt>
                <c:pt idx="1247">
                  <c:v>6059.1729999999998</c:v>
                </c:pt>
                <c:pt idx="1248">
                  <c:v>1633.9618</c:v>
                </c:pt>
                <c:pt idx="1249">
                  <c:v>37607.527699999999</c:v>
                </c:pt>
                <c:pt idx="1250">
                  <c:v>18648.421699999999</c:v>
                </c:pt>
                <c:pt idx="1251">
                  <c:v>1241.5650000000001</c:v>
                </c:pt>
                <c:pt idx="1252">
                  <c:v>16232.847</c:v>
                </c:pt>
                <c:pt idx="1253">
                  <c:v>15828.8217</c:v>
                </c:pt>
                <c:pt idx="1254">
                  <c:v>4415.1588000000002</c:v>
                </c:pt>
                <c:pt idx="1255">
                  <c:v>6474.0129999999999</c:v>
                </c:pt>
                <c:pt idx="1256">
                  <c:v>11436.7382</c:v>
                </c:pt>
                <c:pt idx="1257">
                  <c:v>11305.934600000001</c:v>
                </c:pt>
                <c:pt idx="1258">
                  <c:v>30063.580600000001</c:v>
                </c:pt>
                <c:pt idx="1259">
                  <c:v>10197.772199999999</c:v>
                </c:pt>
                <c:pt idx="1260">
                  <c:v>4544.2348000000002</c:v>
                </c:pt>
                <c:pt idx="1261">
                  <c:v>3277.1610000000001</c:v>
                </c:pt>
                <c:pt idx="1262">
                  <c:v>6770.1925000000001</c:v>
                </c:pt>
                <c:pt idx="1263">
                  <c:v>7337.7479999999996</c:v>
                </c:pt>
                <c:pt idx="1264">
                  <c:v>10370.9126</c:v>
                </c:pt>
                <c:pt idx="1265">
                  <c:v>26926.5144</c:v>
                </c:pt>
                <c:pt idx="1266">
                  <c:v>10704.47</c:v>
                </c:pt>
                <c:pt idx="1267">
                  <c:v>34254.053399999997</c:v>
                </c:pt>
                <c:pt idx="1268">
                  <c:v>1880.4870000000001</c:v>
                </c:pt>
                <c:pt idx="1269">
                  <c:v>8615.2999999999993</c:v>
                </c:pt>
                <c:pt idx="1270">
                  <c:v>3292.5297999999998</c:v>
                </c:pt>
                <c:pt idx="1271">
                  <c:v>3021.8092000000001</c:v>
                </c:pt>
                <c:pt idx="1272">
                  <c:v>14478.3302</c:v>
                </c:pt>
                <c:pt idx="1273">
                  <c:v>4747.0528999999997</c:v>
                </c:pt>
                <c:pt idx="1274">
                  <c:v>17043.341400000001</c:v>
                </c:pt>
                <c:pt idx="1275">
                  <c:v>10959.33</c:v>
                </c:pt>
                <c:pt idx="1276">
                  <c:v>2741.9479999999999</c:v>
                </c:pt>
                <c:pt idx="1277">
                  <c:v>4357.0436</c:v>
                </c:pt>
                <c:pt idx="1278">
                  <c:v>22462.043799999999</c:v>
                </c:pt>
                <c:pt idx="1279">
                  <c:v>4189.1130999999996</c:v>
                </c:pt>
                <c:pt idx="1280">
                  <c:v>8283.6807000000008</c:v>
                </c:pt>
                <c:pt idx="1281">
                  <c:v>24535.6986</c:v>
                </c:pt>
                <c:pt idx="1282">
                  <c:v>14283.4594</c:v>
                </c:pt>
                <c:pt idx="1283">
                  <c:v>1720.3536999999999</c:v>
                </c:pt>
                <c:pt idx="1284">
                  <c:v>47403.88</c:v>
                </c:pt>
                <c:pt idx="1285">
                  <c:v>8534.6718000000001</c:v>
                </c:pt>
                <c:pt idx="1286">
                  <c:v>3732.6251000000002</c:v>
                </c:pt>
                <c:pt idx="1287">
                  <c:v>5472.4489999999996</c:v>
                </c:pt>
                <c:pt idx="1288">
                  <c:v>38344.565999999999</c:v>
                </c:pt>
                <c:pt idx="1289">
                  <c:v>7147.4727999999996</c:v>
                </c:pt>
                <c:pt idx="1290">
                  <c:v>7133.9025000000001</c:v>
                </c:pt>
                <c:pt idx="1291">
                  <c:v>34828.654000000002</c:v>
                </c:pt>
                <c:pt idx="1292">
                  <c:v>1515.3449000000001</c:v>
                </c:pt>
                <c:pt idx="1293">
                  <c:v>9301.8935999999994</c:v>
                </c:pt>
                <c:pt idx="1294">
                  <c:v>11931.1252</c:v>
                </c:pt>
                <c:pt idx="1295">
                  <c:v>1964.78</c:v>
                </c:pt>
                <c:pt idx="1296">
                  <c:v>1708.9258</c:v>
                </c:pt>
                <c:pt idx="1297">
                  <c:v>4340.4408999999996</c:v>
                </c:pt>
                <c:pt idx="1298">
                  <c:v>5261.4694</c:v>
                </c:pt>
                <c:pt idx="1299">
                  <c:v>2710.8285999999998</c:v>
                </c:pt>
                <c:pt idx="1300">
                  <c:v>62592.873099999997</c:v>
                </c:pt>
                <c:pt idx="1301">
                  <c:v>46718.163200000003</c:v>
                </c:pt>
                <c:pt idx="1302">
                  <c:v>3208.7869999999998</c:v>
                </c:pt>
                <c:pt idx="1303">
                  <c:v>37829.724199999997</c:v>
                </c:pt>
                <c:pt idx="1304">
                  <c:v>21259.378000000001</c:v>
                </c:pt>
                <c:pt idx="1305">
                  <c:v>2464.6188000000002</c:v>
                </c:pt>
                <c:pt idx="1306">
                  <c:v>16115.3045</c:v>
                </c:pt>
                <c:pt idx="1307">
                  <c:v>21472.478800000001</c:v>
                </c:pt>
                <c:pt idx="1308">
                  <c:v>33900.652999999998</c:v>
                </c:pt>
                <c:pt idx="1309">
                  <c:v>6875.9610000000002</c:v>
                </c:pt>
                <c:pt idx="1310">
                  <c:v>6940.9098000000004</c:v>
                </c:pt>
                <c:pt idx="1311">
                  <c:v>4571.4129999999996</c:v>
                </c:pt>
                <c:pt idx="1312">
                  <c:v>4536.259</c:v>
                </c:pt>
                <c:pt idx="1313">
                  <c:v>36397.576000000001</c:v>
                </c:pt>
                <c:pt idx="1314">
                  <c:v>18765.875400000001</c:v>
                </c:pt>
                <c:pt idx="1315">
                  <c:v>11272.331399999999</c:v>
                </c:pt>
                <c:pt idx="1316">
                  <c:v>1731.6769999999999</c:v>
                </c:pt>
                <c:pt idx="1317">
                  <c:v>1163.4627</c:v>
                </c:pt>
                <c:pt idx="1318">
                  <c:v>19496.7192</c:v>
                </c:pt>
                <c:pt idx="1319">
                  <c:v>7201.7007999999996</c:v>
                </c:pt>
                <c:pt idx="1320">
                  <c:v>5425.0234</c:v>
                </c:pt>
                <c:pt idx="1321">
                  <c:v>28101.332999999999</c:v>
                </c:pt>
                <c:pt idx="1322">
                  <c:v>12981.3457</c:v>
                </c:pt>
                <c:pt idx="1323">
                  <c:v>43896.376300000004</c:v>
                </c:pt>
                <c:pt idx="1324">
                  <c:v>4239.8926000000001</c:v>
                </c:pt>
                <c:pt idx="1325">
                  <c:v>13143.336600000001</c:v>
                </c:pt>
                <c:pt idx="1326">
                  <c:v>7050.0213000000003</c:v>
                </c:pt>
                <c:pt idx="1327">
                  <c:v>9377.9046999999991</c:v>
                </c:pt>
                <c:pt idx="1328">
                  <c:v>22395.744200000001</c:v>
                </c:pt>
                <c:pt idx="1329">
                  <c:v>10325.206</c:v>
                </c:pt>
                <c:pt idx="1330">
                  <c:v>12629.1656</c:v>
                </c:pt>
                <c:pt idx="1331">
                  <c:v>10795.9373</c:v>
                </c:pt>
                <c:pt idx="1332">
                  <c:v>11411.684999999999</c:v>
                </c:pt>
                <c:pt idx="1333">
                  <c:v>10600.5483</c:v>
                </c:pt>
                <c:pt idx="1334">
                  <c:v>2205.9807999999998</c:v>
                </c:pt>
                <c:pt idx="1335">
                  <c:v>1629.8335</c:v>
                </c:pt>
                <c:pt idx="1336">
                  <c:v>2007.9449999999999</c:v>
                </c:pt>
                <c:pt idx="1337">
                  <c:v>29141.3603</c:v>
                </c:pt>
              </c:numCache>
            </c:numRef>
          </c:yVal>
          <c:smooth val="0"/>
          <c:extLst>
            <c:ext xmlns:c16="http://schemas.microsoft.com/office/drawing/2014/chart" uri="{C3380CC4-5D6E-409C-BE32-E72D297353CC}">
              <c16:uniqueId val="{00000001-E6D4-44F1-AE94-5AE9CE0C1DAC}"/>
            </c:ext>
          </c:extLst>
        </c:ser>
        <c:dLbls>
          <c:showLegendKey val="0"/>
          <c:showVal val="0"/>
          <c:showCatName val="0"/>
          <c:showSerName val="0"/>
          <c:showPercent val="0"/>
          <c:showBubbleSize val="0"/>
        </c:dLbls>
        <c:axId val="1854416127"/>
        <c:axId val="1854416607"/>
      </c:scatterChart>
      <c:valAx>
        <c:axId val="1854416127"/>
        <c:scaling>
          <c:orientation val="minMax"/>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Smoker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416607"/>
        <c:crosses val="autoZero"/>
        <c:crossBetween val="midCat"/>
      </c:valAx>
      <c:valAx>
        <c:axId val="18544166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Charges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409]#,##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416127"/>
        <c:crossesAt val="-1"/>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BMI Vs Charges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'insurance (Clean)'!$I$2:$I$1339</c:f>
              <c:numCache>
                <c:formatCode>General</c:formatCode>
                <c:ptCount val="1338"/>
                <c:pt idx="0">
                  <c:v>27.9</c:v>
                </c:pt>
                <c:pt idx="1">
                  <c:v>33.770000000000003</c:v>
                </c:pt>
                <c:pt idx="2">
                  <c:v>33</c:v>
                </c:pt>
                <c:pt idx="3">
                  <c:v>22.704999999999998</c:v>
                </c:pt>
                <c:pt idx="4">
                  <c:v>28.88</c:v>
                </c:pt>
                <c:pt idx="5">
                  <c:v>25.74</c:v>
                </c:pt>
                <c:pt idx="6">
                  <c:v>33.44</c:v>
                </c:pt>
                <c:pt idx="7">
                  <c:v>27.74</c:v>
                </c:pt>
                <c:pt idx="8">
                  <c:v>29.83</c:v>
                </c:pt>
                <c:pt idx="9">
                  <c:v>25.84</c:v>
                </c:pt>
                <c:pt idx="10">
                  <c:v>26.22</c:v>
                </c:pt>
                <c:pt idx="11">
                  <c:v>26.29</c:v>
                </c:pt>
                <c:pt idx="12">
                  <c:v>34.4</c:v>
                </c:pt>
                <c:pt idx="13">
                  <c:v>39.82</c:v>
                </c:pt>
                <c:pt idx="14">
                  <c:v>42.13</c:v>
                </c:pt>
                <c:pt idx="15">
                  <c:v>24.6</c:v>
                </c:pt>
                <c:pt idx="16">
                  <c:v>30.78</c:v>
                </c:pt>
                <c:pt idx="17">
                  <c:v>23.844999999999999</c:v>
                </c:pt>
                <c:pt idx="18">
                  <c:v>40.299999999999997</c:v>
                </c:pt>
                <c:pt idx="19">
                  <c:v>35.299999999999997</c:v>
                </c:pt>
                <c:pt idx="20">
                  <c:v>36.005000000000003</c:v>
                </c:pt>
                <c:pt idx="21">
                  <c:v>32.4</c:v>
                </c:pt>
                <c:pt idx="22">
                  <c:v>34.1</c:v>
                </c:pt>
                <c:pt idx="23">
                  <c:v>31.92</c:v>
                </c:pt>
                <c:pt idx="24">
                  <c:v>28.024999999999999</c:v>
                </c:pt>
                <c:pt idx="25">
                  <c:v>27.72</c:v>
                </c:pt>
                <c:pt idx="26">
                  <c:v>23.085000000000001</c:v>
                </c:pt>
                <c:pt idx="27">
                  <c:v>32.774999999999999</c:v>
                </c:pt>
                <c:pt idx="28">
                  <c:v>17.385000000000002</c:v>
                </c:pt>
                <c:pt idx="29">
                  <c:v>36.299999999999997</c:v>
                </c:pt>
                <c:pt idx="30">
                  <c:v>35.6</c:v>
                </c:pt>
                <c:pt idx="31">
                  <c:v>26.315000000000001</c:v>
                </c:pt>
                <c:pt idx="32">
                  <c:v>28.6</c:v>
                </c:pt>
                <c:pt idx="33">
                  <c:v>28.31</c:v>
                </c:pt>
                <c:pt idx="34">
                  <c:v>36.4</c:v>
                </c:pt>
                <c:pt idx="35">
                  <c:v>20.425000000000001</c:v>
                </c:pt>
                <c:pt idx="36">
                  <c:v>32.965000000000003</c:v>
                </c:pt>
                <c:pt idx="37">
                  <c:v>20.8</c:v>
                </c:pt>
                <c:pt idx="38">
                  <c:v>36.67</c:v>
                </c:pt>
                <c:pt idx="39">
                  <c:v>39.9</c:v>
                </c:pt>
                <c:pt idx="40">
                  <c:v>26.6</c:v>
                </c:pt>
                <c:pt idx="41">
                  <c:v>36.630000000000003</c:v>
                </c:pt>
                <c:pt idx="42">
                  <c:v>21.78</c:v>
                </c:pt>
                <c:pt idx="43">
                  <c:v>30.8</c:v>
                </c:pt>
                <c:pt idx="44">
                  <c:v>37.049999999999997</c:v>
                </c:pt>
                <c:pt idx="45">
                  <c:v>37.299999999999997</c:v>
                </c:pt>
                <c:pt idx="46">
                  <c:v>38.664999999999999</c:v>
                </c:pt>
                <c:pt idx="47">
                  <c:v>34.770000000000003</c:v>
                </c:pt>
                <c:pt idx="48">
                  <c:v>24.53</c:v>
                </c:pt>
                <c:pt idx="49">
                  <c:v>35.200000000000003</c:v>
                </c:pt>
                <c:pt idx="50">
                  <c:v>35.625</c:v>
                </c:pt>
                <c:pt idx="51">
                  <c:v>33.630000000000003</c:v>
                </c:pt>
                <c:pt idx="52">
                  <c:v>28</c:v>
                </c:pt>
                <c:pt idx="53">
                  <c:v>34.43</c:v>
                </c:pt>
                <c:pt idx="54">
                  <c:v>28.69</c:v>
                </c:pt>
                <c:pt idx="55">
                  <c:v>36.954999999999998</c:v>
                </c:pt>
                <c:pt idx="56">
                  <c:v>31.824999999999999</c:v>
                </c:pt>
                <c:pt idx="57">
                  <c:v>31.68</c:v>
                </c:pt>
                <c:pt idx="58">
                  <c:v>22.88</c:v>
                </c:pt>
                <c:pt idx="59">
                  <c:v>37.335000000000001</c:v>
                </c:pt>
                <c:pt idx="60">
                  <c:v>27.36</c:v>
                </c:pt>
                <c:pt idx="61">
                  <c:v>33.659999999999997</c:v>
                </c:pt>
                <c:pt idx="62">
                  <c:v>24.7</c:v>
                </c:pt>
                <c:pt idx="63">
                  <c:v>25.934999999999999</c:v>
                </c:pt>
                <c:pt idx="64">
                  <c:v>22.42</c:v>
                </c:pt>
                <c:pt idx="65">
                  <c:v>28.9</c:v>
                </c:pt>
                <c:pt idx="66">
                  <c:v>39.1</c:v>
                </c:pt>
                <c:pt idx="67">
                  <c:v>26.315000000000001</c:v>
                </c:pt>
                <c:pt idx="68">
                  <c:v>36.19</c:v>
                </c:pt>
                <c:pt idx="69">
                  <c:v>23.98</c:v>
                </c:pt>
                <c:pt idx="70">
                  <c:v>24.75</c:v>
                </c:pt>
                <c:pt idx="71">
                  <c:v>28.5</c:v>
                </c:pt>
                <c:pt idx="72">
                  <c:v>28.1</c:v>
                </c:pt>
                <c:pt idx="73">
                  <c:v>32.01</c:v>
                </c:pt>
                <c:pt idx="74">
                  <c:v>27.4</c:v>
                </c:pt>
                <c:pt idx="75">
                  <c:v>34.01</c:v>
                </c:pt>
                <c:pt idx="76">
                  <c:v>29.59</c:v>
                </c:pt>
                <c:pt idx="77">
                  <c:v>35.53</c:v>
                </c:pt>
                <c:pt idx="78">
                  <c:v>39.805</c:v>
                </c:pt>
                <c:pt idx="79">
                  <c:v>32.965000000000003</c:v>
                </c:pt>
                <c:pt idx="80">
                  <c:v>26.885000000000002</c:v>
                </c:pt>
                <c:pt idx="81">
                  <c:v>38.284999999999997</c:v>
                </c:pt>
                <c:pt idx="82">
                  <c:v>37.619999999999997</c:v>
                </c:pt>
                <c:pt idx="83">
                  <c:v>41.23</c:v>
                </c:pt>
                <c:pt idx="84">
                  <c:v>34.799999999999997</c:v>
                </c:pt>
                <c:pt idx="85">
                  <c:v>22.895</c:v>
                </c:pt>
                <c:pt idx="86">
                  <c:v>31.16</c:v>
                </c:pt>
                <c:pt idx="87">
                  <c:v>27.2</c:v>
                </c:pt>
                <c:pt idx="88">
                  <c:v>27.74</c:v>
                </c:pt>
                <c:pt idx="89">
                  <c:v>26.98</c:v>
                </c:pt>
                <c:pt idx="90">
                  <c:v>39.49</c:v>
                </c:pt>
                <c:pt idx="91">
                  <c:v>24.795000000000002</c:v>
                </c:pt>
                <c:pt idx="92">
                  <c:v>29.83</c:v>
                </c:pt>
                <c:pt idx="93">
                  <c:v>34.770000000000003</c:v>
                </c:pt>
                <c:pt idx="94">
                  <c:v>31.3</c:v>
                </c:pt>
                <c:pt idx="95">
                  <c:v>37.619999999999997</c:v>
                </c:pt>
                <c:pt idx="96">
                  <c:v>30.8</c:v>
                </c:pt>
                <c:pt idx="97">
                  <c:v>38.28</c:v>
                </c:pt>
                <c:pt idx="98">
                  <c:v>19.95</c:v>
                </c:pt>
                <c:pt idx="99">
                  <c:v>19.3</c:v>
                </c:pt>
                <c:pt idx="100">
                  <c:v>31.6</c:v>
                </c:pt>
                <c:pt idx="101">
                  <c:v>25.46</c:v>
                </c:pt>
                <c:pt idx="102">
                  <c:v>30.114999999999998</c:v>
                </c:pt>
                <c:pt idx="103">
                  <c:v>29.92</c:v>
                </c:pt>
                <c:pt idx="104">
                  <c:v>27.5</c:v>
                </c:pt>
                <c:pt idx="105">
                  <c:v>28.024999999999999</c:v>
                </c:pt>
                <c:pt idx="106">
                  <c:v>28.4</c:v>
                </c:pt>
                <c:pt idx="107">
                  <c:v>30.875</c:v>
                </c:pt>
                <c:pt idx="108">
                  <c:v>27.94</c:v>
                </c:pt>
                <c:pt idx="109">
                  <c:v>35.090000000000003</c:v>
                </c:pt>
                <c:pt idx="110">
                  <c:v>33.630000000000003</c:v>
                </c:pt>
                <c:pt idx="111">
                  <c:v>29.7</c:v>
                </c:pt>
                <c:pt idx="112">
                  <c:v>30.8</c:v>
                </c:pt>
                <c:pt idx="113">
                  <c:v>35.72</c:v>
                </c:pt>
                <c:pt idx="114">
                  <c:v>32.204999999999998</c:v>
                </c:pt>
                <c:pt idx="115">
                  <c:v>28.594999999999999</c:v>
                </c:pt>
                <c:pt idx="116">
                  <c:v>49.06</c:v>
                </c:pt>
                <c:pt idx="117">
                  <c:v>27.94</c:v>
                </c:pt>
                <c:pt idx="118">
                  <c:v>27.17</c:v>
                </c:pt>
                <c:pt idx="119">
                  <c:v>23.37</c:v>
                </c:pt>
                <c:pt idx="120">
                  <c:v>37.1</c:v>
                </c:pt>
                <c:pt idx="121">
                  <c:v>23.75</c:v>
                </c:pt>
                <c:pt idx="122">
                  <c:v>28.975000000000001</c:v>
                </c:pt>
                <c:pt idx="123">
                  <c:v>31.35</c:v>
                </c:pt>
                <c:pt idx="124">
                  <c:v>33.914999999999999</c:v>
                </c:pt>
                <c:pt idx="125">
                  <c:v>28.785</c:v>
                </c:pt>
                <c:pt idx="126">
                  <c:v>28.3</c:v>
                </c:pt>
                <c:pt idx="127">
                  <c:v>37.4</c:v>
                </c:pt>
                <c:pt idx="128">
                  <c:v>17.765000000000001</c:v>
                </c:pt>
                <c:pt idx="129">
                  <c:v>34.700000000000003</c:v>
                </c:pt>
                <c:pt idx="130">
                  <c:v>26.504999999999999</c:v>
                </c:pt>
                <c:pt idx="131">
                  <c:v>22.04</c:v>
                </c:pt>
                <c:pt idx="132">
                  <c:v>35.9</c:v>
                </c:pt>
                <c:pt idx="133">
                  <c:v>25.555</c:v>
                </c:pt>
                <c:pt idx="134">
                  <c:v>28.785</c:v>
                </c:pt>
                <c:pt idx="135">
                  <c:v>28.05</c:v>
                </c:pt>
                <c:pt idx="136">
                  <c:v>34.1</c:v>
                </c:pt>
                <c:pt idx="137">
                  <c:v>25.175000000000001</c:v>
                </c:pt>
                <c:pt idx="138">
                  <c:v>31.9</c:v>
                </c:pt>
                <c:pt idx="139">
                  <c:v>36</c:v>
                </c:pt>
                <c:pt idx="140">
                  <c:v>22.42</c:v>
                </c:pt>
                <c:pt idx="141">
                  <c:v>32.49</c:v>
                </c:pt>
                <c:pt idx="142">
                  <c:v>25.3</c:v>
                </c:pt>
                <c:pt idx="143">
                  <c:v>29.734999999999999</c:v>
                </c:pt>
                <c:pt idx="144">
                  <c:v>28.69</c:v>
                </c:pt>
                <c:pt idx="145">
                  <c:v>38.83</c:v>
                </c:pt>
                <c:pt idx="146">
                  <c:v>30.495000000000001</c:v>
                </c:pt>
                <c:pt idx="147">
                  <c:v>37.729999999999997</c:v>
                </c:pt>
                <c:pt idx="148">
                  <c:v>37.43</c:v>
                </c:pt>
                <c:pt idx="149">
                  <c:v>28.4</c:v>
                </c:pt>
                <c:pt idx="150">
                  <c:v>24.13</c:v>
                </c:pt>
                <c:pt idx="151">
                  <c:v>29.7</c:v>
                </c:pt>
                <c:pt idx="152">
                  <c:v>37.145000000000003</c:v>
                </c:pt>
                <c:pt idx="153">
                  <c:v>23.37</c:v>
                </c:pt>
                <c:pt idx="154">
                  <c:v>25.46</c:v>
                </c:pt>
                <c:pt idx="155">
                  <c:v>39.520000000000003</c:v>
                </c:pt>
                <c:pt idx="156">
                  <c:v>24.42</c:v>
                </c:pt>
                <c:pt idx="157">
                  <c:v>25.175000000000001</c:v>
                </c:pt>
                <c:pt idx="158">
                  <c:v>35.53</c:v>
                </c:pt>
                <c:pt idx="159">
                  <c:v>27.83</c:v>
                </c:pt>
                <c:pt idx="160">
                  <c:v>26.6</c:v>
                </c:pt>
                <c:pt idx="161">
                  <c:v>36.85</c:v>
                </c:pt>
                <c:pt idx="162">
                  <c:v>39.6</c:v>
                </c:pt>
                <c:pt idx="163">
                  <c:v>29.8</c:v>
                </c:pt>
                <c:pt idx="164">
                  <c:v>29.64</c:v>
                </c:pt>
                <c:pt idx="165">
                  <c:v>28.215</c:v>
                </c:pt>
                <c:pt idx="166">
                  <c:v>37</c:v>
                </c:pt>
                <c:pt idx="167">
                  <c:v>33.155000000000001</c:v>
                </c:pt>
                <c:pt idx="168">
                  <c:v>31.824999999999999</c:v>
                </c:pt>
                <c:pt idx="169">
                  <c:v>18.905000000000001</c:v>
                </c:pt>
                <c:pt idx="170">
                  <c:v>41.47</c:v>
                </c:pt>
                <c:pt idx="171">
                  <c:v>30.3</c:v>
                </c:pt>
                <c:pt idx="172">
                  <c:v>15.96</c:v>
                </c:pt>
                <c:pt idx="173">
                  <c:v>34.799999999999997</c:v>
                </c:pt>
                <c:pt idx="174">
                  <c:v>33.344999999999999</c:v>
                </c:pt>
                <c:pt idx="175">
                  <c:v>37.700000000000003</c:v>
                </c:pt>
                <c:pt idx="176">
                  <c:v>27.835000000000001</c:v>
                </c:pt>
                <c:pt idx="177">
                  <c:v>29.2</c:v>
                </c:pt>
                <c:pt idx="178">
                  <c:v>28.9</c:v>
                </c:pt>
                <c:pt idx="179">
                  <c:v>33.155000000000001</c:v>
                </c:pt>
                <c:pt idx="180">
                  <c:v>28.594999999999999</c:v>
                </c:pt>
                <c:pt idx="181">
                  <c:v>38.28</c:v>
                </c:pt>
                <c:pt idx="182">
                  <c:v>19.95</c:v>
                </c:pt>
                <c:pt idx="183">
                  <c:v>26.41</c:v>
                </c:pt>
                <c:pt idx="184">
                  <c:v>30.69</c:v>
                </c:pt>
                <c:pt idx="185">
                  <c:v>41.895000000000003</c:v>
                </c:pt>
                <c:pt idx="186">
                  <c:v>29.92</c:v>
                </c:pt>
                <c:pt idx="187">
                  <c:v>30.9</c:v>
                </c:pt>
                <c:pt idx="188">
                  <c:v>32.200000000000003</c:v>
                </c:pt>
                <c:pt idx="189">
                  <c:v>32.11</c:v>
                </c:pt>
                <c:pt idx="190">
                  <c:v>31.57</c:v>
                </c:pt>
                <c:pt idx="191">
                  <c:v>26.2</c:v>
                </c:pt>
                <c:pt idx="192">
                  <c:v>25.74</c:v>
                </c:pt>
                <c:pt idx="193">
                  <c:v>26.6</c:v>
                </c:pt>
                <c:pt idx="194">
                  <c:v>34.43</c:v>
                </c:pt>
                <c:pt idx="195">
                  <c:v>30.59</c:v>
                </c:pt>
                <c:pt idx="196">
                  <c:v>32.799999999999997</c:v>
                </c:pt>
                <c:pt idx="197">
                  <c:v>28.6</c:v>
                </c:pt>
                <c:pt idx="198">
                  <c:v>18.05</c:v>
                </c:pt>
                <c:pt idx="199">
                  <c:v>39.33</c:v>
                </c:pt>
                <c:pt idx="200">
                  <c:v>32.11</c:v>
                </c:pt>
                <c:pt idx="201">
                  <c:v>32.229999999999997</c:v>
                </c:pt>
                <c:pt idx="202">
                  <c:v>24.035</c:v>
                </c:pt>
                <c:pt idx="203">
                  <c:v>36.08</c:v>
                </c:pt>
                <c:pt idx="204">
                  <c:v>22.3</c:v>
                </c:pt>
                <c:pt idx="205">
                  <c:v>28.88</c:v>
                </c:pt>
                <c:pt idx="206">
                  <c:v>26.4</c:v>
                </c:pt>
                <c:pt idx="207">
                  <c:v>27.74</c:v>
                </c:pt>
                <c:pt idx="208">
                  <c:v>31.8</c:v>
                </c:pt>
                <c:pt idx="209">
                  <c:v>41.23</c:v>
                </c:pt>
                <c:pt idx="210">
                  <c:v>33</c:v>
                </c:pt>
                <c:pt idx="211">
                  <c:v>30.875</c:v>
                </c:pt>
                <c:pt idx="212">
                  <c:v>28.5</c:v>
                </c:pt>
                <c:pt idx="213">
                  <c:v>26.73</c:v>
                </c:pt>
                <c:pt idx="214">
                  <c:v>30.9</c:v>
                </c:pt>
                <c:pt idx="215">
                  <c:v>37.1</c:v>
                </c:pt>
                <c:pt idx="216">
                  <c:v>26.6</c:v>
                </c:pt>
                <c:pt idx="217">
                  <c:v>23.1</c:v>
                </c:pt>
                <c:pt idx="218">
                  <c:v>29.92</c:v>
                </c:pt>
                <c:pt idx="219">
                  <c:v>23.21</c:v>
                </c:pt>
                <c:pt idx="220">
                  <c:v>33.700000000000003</c:v>
                </c:pt>
                <c:pt idx="221">
                  <c:v>33.25</c:v>
                </c:pt>
                <c:pt idx="222">
                  <c:v>30.8</c:v>
                </c:pt>
                <c:pt idx="223">
                  <c:v>34.799999999999997</c:v>
                </c:pt>
                <c:pt idx="224">
                  <c:v>24.64</c:v>
                </c:pt>
                <c:pt idx="225">
                  <c:v>33.880000000000003</c:v>
                </c:pt>
                <c:pt idx="226">
                  <c:v>38.06</c:v>
                </c:pt>
                <c:pt idx="227">
                  <c:v>41.91</c:v>
                </c:pt>
                <c:pt idx="228">
                  <c:v>31.635000000000002</c:v>
                </c:pt>
                <c:pt idx="229">
                  <c:v>25.46</c:v>
                </c:pt>
                <c:pt idx="230">
                  <c:v>36.195</c:v>
                </c:pt>
                <c:pt idx="231">
                  <c:v>27.83</c:v>
                </c:pt>
                <c:pt idx="232">
                  <c:v>17.8</c:v>
                </c:pt>
                <c:pt idx="233">
                  <c:v>27.5</c:v>
                </c:pt>
                <c:pt idx="234">
                  <c:v>24.51</c:v>
                </c:pt>
                <c:pt idx="235">
                  <c:v>22.22</c:v>
                </c:pt>
                <c:pt idx="236">
                  <c:v>26.73</c:v>
                </c:pt>
                <c:pt idx="237">
                  <c:v>38.39</c:v>
                </c:pt>
                <c:pt idx="238">
                  <c:v>29.07</c:v>
                </c:pt>
                <c:pt idx="239">
                  <c:v>38.06</c:v>
                </c:pt>
                <c:pt idx="240">
                  <c:v>36.67</c:v>
                </c:pt>
                <c:pt idx="241">
                  <c:v>22.135000000000002</c:v>
                </c:pt>
                <c:pt idx="242">
                  <c:v>26.8</c:v>
                </c:pt>
                <c:pt idx="243">
                  <c:v>35.299999999999997</c:v>
                </c:pt>
                <c:pt idx="244">
                  <c:v>27.74</c:v>
                </c:pt>
                <c:pt idx="245">
                  <c:v>30.02</c:v>
                </c:pt>
                <c:pt idx="246">
                  <c:v>38.06</c:v>
                </c:pt>
                <c:pt idx="247">
                  <c:v>35.86</c:v>
                </c:pt>
                <c:pt idx="248">
                  <c:v>20.9</c:v>
                </c:pt>
                <c:pt idx="249">
                  <c:v>28.975000000000001</c:v>
                </c:pt>
                <c:pt idx="250">
                  <c:v>17.29</c:v>
                </c:pt>
                <c:pt idx="251">
                  <c:v>32.200000000000003</c:v>
                </c:pt>
                <c:pt idx="252">
                  <c:v>34.21</c:v>
                </c:pt>
                <c:pt idx="253">
                  <c:v>30.3</c:v>
                </c:pt>
                <c:pt idx="254">
                  <c:v>31.824999999999999</c:v>
                </c:pt>
                <c:pt idx="255">
                  <c:v>25.364999999999998</c:v>
                </c:pt>
                <c:pt idx="256">
                  <c:v>33.630000000000003</c:v>
                </c:pt>
                <c:pt idx="257">
                  <c:v>40.15</c:v>
                </c:pt>
                <c:pt idx="258">
                  <c:v>24.414999999999999</c:v>
                </c:pt>
                <c:pt idx="259">
                  <c:v>31.92</c:v>
                </c:pt>
                <c:pt idx="260">
                  <c:v>25.2</c:v>
                </c:pt>
                <c:pt idx="261">
                  <c:v>26.84</c:v>
                </c:pt>
                <c:pt idx="262">
                  <c:v>24.32</c:v>
                </c:pt>
                <c:pt idx="263">
                  <c:v>36.954999999999998</c:v>
                </c:pt>
                <c:pt idx="264">
                  <c:v>38.06</c:v>
                </c:pt>
                <c:pt idx="265">
                  <c:v>42.35</c:v>
                </c:pt>
                <c:pt idx="266">
                  <c:v>19.8</c:v>
                </c:pt>
                <c:pt idx="267">
                  <c:v>32.395000000000003</c:v>
                </c:pt>
                <c:pt idx="268">
                  <c:v>30.2</c:v>
                </c:pt>
                <c:pt idx="269">
                  <c:v>25.84</c:v>
                </c:pt>
                <c:pt idx="270">
                  <c:v>29.37</c:v>
                </c:pt>
                <c:pt idx="271">
                  <c:v>34.200000000000003</c:v>
                </c:pt>
                <c:pt idx="272">
                  <c:v>37.049999999999997</c:v>
                </c:pt>
                <c:pt idx="273">
                  <c:v>27.454999999999998</c:v>
                </c:pt>
                <c:pt idx="274">
                  <c:v>27.55</c:v>
                </c:pt>
                <c:pt idx="275">
                  <c:v>26.6</c:v>
                </c:pt>
                <c:pt idx="276">
                  <c:v>20.614999999999998</c:v>
                </c:pt>
                <c:pt idx="277">
                  <c:v>24.3</c:v>
                </c:pt>
                <c:pt idx="278">
                  <c:v>31.79</c:v>
                </c:pt>
                <c:pt idx="279">
                  <c:v>21.56</c:v>
                </c:pt>
                <c:pt idx="280">
                  <c:v>28.12</c:v>
                </c:pt>
                <c:pt idx="281">
                  <c:v>40.564999999999998</c:v>
                </c:pt>
                <c:pt idx="282">
                  <c:v>27.645</c:v>
                </c:pt>
                <c:pt idx="283">
                  <c:v>32.395000000000003</c:v>
                </c:pt>
                <c:pt idx="284">
                  <c:v>31.2</c:v>
                </c:pt>
                <c:pt idx="285">
                  <c:v>26.62</c:v>
                </c:pt>
                <c:pt idx="286">
                  <c:v>48.07</c:v>
                </c:pt>
                <c:pt idx="287">
                  <c:v>26.22</c:v>
                </c:pt>
                <c:pt idx="288">
                  <c:v>36.765000000000001</c:v>
                </c:pt>
                <c:pt idx="289">
                  <c:v>26.4</c:v>
                </c:pt>
                <c:pt idx="290">
                  <c:v>33.4</c:v>
                </c:pt>
                <c:pt idx="291">
                  <c:v>29.64</c:v>
                </c:pt>
                <c:pt idx="292">
                  <c:v>45.54</c:v>
                </c:pt>
                <c:pt idx="293">
                  <c:v>28.82</c:v>
                </c:pt>
                <c:pt idx="294">
                  <c:v>26.8</c:v>
                </c:pt>
                <c:pt idx="295">
                  <c:v>22.99</c:v>
                </c:pt>
                <c:pt idx="296">
                  <c:v>27.7</c:v>
                </c:pt>
                <c:pt idx="297">
                  <c:v>25.41</c:v>
                </c:pt>
                <c:pt idx="298">
                  <c:v>34.39</c:v>
                </c:pt>
                <c:pt idx="299">
                  <c:v>28.88</c:v>
                </c:pt>
                <c:pt idx="300">
                  <c:v>27.55</c:v>
                </c:pt>
                <c:pt idx="301">
                  <c:v>22.61</c:v>
                </c:pt>
                <c:pt idx="302">
                  <c:v>37.51</c:v>
                </c:pt>
                <c:pt idx="303">
                  <c:v>33</c:v>
                </c:pt>
                <c:pt idx="304">
                  <c:v>38</c:v>
                </c:pt>
                <c:pt idx="305">
                  <c:v>33.344999999999999</c:v>
                </c:pt>
                <c:pt idx="306">
                  <c:v>27.5</c:v>
                </c:pt>
                <c:pt idx="307">
                  <c:v>33.33</c:v>
                </c:pt>
                <c:pt idx="308">
                  <c:v>34.865000000000002</c:v>
                </c:pt>
                <c:pt idx="309">
                  <c:v>33.06</c:v>
                </c:pt>
                <c:pt idx="310">
                  <c:v>26.6</c:v>
                </c:pt>
                <c:pt idx="311">
                  <c:v>24.7</c:v>
                </c:pt>
                <c:pt idx="312">
                  <c:v>35.97</c:v>
                </c:pt>
                <c:pt idx="313">
                  <c:v>35.86</c:v>
                </c:pt>
                <c:pt idx="314">
                  <c:v>31.4</c:v>
                </c:pt>
                <c:pt idx="315">
                  <c:v>33.25</c:v>
                </c:pt>
                <c:pt idx="316">
                  <c:v>32.204999999999998</c:v>
                </c:pt>
                <c:pt idx="317">
                  <c:v>32.774999999999999</c:v>
                </c:pt>
                <c:pt idx="318">
                  <c:v>27.645</c:v>
                </c:pt>
                <c:pt idx="319">
                  <c:v>37.335000000000001</c:v>
                </c:pt>
                <c:pt idx="320">
                  <c:v>25.27</c:v>
                </c:pt>
                <c:pt idx="321">
                  <c:v>29.64</c:v>
                </c:pt>
                <c:pt idx="322">
                  <c:v>30.8</c:v>
                </c:pt>
                <c:pt idx="323">
                  <c:v>40.945</c:v>
                </c:pt>
                <c:pt idx="324">
                  <c:v>27.2</c:v>
                </c:pt>
                <c:pt idx="325">
                  <c:v>34.104999999999997</c:v>
                </c:pt>
                <c:pt idx="326">
                  <c:v>23.21</c:v>
                </c:pt>
                <c:pt idx="327">
                  <c:v>36.479999999999997</c:v>
                </c:pt>
                <c:pt idx="328">
                  <c:v>33.799999999999997</c:v>
                </c:pt>
                <c:pt idx="329">
                  <c:v>36.700000000000003</c:v>
                </c:pt>
                <c:pt idx="330">
                  <c:v>36.384999999999998</c:v>
                </c:pt>
                <c:pt idx="331">
                  <c:v>27.36</c:v>
                </c:pt>
                <c:pt idx="332">
                  <c:v>31.16</c:v>
                </c:pt>
                <c:pt idx="333">
                  <c:v>28.785</c:v>
                </c:pt>
                <c:pt idx="334">
                  <c:v>35.72</c:v>
                </c:pt>
                <c:pt idx="335">
                  <c:v>34.5</c:v>
                </c:pt>
                <c:pt idx="336">
                  <c:v>25.74</c:v>
                </c:pt>
                <c:pt idx="337">
                  <c:v>27.55</c:v>
                </c:pt>
                <c:pt idx="338">
                  <c:v>32.299999999999997</c:v>
                </c:pt>
                <c:pt idx="339">
                  <c:v>27.72</c:v>
                </c:pt>
                <c:pt idx="340">
                  <c:v>27.6</c:v>
                </c:pt>
                <c:pt idx="341">
                  <c:v>30.02</c:v>
                </c:pt>
                <c:pt idx="342">
                  <c:v>27.55</c:v>
                </c:pt>
                <c:pt idx="343">
                  <c:v>36.765000000000001</c:v>
                </c:pt>
                <c:pt idx="344">
                  <c:v>41.47</c:v>
                </c:pt>
                <c:pt idx="345">
                  <c:v>29.26</c:v>
                </c:pt>
                <c:pt idx="346">
                  <c:v>35.75</c:v>
                </c:pt>
                <c:pt idx="347">
                  <c:v>33.344999999999999</c:v>
                </c:pt>
                <c:pt idx="348">
                  <c:v>29.92</c:v>
                </c:pt>
                <c:pt idx="349">
                  <c:v>27.835000000000001</c:v>
                </c:pt>
                <c:pt idx="350">
                  <c:v>23.18</c:v>
                </c:pt>
                <c:pt idx="351">
                  <c:v>25.6</c:v>
                </c:pt>
                <c:pt idx="352">
                  <c:v>27.7</c:v>
                </c:pt>
                <c:pt idx="353">
                  <c:v>35.244999999999997</c:v>
                </c:pt>
                <c:pt idx="354">
                  <c:v>38.28</c:v>
                </c:pt>
                <c:pt idx="355">
                  <c:v>27.6</c:v>
                </c:pt>
                <c:pt idx="356">
                  <c:v>43.89</c:v>
                </c:pt>
                <c:pt idx="357">
                  <c:v>29.83</c:v>
                </c:pt>
                <c:pt idx="358">
                  <c:v>41.91</c:v>
                </c:pt>
                <c:pt idx="359">
                  <c:v>20.79</c:v>
                </c:pt>
                <c:pt idx="360">
                  <c:v>32.299999999999997</c:v>
                </c:pt>
                <c:pt idx="361">
                  <c:v>30.5</c:v>
                </c:pt>
                <c:pt idx="362">
                  <c:v>21.7</c:v>
                </c:pt>
                <c:pt idx="363">
                  <c:v>26.4</c:v>
                </c:pt>
                <c:pt idx="364">
                  <c:v>21.89</c:v>
                </c:pt>
                <c:pt idx="365">
                  <c:v>30.78</c:v>
                </c:pt>
                <c:pt idx="366">
                  <c:v>32.299999999999997</c:v>
                </c:pt>
                <c:pt idx="367">
                  <c:v>24.984999999999999</c:v>
                </c:pt>
                <c:pt idx="368">
                  <c:v>32.015000000000001</c:v>
                </c:pt>
                <c:pt idx="369">
                  <c:v>30.4</c:v>
                </c:pt>
                <c:pt idx="370">
                  <c:v>21.09</c:v>
                </c:pt>
                <c:pt idx="371">
                  <c:v>22.23</c:v>
                </c:pt>
                <c:pt idx="372">
                  <c:v>33.155000000000001</c:v>
                </c:pt>
                <c:pt idx="373">
                  <c:v>32.9</c:v>
                </c:pt>
                <c:pt idx="374">
                  <c:v>33.33</c:v>
                </c:pt>
                <c:pt idx="375">
                  <c:v>28.31</c:v>
                </c:pt>
                <c:pt idx="376">
                  <c:v>24.89</c:v>
                </c:pt>
                <c:pt idx="377">
                  <c:v>40.15</c:v>
                </c:pt>
                <c:pt idx="378">
                  <c:v>30.114999999999998</c:v>
                </c:pt>
                <c:pt idx="379">
                  <c:v>31.46</c:v>
                </c:pt>
                <c:pt idx="380">
                  <c:v>17.954999999999998</c:v>
                </c:pt>
                <c:pt idx="381">
                  <c:v>30.684999999999999</c:v>
                </c:pt>
                <c:pt idx="382">
                  <c:v>33</c:v>
                </c:pt>
                <c:pt idx="383">
                  <c:v>43.34</c:v>
                </c:pt>
                <c:pt idx="384">
                  <c:v>22.135000000000002</c:v>
                </c:pt>
                <c:pt idx="385">
                  <c:v>34.4</c:v>
                </c:pt>
                <c:pt idx="386">
                  <c:v>39.049999999999997</c:v>
                </c:pt>
                <c:pt idx="387">
                  <c:v>25.364999999999998</c:v>
                </c:pt>
                <c:pt idx="388">
                  <c:v>22.61</c:v>
                </c:pt>
                <c:pt idx="389">
                  <c:v>30.21</c:v>
                </c:pt>
                <c:pt idx="390">
                  <c:v>35.625</c:v>
                </c:pt>
                <c:pt idx="391">
                  <c:v>37.43</c:v>
                </c:pt>
                <c:pt idx="392">
                  <c:v>31.445</c:v>
                </c:pt>
                <c:pt idx="393">
                  <c:v>31.35</c:v>
                </c:pt>
                <c:pt idx="394">
                  <c:v>32.299999999999997</c:v>
                </c:pt>
                <c:pt idx="395">
                  <c:v>19.855</c:v>
                </c:pt>
                <c:pt idx="396">
                  <c:v>34.4</c:v>
                </c:pt>
                <c:pt idx="397">
                  <c:v>31.02</c:v>
                </c:pt>
                <c:pt idx="398">
                  <c:v>25.6</c:v>
                </c:pt>
                <c:pt idx="399">
                  <c:v>38.17</c:v>
                </c:pt>
                <c:pt idx="400">
                  <c:v>20.6</c:v>
                </c:pt>
                <c:pt idx="401">
                  <c:v>47.52</c:v>
                </c:pt>
                <c:pt idx="402">
                  <c:v>32.965000000000003</c:v>
                </c:pt>
                <c:pt idx="403">
                  <c:v>32.299999999999997</c:v>
                </c:pt>
                <c:pt idx="404">
                  <c:v>20.399999999999999</c:v>
                </c:pt>
                <c:pt idx="405">
                  <c:v>38.380000000000003</c:v>
                </c:pt>
                <c:pt idx="406">
                  <c:v>24.31</c:v>
                </c:pt>
                <c:pt idx="407">
                  <c:v>23.6</c:v>
                </c:pt>
                <c:pt idx="408">
                  <c:v>21.12</c:v>
                </c:pt>
                <c:pt idx="409">
                  <c:v>30.03</c:v>
                </c:pt>
                <c:pt idx="410">
                  <c:v>17.48</c:v>
                </c:pt>
                <c:pt idx="411">
                  <c:v>20.234999999999999</c:v>
                </c:pt>
                <c:pt idx="412">
                  <c:v>17.195</c:v>
                </c:pt>
                <c:pt idx="413">
                  <c:v>23.9</c:v>
                </c:pt>
                <c:pt idx="414">
                  <c:v>35.15</c:v>
                </c:pt>
                <c:pt idx="415">
                  <c:v>35.64</c:v>
                </c:pt>
                <c:pt idx="416">
                  <c:v>34.1</c:v>
                </c:pt>
                <c:pt idx="417">
                  <c:v>22.6</c:v>
                </c:pt>
                <c:pt idx="418">
                  <c:v>39.159999999999997</c:v>
                </c:pt>
                <c:pt idx="419">
                  <c:v>26.98</c:v>
                </c:pt>
                <c:pt idx="420">
                  <c:v>33.880000000000003</c:v>
                </c:pt>
                <c:pt idx="421">
                  <c:v>35.86</c:v>
                </c:pt>
                <c:pt idx="422">
                  <c:v>32.774999999999999</c:v>
                </c:pt>
                <c:pt idx="423">
                  <c:v>30.59</c:v>
                </c:pt>
                <c:pt idx="424">
                  <c:v>30.2</c:v>
                </c:pt>
                <c:pt idx="425">
                  <c:v>24.31</c:v>
                </c:pt>
                <c:pt idx="426">
                  <c:v>27.265000000000001</c:v>
                </c:pt>
                <c:pt idx="427">
                  <c:v>29.164999999999999</c:v>
                </c:pt>
                <c:pt idx="428">
                  <c:v>16.815000000000001</c:v>
                </c:pt>
                <c:pt idx="429">
                  <c:v>30.4</c:v>
                </c:pt>
                <c:pt idx="430">
                  <c:v>33.1</c:v>
                </c:pt>
                <c:pt idx="431">
                  <c:v>20.234999999999999</c:v>
                </c:pt>
                <c:pt idx="432">
                  <c:v>26.9</c:v>
                </c:pt>
                <c:pt idx="433">
                  <c:v>30.5</c:v>
                </c:pt>
                <c:pt idx="434">
                  <c:v>28.594999999999999</c:v>
                </c:pt>
                <c:pt idx="435">
                  <c:v>33.11</c:v>
                </c:pt>
                <c:pt idx="436">
                  <c:v>31.73</c:v>
                </c:pt>
                <c:pt idx="437">
                  <c:v>28.9</c:v>
                </c:pt>
                <c:pt idx="438">
                  <c:v>46.75</c:v>
                </c:pt>
                <c:pt idx="439">
                  <c:v>29.45</c:v>
                </c:pt>
                <c:pt idx="440">
                  <c:v>32.68</c:v>
                </c:pt>
                <c:pt idx="441">
                  <c:v>33.5</c:v>
                </c:pt>
                <c:pt idx="442">
                  <c:v>43.01</c:v>
                </c:pt>
                <c:pt idx="443">
                  <c:v>36.520000000000003</c:v>
                </c:pt>
                <c:pt idx="444">
                  <c:v>26.695</c:v>
                </c:pt>
                <c:pt idx="445">
                  <c:v>33.1</c:v>
                </c:pt>
                <c:pt idx="446">
                  <c:v>29.64</c:v>
                </c:pt>
                <c:pt idx="447">
                  <c:v>25.65</c:v>
                </c:pt>
                <c:pt idx="448">
                  <c:v>29.6</c:v>
                </c:pt>
                <c:pt idx="449">
                  <c:v>38.6</c:v>
                </c:pt>
                <c:pt idx="450">
                  <c:v>29.6</c:v>
                </c:pt>
                <c:pt idx="451">
                  <c:v>24.13</c:v>
                </c:pt>
                <c:pt idx="452">
                  <c:v>23.4</c:v>
                </c:pt>
                <c:pt idx="453">
                  <c:v>29.734999999999999</c:v>
                </c:pt>
                <c:pt idx="454">
                  <c:v>46.53</c:v>
                </c:pt>
                <c:pt idx="455">
                  <c:v>37.4</c:v>
                </c:pt>
                <c:pt idx="456">
                  <c:v>30.14</c:v>
                </c:pt>
                <c:pt idx="457">
                  <c:v>30.495000000000001</c:v>
                </c:pt>
                <c:pt idx="458">
                  <c:v>39.6</c:v>
                </c:pt>
                <c:pt idx="459">
                  <c:v>33</c:v>
                </c:pt>
                <c:pt idx="460">
                  <c:v>36.630000000000003</c:v>
                </c:pt>
                <c:pt idx="461">
                  <c:v>30</c:v>
                </c:pt>
                <c:pt idx="462">
                  <c:v>38.094999999999999</c:v>
                </c:pt>
                <c:pt idx="463">
                  <c:v>25.934999999999999</c:v>
                </c:pt>
                <c:pt idx="464">
                  <c:v>25.175000000000001</c:v>
                </c:pt>
                <c:pt idx="465">
                  <c:v>28.38</c:v>
                </c:pt>
                <c:pt idx="466">
                  <c:v>28.7</c:v>
                </c:pt>
                <c:pt idx="467">
                  <c:v>33.82</c:v>
                </c:pt>
                <c:pt idx="468">
                  <c:v>24.32</c:v>
                </c:pt>
                <c:pt idx="469">
                  <c:v>24.09</c:v>
                </c:pt>
                <c:pt idx="470">
                  <c:v>32.67</c:v>
                </c:pt>
                <c:pt idx="471">
                  <c:v>30.114999999999998</c:v>
                </c:pt>
                <c:pt idx="472">
                  <c:v>29.8</c:v>
                </c:pt>
                <c:pt idx="473">
                  <c:v>33.344999999999999</c:v>
                </c:pt>
                <c:pt idx="474">
                  <c:v>25.1</c:v>
                </c:pt>
                <c:pt idx="475">
                  <c:v>28.31</c:v>
                </c:pt>
                <c:pt idx="476">
                  <c:v>28.5</c:v>
                </c:pt>
                <c:pt idx="477">
                  <c:v>35.625</c:v>
                </c:pt>
                <c:pt idx="478">
                  <c:v>36.85</c:v>
                </c:pt>
                <c:pt idx="479">
                  <c:v>32.56</c:v>
                </c:pt>
                <c:pt idx="480">
                  <c:v>41.325000000000003</c:v>
                </c:pt>
                <c:pt idx="481">
                  <c:v>37.51</c:v>
                </c:pt>
                <c:pt idx="482">
                  <c:v>31.35</c:v>
                </c:pt>
                <c:pt idx="483">
                  <c:v>39.5</c:v>
                </c:pt>
                <c:pt idx="484">
                  <c:v>34.299999999999997</c:v>
                </c:pt>
                <c:pt idx="485">
                  <c:v>31.065000000000001</c:v>
                </c:pt>
                <c:pt idx="486">
                  <c:v>21.47</c:v>
                </c:pt>
                <c:pt idx="487">
                  <c:v>28.7</c:v>
                </c:pt>
                <c:pt idx="488">
                  <c:v>38.06</c:v>
                </c:pt>
                <c:pt idx="489">
                  <c:v>31.16</c:v>
                </c:pt>
                <c:pt idx="490">
                  <c:v>32.9</c:v>
                </c:pt>
                <c:pt idx="491">
                  <c:v>25.08</c:v>
                </c:pt>
                <c:pt idx="492">
                  <c:v>25.08</c:v>
                </c:pt>
                <c:pt idx="493">
                  <c:v>43.4</c:v>
                </c:pt>
                <c:pt idx="494">
                  <c:v>25.7</c:v>
                </c:pt>
                <c:pt idx="495">
                  <c:v>27.93</c:v>
                </c:pt>
                <c:pt idx="496">
                  <c:v>23.6</c:v>
                </c:pt>
                <c:pt idx="497">
                  <c:v>28.7</c:v>
                </c:pt>
                <c:pt idx="498">
                  <c:v>23.98</c:v>
                </c:pt>
                <c:pt idx="499">
                  <c:v>39.200000000000003</c:v>
                </c:pt>
                <c:pt idx="500">
                  <c:v>34.4</c:v>
                </c:pt>
                <c:pt idx="501">
                  <c:v>26.03</c:v>
                </c:pt>
                <c:pt idx="502">
                  <c:v>23.21</c:v>
                </c:pt>
                <c:pt idx="503">
                  <c:v>30.25</c:v>
                </c:pt>
                <c:pt idx="504">
                  <c:v>28.93</c:v>
                </c:pt>
                <c:pt idx="505">
                  <c:v>30.875</c:v>
                </c:pt>
                <c:pt idx="506">
                  <c:v>31.35</c:v>
                </c:pt>
                <c:pt idx="507">
                  <c:v>23.75</c:v>
                </c:pt>
                <c:pt idx="508">
                  <c:v>25.27</c:v>
                </c:pt>
                <c:pt idx="509">
                  <c:v>28.7</c:v>
                </c:pt>
                <c:pt idx="510">
                  <c:v>32.11</c:v>
                </c:pt>
                <c:pt idx="511">
                  <c:v>33.659999999999997</c:v>
                </c:pt>
                <c:pt idx="512">
                  <c:v>22.42</c:v>
                </c:pt>
                <c:pt idx="513">
                  <c:v>30.4</c:v>
                </c:pt>
                <c:pt idx="514">
                  <c:v>28.3</c:v>
                </c:pt>
                <c:pt idx="515">
                  <c:v>35.700000000000003</c:v>
                </c:pt>
                <c:pt idx="516">
                  <c:v>35.31</c:v>
                </c:pt>
                <c:pt idx="517">
                  <c:v>30.495000000000001</c:v>
                </c:pt>
                <c:pt idx="518">
                  <c:v>31</c:v>
                </c:pt>
                <c:pt idx="519">
                  <c:v>30.875</c:v>
                </c:pt>
                <c:pt idx="520">
                  <c:v>27.36</c:v>
                </c:pt>
                <c:pt idx="521">
                  <c:v>44.22</c:v>
                </c:pt>
                <c:pt idx="522">
                  <c:v>33.914999999999999</c:v>
                </c:pt>
                <c:pt idx="523">
                  <c:v>37.729999999999997</c:v>
                </c:pt>
                <c:pt idx="524">
                  <c:v>26.07</c:v>
                </c:pt>
                <c:pt idx="525">
                  <c:v>33.880000000000003</c:v>
                </c:pt>
                <c:pt idx="526">
                  <c:v>30.59</c:v>
                </c:pt>
                <c:pt idx="527">
                  <c:v>25.8</c:v>
                </c:pt>
                <c:pt idx="528">
                  <c:v>39.424999999999997</c:v>
                </c:pt>
                <c:pt idx="529">
                  <c:v>25.46</c:v>
                </c:pt>
                <c:pt idx="530">
                  <c:v>42.13</c:v>
                </c:pt>
                <c:pt idx="531">
                  <c:v>31.73</c:v>
                </c:pt>
                <c:pt idx="532">
                  <c:v>29.7</c:v>
                </c:pt>
                <c:pt idx="533">
                  <c:v>36.19</c:v>
                </c:pt>
                <c:pt idx="534">
                  <c:v>40.479999999999997</c:v>
                </c:pt>
                <c:pt idx="535">
                  <c:v>28.024999999999999</c:v>
                </c:pt>
                <c:pt idx="536">
                  <c:v>38.9</c:v>
                </c:pt>
                <c:pt idx="537">
                  <c:v>30.2</c:v>
                </c:pt>
                <c:pt idx="538">
                  <c:v>28.05</c:v>
                </c:pt>
                <c:pt idx="539">
                  <c:v>31.35</c:v>
                </c:pt>
                <c:pt idx="540">
                  <c:v>38</c:v>
                </c:pt>
                <c:pt idx="541">
                  <c:v>31.79</c:v>
                </c:pt>
                <c:pt idx="542">
                  <c:v>36.299999999999997</c:v>
                </c:pt>
                <c:pt idx="543">
                  <c:v>47.41</c:v>
                </c:pt>
                <c:pt idx="544">
                  <c:v>30.21</c:v>
                </c:pt>
                <c:pt idx="545">
                  <c:v>25.84</c:v>
                </c:pt>
                <c:pt idx="546">
                  <c:v>35.435000000000002</c:v>
                </c:pt>
                <c:pt idx="547">
                  <c:v>46.7</c:v>
                </c:pt>
                <c:pt idx="548">
                  <c:v>28.594999999999999</c:v>
                </c:pt>
                <c:pt idx="549">
                  <c:v>46.2</c:v>
                </c:pt>
                <c:pt idx="550">
                  <c:v>30.8</c:v>
                </c:pt>
                <c:pt idx="551">
                  <c:v>28.93</c:v>
                </c:pt>
                <c:pt idx="552">
                  <c:v>21.4</c:v>
                </c:pt>
                <c:pt idx="553">
                  <c:v>31.73</c:v>
                </c:pt>
                <c:pt idx="554">
                  <c:v>41.325000000000003</c:v>
                </c:pt>
                <c:pt idx="555">
                  <c:v>23.8</c:v>
                </c:pt>
                <c:pt idx="556">
                  <c:v>33.44</c:v>
                </c:pt>
                <c:pt idx="557">
                  <c:v>34.21</c:v>
                </c:pt>
                <c:pt idx="558">
                  <c:v>34.104999999999997</c:v>
                </c:pt>
                <c:pt idx="559">
                  <c:v>35.53</c:v>
                </c:pt>
                <c:pt idx="560">
                  <c:v>19.95</c:v>
                </c:pt>
                <c:pt idx="561">
                  <c:v>32.68</c:v>
                </c:pt>
                <c:pt idx="562">
                  <c:v>30.5</c:v>
                </c:pt>
                <c:pt idx="563">
                  <c:v>44.77</c:v>
                </c:pt>
                <c:pt idx="564">
                  <c:v>32.119999999999997</c:v>
                </c:pt>
                <c:pt idx="565">
                  <c:v>30.495000000000001</c:v>
                </c:pt>
                <c:pt idx="566">
                  <c:v>40.564999999999998</c:v>
                </c:pt>
                <c:pt idx="567">
                  <c:v>30.59</c:v>
                </c:pt>
                <c:pt idx="568">
                  <c:v>31.9</c:v>
                </c:pt>
                <c:pt idx="569">
                  <c:v>40.564999999999998</c:v>
                </c:pt>
                <c:pt idx="570">
                  <c:v>29.1</c:v>
                </c:pt>
                <c:pt idx="571">
                  <c:v>37.29</c:v>
                </c:pt>
                <c:pt idx="572">
                  <c:v>43.12</c:v>
                </c:pt>
                <c:pt idx="573">
                  <c:v>36.86</c:v>
                </c:pt>
                <c:pt idx="574">
                  <c:v>34.295000000000002</c:v>
                </c:pt>
                <c:pt idx="575">
                  <c:v>27.17</c:v>
                </c:pt>
                <c:pt idx="576">
                  <c:v>26.84</c:v>
                </c:pt>
                <c:pt idx="577">
                  <c:v>38.094999999999999</c:v>
                </c:pt>
                <c:pt idx="578">
                  <c:v>30.2</c:v>
                </c:pt>
                <c:pt idx="579">
                  <c:v>23.465</c:v>
                </c:pt>
                <c:pt idx="580">
                  <c:v>25.46</c:v>
                </c:pt>
                <c:pt idx="581">
                  <c:v>30.59</c:v>
                </c:pt>
                <c:pt idx="582">
                  <c:v>45.43</c:v>
                </c:pt>
                <c:pt idx="583">
                  <c:v>23.65</c:v>
                </c:pt>
                <c:pt idx="584">
                  <c:v>20.7</c:v>
                </c:pt>
                <c:pt idx="585">
                  <c:v>28.27</c:v>
                </c:pt>
                <c:pt idx="586">
                  <c:v>20.234999999999999</c:v>
                </c:pt>
                <c:pt idx="587">
                  <c:v>30.21</c:v>
                </c:pt>
                <c:pt idx="588">
                  <c:v>35.909999999999997</c:v>
                </c:pt>
                <c:pt idx="589">
                  <c:v>30.69</c:v>
                </c:pt>
                <c:pt idx="590">
                  <c:v>29</c:v>
                </c:pt>
                <c:pt idx="591">
                  <c:v>19.57</c:v>
                </c:pt>
                <c:pt idx="592">
                  <c:v>31.13</c:v>
                </c:pt>
                <c:pt idx="593">
                  <c:v>21.85</c:v>
                </c:pt>
                <c:pt idx="594">
                  <c:v>40.26</c:v>
                </c:pt>
                <c:pt idx="595">
                  <c:v>33.725000000000001</c:v>
                </c:pt>
                <c:pt idx="596">
                  <c:v>29.48</c:v>
                </c:pt>
                <c:pt idx="597">
                  <c:v>33.25</c:v>
                </c:pt>
                <c:pt idx="598">
                  <c:v>32.6</c:v>
                </c:pt>
                <c:pt idx="599">
                  <c:v>37.524999999999999</c:v>
                </c:pt>
                <c:pt idx="600">
                  <c:v>39.159999999999997</c:v>
                </c:pt>
                <c:pt idx="601">
                  <c:v>31.635000000000002</c:v>
                </c:pt>
                <c:pt idx="602">
                  <c:v>25.3</c:v>
                </c:pt>
                <c:pt idx="603">
                  <c:v>39.049999999999997</c:v>
                </c:pt>
                <c:pt idx="604">
                  <c:v>28.31</c:v>
                </c:pt>
                <c:pt idx="605">
                  <c:v>34.1</c:v>
                </c:pt>
                <c:pt idx="606">
                  <c:v>25.175000000000001</c:v>
                </c:pt>
                <c:pt idx="607">
                  <c:v>23.655000000000001</c:v>
                </c:pt>
                <c:pt idx="608">
                  <c:v>26.98</c:v>
                </c:pt>
                <c:pt idx="609">
                  <c:v>37.799999999999997</c:v>
                </c:pt>
                <c:pt idx="610">
                  <c:v>29.37</c:v>
                </c:pt>
                <c:pt idx="611">
                  <c:v>34.799999999999997</c:v>
                </c:pt>
                <c:pt idx="612">
                  <c:v>33.155000000000001</c:v>
                </c:pt>
                <c:pt idx="613">
                  <c:v>19</c:v>
                </c:pt>
                <c:pt idx="614">
                  <c:v>33</c:v>
                </c:pt>
                <c:pt idx="615">
                  <c:v>36.630000000000003</c:v>
                </c:pt>
                <c:pt idx="616">
                  <c:v>28.594999999999999</c:v>
                </c:pt>
                <c:pt idx="617">
                  <c:v>25.6</c:v>
                </c:pt>
                <c:pt idx="618">
                  <c:v>33.11</c:v>
                </c:pt>
                <c:pt idx="619">
                  <c:v>37.1</c:v>
                </c:pt>
                <c:pt idx="620">
                  <c:v>31.4</c:v>
                </c:pt>
                <c:pt idx="621">
                  <c:v>34.1</c:v>
                </c:pt>
                <c:pt idx="622">
                  <c:v>21.3</c:v>
                </c:pt>
                <c:pt idx="623">
                  <c:v>33.534999999999997</c:v>
                </c:pt>
                <c:pt idx="624">
                  <c:v>28.785</c:v>
                </c:pt>
                <c:pt idx="625">
                  <c:v>26.03</c:v>
                </c:pt>
                <c:pt idx="626">
                  <c:v>28.88</c:v>
                </c:pt>
                <c:pt idx="627">
                  <c:v>42.46</c:v>
                </c:pt>
                <c:pt idx="628">
                  <c:v>38</c:v>
                </c:pt>
                <c:pt idx="629">
                  <c:v>38.950000000000003</c:v>
                </c:pt>
                <c:pt idx="630">
                  <c:v>36.1</c:v>
                </c:pt>
                <c:pt idx="631">
                  <c:v>29.3</c:v>
                </c:pt>
                <c:pt idx="632">
                  <c:v>35.53</c:v>
                </c:pt>
                <c:pt idx="633">
                  <c:v>22.704999999999998</c:v>
                </c:pt>
                <c:pt idx="634">
                  <c:v>39.700000000000003</c:v>
                </c:pt>
                <c:pt idx="635">
                  <c:v>38.19</c:v>
                </c:pt>
                <c:pt idx="636">
                  <c:v>24.51</c:v>
                </c:pt>
                <c:pt idx="637">
                  <c:v>38.094999999999999</c:v>
                </c:pt>
                <c:pt idx="638">
                  <c:v>26.41</c:v>
                </c:pt>
                <c:pt idx="639">
                  <c:v>33.659999999999997</c:v>
                </c:pt>
                <c:pt idx="640">
                  <c:v>42.4</c:v>
                </c:pt>
                <c:pt idx="641">
                  <c:v>28.31</c:v>
                </c:pt>
                <c:pt idx="642">
                  <c:v>33.914999999999999</c:v>
                </c:pt>
                <c:pt idx="643">
                  <c:v>34.96</c:v>
                </c:pt>
                <c:pt idx="644">
                  <c:v>35.31</c:v>
                </c:pt>
                <c:pt idx="645">
                  <c:v>30.78</c:v>
                </c:pt>
                <c:pt idx="646">
                  <c:v>26.22</c:v>
                </c:pt>
                <c:pt idx="647">
                  <c:v>23.37</c:v>
                </c:pt>
                <c:pt idx="648">
                  <c:v>28.5</c:v>
                </c:pt>
                <c:pt idx="649">
                  <c:v>32.965000000000003</c:v>
                </c:pt>
                <c:pt idx="650">
                  <c:v>42.68</c:v>
                </c:pt>
                <c:pt idx="651">
                  <c:v>39.6</c:v>
                </c:pt>
                <c:pt idx="652">
                  <c:v>31.13</c:v>
                </c:pt>
                <c:pt idx="653">
                  <c:v>36.299999999999997</c:v>
                </c:pt>
                <c:pt idx="654">
                  <c:v>35.200000000000003</c:v>
                </c:pt>
                <c:pt idx="655">
                  <c:v>25.3</c:v>
                </c:pt>
                <c:pt idx="656">
                  <c:v>42.4</c:v>
                </c:pt>
                <c:pt idx="657">
                  <c:v>33.155000000000001</c:v>
                </c:pt>
                <c:pt idx="658">
                  <c:v>35.909999999999997</c:v>
                </c:pt>
                <c:pt idx="659">
                  <c:v>28.785</c:v>
                </c:pt>
                <c:pt idx="660">
                  <c:v>46.53</c:v>
                </c:pt>
                <c:pt idx="661">
                  <c:v>23.98</c:v>
                </c:pt>
                <c:pt idx="662">
                  <c:v>31.54</c:v>
                </c:pt>
                <c:pt idx="663">
                  <c:v>33.659999999999997</c:v>
                </c:pt>
                <c:pt idx="664">
                  <c:v>22.99</c:v>
                </c:pt>
                <c:pt idx="665">
                  <c:v>38.06</c:v>
                </c:pt>
                <c:pt idx="666">
                  <c:v>28.7</c:v>
                </c:pt>
                <c:pt idx="667">
                  <c:v>32.774999999999999</c:v>
                </c:pt>
                <c:pt idx="668">
                  <c:v>32.015000000000001</c:v>
                </c:pt>
                <c:pt idx="669">
                  <c:v>29.81</c:v>
                </c:pt>
                <c:pt idx="670">
                  <c:v>31.57</c:v>
                </c:pt>
                <c:pt idx="671">
                  <c:v>31.16</c:v>
                </c:pt>
                <c:pt idx="672">
                  <c:v>29.7</c:v>
                </c:pt>
                <c:pt idx="673">
                  <c:v>31.02</c:v>
                </c:pt>
                <c:pt idx="674">
                  <c:v>43.89</c:v>
                </c:pt>
                <c:pt idx="675">
                  <c:v>21.375</c:v>
                </c:pt>
                <c:pt idx="676">
                  <c:v>40.81</c:v>
                </c:pt>
                <c:pt idx="677">
                  <c:v>31.35</c:v>
                </c:pt>
                <c:pt idx="678">
                  <c:v>36.1</c:v>
                </c:pt>
                <c:pt idx="679">
                  <c:v>23.18</c:v>
                </c:pt>
                <c:pt idx="680">
                  <c:v>17.399999999999999</c:v>
                </c:pt>
                <c:pt idx="681">
                  <c:v>20.3</c:v>
                </c:pt>
                <c:pt idx="682">
                  <c:v>35.299999999999997</c:v>
                </c:pt>
                <c:pt idx="683">
                  <c:v>24.32</c:v>
                </c:pt>
                <c:pt idx="684">
                  <c:v>18.5</c:v>
                </c:pt>
                <c:pt idx="685">
                  <c:v>26.41</c:v>
                </c:pt>
                <c:pt idx="686">
                  <c:v>26.125</c:v>
                </c:pt>
                <c:pt idx="687">
                  <c:v>41.69</c:v>
                </c:pt>
                <c:pt idx="688">
                  <c:v>24.1</c:v>
                </c:pt>
                <c:pt idx="689">
                  <c:v>31.13</c:v>
                </c:pt>
                <c:pt idx="690">
                  <c:v>27.36</c:v>
                </c:pt>
                <c:pt idx="691">
                  <c:v>36.200000000000003</c:v>
                </c:pt>
                <c:pt idx="692">
                  <c:v>32.395000000000003</c:v>
                </c:pt>
                <c:pt idx="693">
                  <c:v>23.655000000000001</c:v>
                </c:pt>
                <c:pt idx="694">
                  <c:v>34.799999999999997</c:v>
                </c:pt>
                <c:pt idx="695">
                  <c:v>40.185000000000002</c:v>
                </c:pt>
                <c:pt idx="696">
                  <c:v>32.299999999999997</c:v>
                </c:pt>
                <c:pt idx="697">
                  <c:v>35.75</c:v>
                </c:pt>
                <c:pt idx="698">
                  <c:v>33.725000000000001</c:v>
                </c:pt>
                <c:pt idx="699">
                  <c:v>39.270000000000003</c:v>
                </c:pt>
                <c:pt idx="700">
                  <c:v>34.869999999999997</c:v>
                </c:pt>
                <c:pt idx="701">
                  <c:v>44.744999999999997</c:v>
                </c:pt>
                <c:pt idx="702">
                  <c:v>41.47</c:v>
                </c:pt>
                <c:pt idx="703">
                  <c:v>26.41</c:v>
                </c:pt>
                <c:pt idx="704">
                  <c:v>29.545000000000002</c:v>
                </c:pt>
                <c:pt idx="705">
                  <c:v>32.9</c:v>
                </c:pt>
                <c:pt idx="706">
                  <c:v>38.06</c:v>
                </c:pt>
                <c:pt idx="707">
                  <c:v>28.69</c:v>
                </c:pt>
                <c:pt idx="708">
                  <c:v>30.495000000000001</c:v>
                </c:pt>
                <c:pt idx="709">
                  <c:v>27.74</c:v>
                </c:pt>
                <c:pt idx="710">
                  <c:v>35.200000000000003</c:v>
                </c:pt>
                <c:pt idx="711">
                  <c:v>23.54</c:v>
                </c:pt>
                <c:pt idx="712">
                  <c:v>30.684999999999999</c:v>
                </c:pt>
                <c:pt idx="713">
                  <c:v>40.47</c:v>
                </c:pt>
                <c:pt idx="714">
                  <c:v>22.6</c:v>
                </c:pt>
                <c:pt idx="715">
                  <c:v>28.9</c:v>
                </c:pt>
                <c:pt idx="716">
                  <c:v>22.61</c:v>
                </c:pt>
                <c:pt idx="717">
                  <c:v>24.32</c:v>
                </c:pt>
                <c:pt idx="718">
                  <c:v>36.67</c:v>
                </c:pt>
                <c:pt idx="719">
                  <c:v>33.44</c:v>
                </c:pt>
                <c:pt idx="720">
                  <c:v>40.659999999999997</c:v>
                </c:pt>
                <c:pt idx="721">
                  <c:v>36.6</c:v>
                </c:pt>
                <c:pt idx="722">
                  <c:v>37.4</c:v>
                </c:pt>
                <c:pt idx="723">
                  <c:v>35.4</c:v>
                </c:pt>
                <c:pt idx="724">
                  <c:v>27.074999999999999</c:v>
                </c:pt>
                <c:pt idx="725">
                  <c:v>39.049999999999997</c:v>
                </c:pt>
                <c:pt idx="726">
                  <c:v>28.405000000000001</c:v>
                </c:pt>
                <c:pt idx="727">
                  <c:v>21.754999999999999</c:v>
                </c:pt>
                <c:pt idx="728">
                  <c:v>40.28</c:v>
                </c:pt>
                <c:pt idx="729">
                  <c:v>36.08</c:v>
                </c:pt>
                <c:pt idx="730">
                  <c:v>24.42</c:v>
                </c:pt>
                <c:pt idx="731">
                  <c:v>21.4</c:v>
                </c:pt>
                <c:pt idx="732">
                  <c:v>30.1</c:v>
                </c:pt>
                <c:pt idx="733">
                  <c:v>27.265000000000001</c:v>
                </c:pt>
                <c:pt idx="734">
                  <c:v>32.1</c:v>
                </c:pt>
                <c:pt idx="735">
                  <c:v>34.770000000000003</c:v>
                </c:pt>
                <c:pt idx="736">
                  <c:v>38.39</c:v>
                </c:pt>
                <c:pt idx="737">
                  <c:v>23.7</c:v>
                </c:pt>
                <c:pt idx="738">
                  <c:v>31.73</c:v>
                </c:pt>
                <c:pt idx="739">
                  <c:v>35.5</c:v>
                </c:pt>
                <c:pt idx="740">
                  <c:v>24.035</c:v>
                </c:pt>
                <c:pt idx="741">
                  <c:v>29.15</c:v>
                </c:pt>
                <c:pt idx="742">
                  <c:v>34.104999999999997</c:v>
                </c:pt>
                <c:pt idx="743">
                  <c:v>26.62</c:v>
                </c:pt>
                <c:pt idx="744">
                  <c:v>26.41</c:v>
                </c:pt>
                <c:pt idx="745">
                  <c:v>30.114999999999998</c:v>
                </c:pt>
                <c:pt idx="746">
                  <c:v>27</c:v>
                </c:pt>
                <c:pt idx="747">
                  <c:v>21.754999999999999</c:v>
                </c:pt>
                <c:pt idx="748">
                  <c:v>36</c:v>
                </c:pt>
                <c:pt idx="749">
                  <c:v>30.875</c:v>
                </c:pt>
                <c:pt idx="750">
                  <c:v>26.4</c:v>
                </c:pt>
                <c:pt idx="751">
                  <c:v>28.975000000000001</c:v>
                </c:pt>
                <c:pt idx="752">
                  <c:v>37.905000000000001</c:v>
                </c:pt>
                <c:pt idx="753">
                  <c:v>22.77</c:v>
                </c:pt>
                <c:pt idx="754">
                  <c:v>33.630000000000003</c:v>
                </c:pt>
                <c:pt idx="755">
                  <c:v>27.645</c:v>
                </c:pt>
                <c:pt idx="756">
                  <c:v>22.8</c:v>
                </c:pt>
                <c:pt idx="757">
                  <c:v>27.83</c:v>
                </c:pt>
                <c:pt idx="758">
                  <c:v>37.43</c:v>
                </c:pt>
                <c:pt idx="759">
                  <c:v>38.17</c:v>
                </c:pt>
                <c:pt idx="760">
                  <c:v>34.58</c:v>
                </c:pt>
                <c:pt idx="761">
                  <c:v>35.200000000000003</c:v>
                </c:pt>
                <c:pt idx="762">
                  <c:v>27.1</c:v>
                </c:pt>
                <c:pt idx="763">
                  <c:v>26.03</c:v>
                </c:pt>
                <c:pt idx="764">
                  <c:v>25.175000000000001</c:v>
                </c:pt>
                <c:pt idx="765">
                  <c:v>31.824999999999999</c:v>
                </c:pt>
                <c:pt idx="766">
                  <c:v>32.299999999999997</c:v>
                </c:pt>
                <c:pt idx="767">
                  <c:v>29</c:v>
                </c:pt>
                <c:pt idx="768">
                  <c:v>39.700000000000003</c:v>
                </c:pt>
                <c:pt idx="769">
                  <c:v>19.475000000000001</c:v>
                </c:pt>
                <c:pt idx="770">
                  <c:v>36.1</c:v>
                </c:pt>
                <c:pt idx="771">
                  <c:v>26.7</c:v>
                </c:pt>
                <c:pt idx="772">
                  <c:v>36.479999999999997</c:v>
                </c:pt>
                <c:pt idx="773">
                  <c:v>28.88</c:v>
                </c:pt>
                <c:pt idx="774">
                  <c:v>34.200000000000003</c:v>
                </c:pt>
                <c:pt idx="775">
                  <c:v>33.33</c:v>
                </c:pt>
                <c:pt idx="776">
                  <c:v>32.299999999999997</c:v>
                </c:pt>
                <c:pt idx="777">
                  <c:v>39.805</c:v>
                </c:pt>
                <c:pt idx="778">
                  <c:v>34.32</c:v>
                </c:pt>
                <c:pt idx="779">
                  <c:v>28.88</c:v>
                </c:pt>
                <c:pt idx="780">
                  <c:v>24.4</c:v>
                </c:pt>
                <c:pt idx="781">
                  <c:v>41.14</c:v>
                </c:pt>
                <c:pt idx="782">
                  <c:v>35.97</c:v>
                </c:pt>
                <c:pt idx="783">
                  <c:v>27.6</c:v>
                </c:pt>
                <c:pt idx="784">
                  <c:v>29.26</c:v>
                </c:pt>
                <c:pt idx="785">
                  <c:v>27.7</c:v>
                </c:pt>
                <c:pt idx="786">
                  <c:v>36.954999999999998</c:v>
                </c:pt>
                <c:pt idx="787">
                  <c:v>36.86</c:v>
                </c:pt>
                <c:pt idx="788">
                  <c:v>22.515000000000001</c:v>
                </c:pt>
                <c:pt idx="789">
                  <c:v>29.92</c:v>
                </c:pt>
                <c:pt idx="790">
                  <c:v>41.8</c:v>
                </c:pt>
                <c:pt idx="791">
                  <c:v>27.6</c:v>
                </c:pt>
                <c:pt idx="792">
                  <c:v>23.18</c:v>
                </c:pt>
                <c:pt idx="793">
                  <c:v>20.9</c:v>
                </c:pt>
                <c:pt idx="794">
                  <c:v>31.92</c:v>
                </c:pt>
                <c:pt idx="795">
                  <c:v>28.5</c:v>
                </c:pt>
                <c:pt idx="796">
                  <c:v>44.22</c:v>
                </c:pt>
                <c:pt idx="797">
                  <c:v>22.895</c:v>
                </c:pt>
                <c:pt idx="798">
                  <c:v>33.1</c:v>
                </c:pt>
                <c:pt idx="799">
                  <c:v>24.795000000000002</c:v>
                </c:pt>
                <c:pt idx="800">
                  <c:v>26.18</c:v>
                </c:pt>
                <c:pt idx="801">
                  <c:v>35.97</c:v>
                </c:pt>
                <c:pt idx="802">
                  <c:v>22.3</c:v>
                </c:pt>
                <c:pt idx="803">
                  <c:v>42.24</c:v>
                </c:pt>
                <c:pt idx="804">
                  <c:v>26.51</c:v>
                </c:pt>
                <c:pt idx="805">
                  <c:v>35.814999999999998</c:v>
                </c:pt>
                <c:pt idx="806">
                  <c:v>41.42</c:v>
                </c:pt>
                <c:pt idx="807">
                  <c:v>36.575000000000003</c:v>
                </c:pt>
                <c:pt idx="808">
                  <c:v>30.14</c:v>
                </c:pt>
                <c:pt idx="809">
                  <c:v>25.84</c:v>
                </c:pt>
                <c:pt idx="810">
                  <c:v>30.8</c:v>
                </c:pt>
                <c:pt idx="811">
                  <c:v>42.94</c:v>
                </c:pt>
                <c:pt idx="812">
                  <c:v>21.01</c:v>
                </c:pt>
                <c:pt idx="813">
                  <c:v>22.515000000000001</c:v>
                </c:pt>
                <c:pt idx="814">
                  <c:v>34.43</c:v>
                </c:pt>
                <c:pt idx="815">
                  <c:v>31.46</c:v>
                </c:pt>
                <c:pt idx="816">
                  <c:v>24.225000000000001</c:v>
                </c:pt>
                <c:pt idx="817">
                  <c:v>37.1</c:v>
                </c:pt>
                <c:pt idx="818">
                  <c:v>26.125</c:v>
                </c:pt>
                <c:pt idx="819">
                  <c:v>35.53</c:v>
                </c:pt>
                <c:pt idx="820">
                  <c:v>33.700000000000003</c:v>
                </c:pt>
                <c:pt idx="821">
                  <c:v>17.670000000000002</c:v>
                </c:pt>
                <c:pt idx="822">
                  <c:v>31.13</c:v>
                </c:pt>
                <c:pt idx="823">
                  <c:v>29.81</c:v>
                </c:pt>
                <c:pt idx="824">
                  <c:v>24.32</c:v>
                </c:pt>
                <c:pt idx="825">
                  <c:v>31.824999999999999</c:v>
                </c:pt>
                <c:pt idx="826">
                  <c:v>31.79</c:v>
                </c:pt>
                <c:pt idx="827">
                  <c:v>28.024999999999999</c:v>
                </c:pt>
                <c:pt idx="828">
                  <c:v>30.78</c:v>
                </c:pt>
                <c:pt idx="829">
                  <c:v>21.85</c:v>
                </c:pt>
                <c:pt idx="830">
                  <c:v>33.1</c:v>
                </c:pt>
                <c:pt idx="831">
                  <c:v>25.84</c:v>
                </c:pt>
                <c:pt idx="832">
                  <c:v>23.844999999999999</c:v>
                </c:pt>
                <c:pt idx="833">
                  <c:v>34.39</c:v>
                </c:pt>
                <c:pt idx="834">
                  <c:v>33.82</c:v>
                </c:pt>
                <c:pt idx="835">
                  <c:v>35.97</c:v>
                </c:pt>
                <c:pt idx="836">
                  <c:v>31.5</c:v>
                </c:pt>
                <c:pt idx="837">
                  <c:v>28.31</c:v>
                </c:pt>
                <c:pt idx="838">
                  <c:v>23.465</c:v>
                </c:pt>
                <c:pt idx="839">
                  <c:v>31.35</c:v>
                </c:pt>
                <c:pt idx="840">
                  <c:v>31.1</c:v>
                </c:pt>
                <c:pt idx="841">
                  <c:v>24.7</c:v>
                </c:pt>
                <c:pt idx="842">
                  <c:v>32.78</c:v>
                </c:pt>
                <c:pt idx="843">
                  <c:v>29.81</c:v>
                </c:pt>
                <c:pt idx="844">
                  <c:v>30.495000000000001</c:v>
                </c:pt>
                <c:pt idx="845">
                  <c:v>32.450000000000003</c:v>
                </c:pt>
                <c:pt idx="846">
                  <c:v>34.200000000000003</c:v>
                </c:pt>
                <c:pt idx="847">
                  <c:v>50.38</c:v>
                </c:pt>
                <c:pt idx="848">
                  <c:v>24.1</c:v>
                </c:pt>
                <c:pt idx="849">
                  <c:v>32.774999999999999</c:v>
                </c:pt>
                <c:pt idx="850">
                  <c:v>30.78</c:v>
                </c:pt>
                <c:pt idx="851">
                  <c:v>32.299999999999997</c:v>
                </c:pt>
                <c:pt idx="852">
                  <c:v>35.53</c:v>
                </c:pt>
                <c:pt idx="853">
                  <c:v>23.75</c:v>
                </c:pt>
                <c:pt idx="854">
                  <c:v>23.844999999999999</c:v>
                </c:pt>
                <c:pt idx="855">
                  <c:v>29.6</c:v>
                </c:pt>
                <c:pt idx="856">
                  <c:v>33.11</c:v>
                </c:pt>
                <c:pt idx="857">
                  <c:v>24.13</c:v>
                </c:pt>
                <c:pt idx="858">
                  <c:v>32.229999999999997</c:v>
                </c:pt>
                <c:pt idx="859">
                  <c:v>28.1</c:v>
                </c:pt>
                <c:pt idx="860">
                  <c:v>47.6</c:v>
                </c:pt>
                <c:pt idx="861">
                  <c:v>28</c:v>
                </c:pt>
                <c:pt idx="862">
                  <c:v>33.534999999999997</c:v>
                </c:pt>
                <c:pt idx="863">
                  <c:v>19.855</c:v>
                </c:pt>
                <c:pt idx="864">
                  <c:v>25.4</c:v>
                </c:pt>
                <c:pt idx="865">
                  <c:v>29.9</c:v>
                </c:pt>
                <c:pt idx="866">
                  <c:v>37.29</c:v>
                </c:pt>
                <c:pt idx="867">
                  <c:v>43.7</c:v>
                </c:pt>
                <c:pt idx="868">
                  <c:v>23.655000000000001</c:v>
                </c:pt>
                <c:pt idx="869">
                  <c:v>24.3</c:v>
                </c:pt>
                <c:pt idx="870">
                  <c:v>36.200000000000003</c:v>
                </c:pt>
                <c:pt idx="871">
                  <c:v>29.48</c:v>
                </c:pt>
                <c:pt idx="872">
                  <c:v>24.86</c:v>
                </c:pt>
                <c:pt idx="873">
                  <c:v>30.1</c:v>
                </c:pt>
                <c:pt idx="874">
                  <c:v>21.85</c:v>
                </c:pt>
                <c:pt idx="875">
                  <c:v>28.12</c:v>
                </c:pt>
                <c:pt idx="876">
                  <c:v>27.1</c:v>
                </c:pt>
                <c:pt idx="877">
                  <c:v>33.44</c:v>
                </c:pt>
                <c:pt idx="878">
                  <c:v>28.8</c:v>
                </c:pt>
                <c:pt idx="879">
                  <c:v>29.5</c:v>
                </c:pt>
                <c:pt idx="880">
                  <c:v>34.799999999999997</c:v>
                </c:pt>
                <c:pt idx="881">
                  <c:v>27.36</c:v>
                </c:pt>
                <c:pt idx="882">
                  <c:v>22.135000000000002</c:v>
                </c:pt>
                <c:pt idx="883">
                  <c:v>37.049999999999997</c:v>
                </c:pt>
                <c:pt idx="884">
                  <c:v>26.695</c:v>
                </c:pt>
                <c:pt idx="885">
                  <c:v>28.93</c:v>
                </c:pt>
                <c:pt idx="886">
                  <c:v>28.975000000000001</c:v>
                </c:pt>
                <c:pt idx="887">
                  <c:v>30.02</c:v>
                </c:pt>
                <c:pt idx="888">
                  <c:v>39.5</c:v>
                </c:pt>
                <c:pt idx="889">
                  <c:v>33.630000000000003</c:v>
                </c:pt>
                <c:pt idx="890">
                  <c:v>26.885000000000002</c:v>
                </c:pt>
                <c:pt idx="891">
                  <c:v>29.04</c:v>
                </c:pt>
                <c:pt idx="892">
                  <c:v>24.035</c:v>
                </c:pt>
                <c:pt idx="893">
                  <c:v>38.94</c:v>
                </c:pt>
                <c:pt idx="894">
                  <c:v>32.11</c:v>
                </c:pt>
                <c:pt idx="895">
                  <c:v>44</c:v>
                </c:pt>
                <c:pt idx="896">
                  <c:v>20.045000000000002</c:v>
                </c:pt>
                <c:pt idx="897">
                  <c:v>25.555</c:v>
                </c:pt>
                <c:pt idx="898">
                  <c:v>40.26</c:v>
                </c:pt>
                <c:pt idx="899">
                  <c:v>22.515000000000001</c:v>
                </c:pt>
                <c:pt idx="900">
                  <c:v>22.515000000000001</c:v>
                </c:pt>
                <c:pt idx="901">
                  <c:v>40.92</c:v>
                </c:pt>
                <c:pt idx="902">
                  <c:v>27.265000000000001</c:v>
                </c:pt>
                <c:pt idx="903">
                  <c:v>36.85</c:v>
                </c:pt>
                <c:pt idx="904">
                  <c:v>35.1</c:v>
                </c:pt>
                <c:pt idx="905">
                  <c:v>29.355</c:v>
                </c:pt>
                <c:pt idx="906">
                  <c:v>32.585000000000001</c:v>
                </c:pt>
                <c:pt idx="907">
                  <c:v>32.340000000000003</c:v>
                </c:pt>
                <c:pt idx="908">
                  <c:v>39.799999999999997</c:v>
                </c:pt>
                <c:pt idx="909">
                  <c:v>24.6</c:v>
                </c:pt>
                <c:pt idx="910">
                  <c:v>28.31</c:v>
                </c:pt>
                <c:pt idx="911">
                  <c:v>31.73</c:v>
                </c:pt>
                <c:pt idx="912">
                  <c:v>26.695</c:v>
                </c:pt>
                <c:pt idx="913">
                  <c:v>27.5</c:v>
                </c:pt>
                <c:pt idx="914">
                  <c:v>24.605</c:v>
                </c:pt>
                <c:pt idx="915">
                  <c:v>33.99</c:v>
                </c:pt>
                <c:pt idx="916">
                  <c:v>26.885000000000002</c:v>
                </c:pt>
                <c:pt idx="917">
                  <c:v>22.895</c:v>
                </c:pt>
                <c:pt idx="918">
                  <c:v>28.2</c:v>
                </c:pt>
                <c:pt idx="919">
                  <c:v>34.21</c:v>
                </c:pt>
                <c:pt idx="920">
                  <c:v>25</c:v>
                </c:pt>
                <c:pt idx="921">
                  <c:v>33.200000000000003</c:v>
                </c:pt>
                <c:pt idx="922">
                  <c:v>31</c:v>
                </c:pt>
                <c:pt idx="923">
                  <c:v>35.814999999999998</c:v>
                </c:pt>
                <c:pt idx="924">
                  <c:v>23.2</c:v>
                </c:pt>
                <c:pt idx="925">
                  <c:v>32.11</c:v>
                </c:pt>
                <c:pt idx="926">
                  <c:v>23.4</c:v>
                </c:pt>
                <c:pt idx="927">
                  <c:v>20.100000000000001</c:v>
                </c:pt>
                <c:pt idx="928">
                  <c:v>39.159999999999997</c:v>
                </c:pt>
                <c:pt idx="929">
                  <c:v>34.21</c:v>
                </c:pt>
                <c:pt idx="930">
                  <c:v>46.53</c:v>
                </c:pt>
                <c:pt idx="931">
                  <c:v>32.5</c:v>
                </c:pt>
                <c:pt idx="932">
                  <c:v>25.8</c:v>
                </c:pt>
                <c:pt idx="933">
                  <c:v>35.299999999999997</c:v>
                </c:pt>
                <c:pt idx="934">
                  <c:v>37.18</c:v>
                </c:pt>
                <c:pt idx="935">
                  <c:v>27.5</c:v>
                </c:pt>
                <c:pt idx="936">
                  <c:v>29.734999999999999</c:v>
                </c:pt>
                <c:pt idx="937">
                  <c:v>24.225000000000001</c:v>
                </c:pt>
                <c:pt idx="938">
                  <c:v>26.18</c:v>
                </c:pt>
                <c:pt idx="939">
                  <c:v>29.48</c:v>
                </c:pt>
                <c:pt idx="940">
                  <c:v>23.21</c:v>
                </c:pt>
                <c:pt idx="941">
                  <c:v>46.09</c:v>
                </c:pt>
                <c:pt idx="942">
                  <c:v>40.185000000000002</c:v>
                </c:pt>
                <c:pt idx="943">
                  <c:v>22.61</c:v>
                </c:pt>
                <c:pt idx="944">
                  <c:v>39.93</c:v>
                </c:pt>
                <c:pt idx="945">
                  <c:v>35.799999999999997</c:v>
                </c:pt>
                <c:pt idx="946">
                  <c:v>35.799999999999997</c:v>
                </c:pt>
                <c:pt idx="947">
                  <c:v>34.200000000000003</c:v>
                </c:pt>
                <c:pt idx="948">
                  <c:v>31.254999999999999</c:v>
                </c:pt>
                <c:pt idx="949">
                  <c:v>29.7</c:v>
                </c:pt>
                <c:pt idx="950">
                  <c:v>18.335000000000001</c:v>
                </c:pt>
                <c:pt idx="951">
                  <c:v>42.9</c:v>
                </c:pt>
                <c:pt idx="952">
                  <c:v>28.405000000000001</c:v>
                </c:pt>
                <c:pt idx="953">
                  <c:v>30.2</c:v>
                </c:pt>
                <c:pt idx="954">
                  <c:v>27.835000000000001</c:v>
                </c:pt>
                <c:pt idx="955">
                  <c:v>39.49</c:v>
                </c:pt>
                <c:pt idx="956">
                  <c:v>30.8</c:v>
                </c:pt>
                <c:pt idx="957">
                  <c:v>26.79</c:v>
                </c:pt>
                <c:pt idx="958">
                  <c:v>34.96</c:v>
                </c:pt>
                <c:pt idx="959">
                  <c:v>36.67</c:v>
                </c:pt>
                <c:pt idx="960">
                  <c:v>39.615000000000002</c:v>
                </c:pt>
                <c:pt idx="961">
                  <c:v>25.9</c:v>
                </c:pt>
                <c:pt idx="962">
                  <c:v>35.200000000000003</c:v>
                </c:pt>
                <c:pt idx="963">
                  <c:v>24.795000000000002</c:v>
                </c:pt>
                <c:pt idx="964">
                  <c:v>36.765000000000001</c:v>
                </c:pt>
                <c:pt idx="965">
                  <c:v>27.1</c:v>
                </c:pt>
                <c:pt idx="966">
                  <c:v>24.795000000000002</c:v>
                </c:pt>
                <c:pt idx="967">
                  <c:v>25.364999999999998</c:v>
                </c:pt>
                <c:pt idx="968">
                  <c:v>25.745000000000001</c:v>
                </c:pt>
                <c:pt idx="969">
                  <c:v>34.32</c:v>
                </c:pt>
                <c:pt idx="970">
                  <c:v>28.16</c:v>
                </c:pt>
                <c:pt idx="971">
                  <c:v>23.56</c:v>
                </c:pt>
                <c:pt idx="972">
                  <c:v>20.234999999999999</c:v>
                </c:pt>
                <c:pt idx="973">
                  <c:v>40.5</c:v>
                </c:pt>
                <c:pt idx="974">
                  <c:v>35.42</c:v>
                </c:pt>
                <c:pt idx="975">
                  <c:v>22.895</c:v>
                </c:pt>
                <c:pt idx="976">
                  <c:v>40.15</c:v>
                </c:pt>
                <c:pt idx="977">
                  <c:v>29.15</c:v>
                </c:pt>
                <c:pt idx="978">
                  <c:v>39.994999999999997</c:v>
                </c:pt>
                <c:pt idx="979">
                  <c:v>29.92</c:v>
                </c:pt>
                <c:pt idx="980">
                  <c:v>25.46</c:v>
                </c:pt>
                <c:pt idx="981">
                  <c:v>21.375</c:v>
                </c:pt>
                <c:pt idx="982">
                  <c:v>25.9</c:v>
                </c:pt>
                <c:pt idx="983">
                  <c:v>30.59</c:v>
                </c:pt>
                <c:pt idx="984">
                  <c:v>30.114999999999998</c:v>
                </c:pt>
                <c:pt idx="985">
                  <c:v>25.8</c:v>
                </c:pt>
                <c:pt idx="986">
                  <c:v>30.114999999999998</c:v>
                </c:pt>
                <c:pt idx="987">
                  <c:v>27.645</c:v>
                </c:pt>
                <c:pt idx="988">
                  <c:v>34.674999999999997</c:v>
                </c:pt>
                <c:pt idx="989">
                  <c:v>20.52</c:v>
                </c:pt>
                <c:pt idx="990">
                  <c:v>19.8</c:v>
                </c:pt>
                <c:pt idx="991">
                  <c:v>27.835000000000001</c:v>
                </c:pt>
                <c:pt idx="992">
                  <c:v>31.6</c:v>
                </c:pt>
                <c:pt idx="993">
                  <c:v>28.27</c:v>
                </c:pt>
                <c:pt idx="994">
                  <c:v>20.045000000000002</c:v>
                </c:pt>
                <c:pt idx="995">
                  <c:v>23.274999999999999</c:v>
                </c:pt>
                <c:pt idx="996">
                  <c:v>34.1</c:v>
                </c:pt>
                <c:pt idx="997">
                  <c:v>36.85</c:v>
                </c:pt>
                <c:pt idx="998">
                  <c:v>36.29</c:v>
                </c:pt>
                <c:pt idx="999">
                  <c:v>26.885000000000002</c:v>
                </c:pt>
                <c:pt idx="1000">
                  <c:v>22.99</c:v>
                </c:pt>
                <c:pt idx="1001">
                  <c:v>32.700000000000003</c:v>
                </c:pt>
                <c:pt idx="1002">
                  <c:v>25.8</c:v>
                </c:pt>
                <c:pt idx="1003">
                  <c:v>29.6</c:v>
                </c:pt>
                <c:pt idx="1004">
                  <c:v>19.190000000000001</c:v>
                </c:pt>
                <c:pt idx="1005">
                  <c:v>31.73</c:v>
                </c:pt>
                <c:pt idx="1006">
                  <c:v>29.26</c:v>
                </c:pt>
                <c:pt idx="1007">
                  <c:v>28.215</c:v>
                </c:pt>
                <c:pt idx="1008">
                  <c:v>24.984999999999999</c:v>
                </c:pt>
                <c:pt idx="1009">
                  <c:v>27.74</c:v>
                </c:pt>
                <c:pt idx="1010">
                  <c:v>22.8</c:v>
                </c:pt>
                <c:pt idx="1011">
                  <c:v>20.13</c:v>
                </c:pt>
                <c:pt idx="1012">
                  <c:v>33.33</c:v>
                </c:pt>
                <c:pt idx="1013">
                  <c:v>32.299999999999997</c:v>
                </c:pt>
                <c:pt idx="1014">
                  <c:v>27.6</c:v>
                </c:pt>
                <c:pt idx="1015">
                  <c:v>25.46</c:v>
                </c:pt>
                <c:pt idx="1016">
                  <c:v>24.605</c:v>
                </c:pt>
                <c:pt idx="1017">
                  <c:v>34.200000000000003</c:v>
                </c:pt>
                <c:pt idx="1018">
                  <c:v>35.814999999999998</c:v>
                </c:pt>
                <c:pt idx="1019">
                  <c:v>32.68</c:v>
                </c:pt>
                <c:pt idx="1020">
                  <c:v>37</c:v>
                </c:pt>
                <c:pt idx="1021">
                  <c:v>31.02</c:v>
                </c:pt>
                <c:pt idx="1022">
                  <c:v>36.08</c:v>
                </c:pt>
                <c:pt idx="1023">
                  <c:v>23.32</c:v>
                </c:pt>
                <c:pt idx="1024">
                  <c:v>45.32</c:v>
                </c:pt>
                <c:pt idx="1025">
                  <c:v>34.6</c:v>
                </c:pt>
                <c:pt idx="1026">
                  <c:v>26.03</c:v>
                </c:pt>
                <c:pt idx="1027">
                  <c:v>18.715</c:v>
                </c:pt>
                <c:pt idx="1028">
                  <c:v>31.6</c:v>
                </c:pt>
                <c:pt idx="1029">
                  <c:v>17.29</c:v>
                </c:pt>
                <c:pt idx="1030">
                  <c:v>23.655000000000001</c:v>
                </c:pt>
                <c:pt idx="1031">
                  <c:v>35.200000000000003</c:v>
                </c:pt>
                <c:pt idx="1032">
                  <c:v>27.93</c:v>
                </c:pt>
                <c:pt idx="1033">
                  <c:v>21.565000000000001</c:v>
                </c:pt>
                <c:pt idx="1034">
                  <c:v>38.380000000000003</c:v>
                </c:pt>
                <c:pt idx="1035">
                  <c:v>23</c:v>
                </c:pt>
                <c:pt idx="1036">
                  <c:v>37.07</c:v>
                </c:pt>
                <c:pt idx="1037">
                  <c:v>30.495000000000001</c:v>
                </c:pt>
                <c:pt idx="1038">
                  <c:v>28.88</c:v>
                </c:pt>
                <c:pt idx="1039">
                  <c:v>27.265000000000001</c:v>
                </c:pt>
                <c:pt idx="1040">
                  <c:v>28.024999999999999</c:v>
                </c:pt>
                <c:pt idx="1041">
                  <c:v>23.085000000000001</c:v>
                </c:pt>
                <c:pt idx="1042">
                  <c:v>30.684999999999999</c:v>
                </c:pt>
                <c:pt idx="1043">
                  <c:v>25.8</c:v>
                </c:pt>
                <c:pt idx="1044">
                  <c:v>35.244999999999997</c:v>
                </c:pt>
                <c:pt idx="1045">
                  <c:v>24.7</c:v>
                </c:pt>
                <c:pt idx="1046">
                  <c:v>25.08</c:v>
                </c:pt>
                <c:pt idx="1047">
                  <c:v>52.58</c:v>
                </c:pt>
                <c:pt idx="1048">
                  <c:v>22.515000000000001</c:v>
                </c:pt>
                <c:pt idx="1049">
                  <c:v>30.9</c:v>
                </c:pt>
                <c:pt idx="1050">
                  <c:v>36.954999999999998</c:v>
                </c:pt>
                <c:pt idx="1051">
                  <c:v>26.41</c:v>
                </c:pt>
                <c:pt idx="1052">
                  <c:v>29.83</c:v>
                </c:pt>
                <c:pt idx="1053">
                  <c:v>29.8</c:v>
                </c:pt>
                <c:pt idx="1054">
                  <c:v>21.47</c:v>
                </c:pt>
                <c:pt idx="1055">
                  <c:v>27.645</c:v>
                </c:pt>
                <c:pt idx="1056">
                  <c:v>28.9</c:v>
                </c:pt>
                <c:pt idx="1057">
                  <c:v>31.79</c:v>
                </c:pt>
                <c:pt idx="1058">
                  <c:v>39.49</c:v>
                </c:pt>
                <c:pt idx="1059">
                  <c:v>33.82</c:v>
                </c:pt>
                <c:pt idx="1060">
                  <c:v>32.01</c:v>
                </c:pt>
                <c:pt idx="1061">
                  <c:v>27.94</c:v>
                </c:pt>
                <c:pt idx="1062">
                  <c:v>41.14</c:v>
                </c:pt>
                <c:pt idx="1063">
                  <c:v>28.594999999999999</c:v>
                </c:pt>
                <c:pt idx="1064">
                  <c:v>25.6</c:v>
                </c:pt>
                <c:pt idx="1065">
                  <c:v>25.3</c:v>
                </c:pt>
                <c:pt idx="1066">
                  <c:v>37.29</c:v>
                </c:pt>
                <c:pt idx="1067">
                  <c:v>42.655000000000001</c:v>
                </c:pt>
                <c:pt idx="1068">
                  <c:v>21.66</c:v>
                </c:pt>
                <c:pt idx="1069">
                  <c:v>31.9</c:v>
                </c:pt>
                <c:pt idx="1070">
                  <c:v>37.07</c:v>
                </c:pt>
                <c:pt idx="1071">
                  <c:v>31.445</c:v>
                </c:pt>
                <c:pt idx="1072">
                  <c:v>31.254999999999999</c:v>
                </c:pt>
                <c:pt idx="1073">
                  <c:v>28.88</c:v>
                </c:pt>
                <c:pt idx="1074">
                  <c:v>18.335000000000001</c:v>
                </c:pt>
                <c:pt idx="1075">
                  <c:v>29.59</c:v>
                </c:pt>
                <c:pt idx="1076">
                  <c:v>32</c:v>
                </c:pt>
                <c:pt idx="1077">
                  <c:v>26.03</c:v>
                </c:pt>
                <c:pt idx="1078">
                  <c:v>31.68</c:v>
                </c:pt>
                <c:pt idx="1079">
                  <c:v>33.659999999999997</c:v>
                </c:pt>
                <c:pt idx="1080">
                  <c:v>21.78</c:v>
                </c:pt>
                <c:pt idx="1081">
                  <c:v>27.835000000000001</c:v>
                </c:pt>
                <c:pt idx="1082">
                  <c:v>19.95</c:v>
                </c:pt>
                <c:pt idx="1083">
                  <c:v>31.5</c:v>
                </c:pt>
                <c:pt idx="1084">
                  <c:v>30.495000000000001</c:v>
                </c:pt>
                <c:pt idx="1085">
                  <c:v>18.3</c:v>
                </c:pt>
                <c:pt idx="1086">
                  <c:v>28.975000000000001</c:v>
                </c:pt>
                <c:pt idx="1087">
                  <c:v>31.54</c:v>
                </c:pt>
                <c:pt idx="1088">
                  <c:v>47.74</c:v>
                </c:pt>
                <c:pt idx="1089">
                  <c:v>22.1</c:v>
                </c:pt>
                <c:pt idx="1090">
                  <c:v>36.19</c:v>
                </c:pt>
                <c:pt idx="1091">
                  <c:v>29.83</c:v>
                </c:pt>
                <c:pt idx="1092">
                  <c:v>32.700000000000003</c:v>
                </c:pt>
                <c:pt idx="1093">
                  <c:v>30.4</c:v>
                </c:pt>
                <c:pt idx="1094">
                  <c:v>33.700000000000003</c:v>
                </c:pt>
                <c:pt idx="1095">
                  <c:v>31.35</c:v>
                </c:pt>
                <c:pt idx="1096">
                  <c:v>34.96</c:v>
                </c:pt>
                <c:pt idx="1097">
                  <c:v>33.770000000000003</c:v>
                </c:pt>
                <c:pt idx="1098">
                  <c:v>30.875</c:v>
                </c:pt>
                <c:pt idx="1099">
                  <c:v>33.99</c:v>
                </c:pt>
                <c:pt idx="1100">
                  <c:v>19.094999999999999</c:v>
                </c:pt>
                <c:pt idx="1101">
                  <c:v>28.6</c:v>
                </c:pt>
                <c:pt idx="1102">
                  <c:v>38.94</c:v>
                </c:pt>
                <c:pt idx="1103">
                  <c:v>36.08</c:v>
                </c:pt>
                <c:pt idx="1104">
                  <c:v>29.8</c:v>
                </c:pt>
                <c:pt idx="1105">
                  <c:v>31.24</c:v>
                </c:pt>
                <c:pt idx="1106">
                  <c:v>29.925000000000001</c:v>
                </c:pt>
                <c:pt idx="1107">
                  <c:v>26.22</c:v>
                </c:pt>
                <c:pt idx="1108">
                  <c:v>30</c:v>
                </c:pt>
                <c:pt idx="1109">
                  <c:v>20.350000000000001</c:v>
                </c:pt>
                <c:pt idx="1110">
                  <c:v>32.299999999999997</c:v>
                </c:pt>
                <c:pt idx="1111">
                  <c:v>38.39</c:v>
                </c:pt>
                <c:pt idx="1112">
                  <c:v>25.85</c:v>
                </c:pt>
                <c:pt idx="1113">
                  <c:v>26.315000000000001</c:v>
                </c:pt>
                <c:pt idx="1114">
                  <c:v>24.51</c:v>
                </c:pt>
                <c:pt idx="1115">
                  <c:v>32.67</c:v>
                </c:pt>
                <c:pt idx="1116">
                  <c:v>29.64</c:v>
                </c:pt>
                <c:pt idx="1117">
                  <c:v>33.33</c:v>
                </c:pt>
                <c:pt idx="1118">
                  <c:v>35.75</c:v>
                </c:pt>
                <c:pt idx="1119">
                  <c:v>19.95</c:v>
                </c:pt>
                <c:pt idx="1120">
                  <c:v>31.4</c:v>
                </c:pt>
                <c:pt idx="1121">
                  <c:v>38.17</c:v>
                </c:pt>
                <c:pt idx="1122">
                  <c:v>36.86</c:v>
                </c:pt>
                <c:pt idx="1123">
                  <c:v>32.395000000000003</c:v>
                </c:pt>
                <c:pt idx="1124">
                  <c:v>42.75</c:v>
                </c:pt>
                <c:pt idx="1125">
                  <c:v>25.08</c:v>
                </c:pt>
                <c:pt idx="1126">
                  <c:v>29.9</c:v>
                </c:pt>
                <c:pt idx="1127">
                  <c:v>35.86</c:v>
                </c:pt>
                <c:pt idx="1128">
                  <c:v>32.799999999999997</c:v>
                </c:pt>
                <c:pt idx="1129">
                  <c:v>18.600000000000001</c:v>
                </c:pt>
                <c:pt idx="1130">
                  <c:v>23.87</c:v>
                </c:pt>
                <c:pt idx="1131">
                  <c:v>45.9</c:v>
                </c:pt>
                <c:pt idx="1132">
                  <c:v>40.28</c:v>
                </c:pt>
                <c:pt idx="1133">
                  <c:v>18.335000000000001</c:v>
                </c:pt>
                <c:pt idx="1134">
                  <c:v>33.82</c:v>
                </c:pt>
                <c:pt idx="1135">
                  <c:v>28.12</c:v>
                </c:pt>
                <c:pt idx="1136">
                  <c:v>25</c:v>
                </c:pt>
                <c:pt idx="1137">
                  <c:v>22.23</c:v>
                </c:pt>
                <c:pt idx="1138">
                  <c:v>30.25</c:v>
                </c:pt>
                <c:pt idx="1139">
                  <c:v>32.49</c:v>
                </c:pt>
                <c:pt idx="1140">
                  <c:v>37.07</c:v>
                </c:pt>
                <c:pt idx="1141">
                  <c:v>32.6</c:v>
                </c:pt>
                <c:pt idx="1142">
                  <c:v>24.86</c:v>
                </c:pt>
                <c:pt idx="1143">
                  <c:v>32.340000000000003</c:v>
                </c:pt>
                <c:pt idx="1144">
                  <c:v>32.299999999999997</c:v>
                </c:pt>
                <c:pt idx="1145">
                  <c:v>32.774999999999999</c:v>
                </c:pt>
                <c:pt idx="1146">
                  <c:v>32.799999999999997</c:v>
                </c:pt>
                <c:pt idx="1147">
                  <c:v>31.92</c:v>
                </c:pt>
                <c:pt idx="1148">
                  <c:v>21.5</c:v>
                </c:pt>
                <c:pt idx="1149">
                  <c:v>34.1</c:v>
                </c:pt>
                <c:pt idx="1150">
                  <c:v>30.305</c:v>
                </c:pt>
                <c:pt idx="1151">
                  <c:v>36.479999999999997</c:v>
                </c:pt>
                <c:pt idx="1152">
                  <c:v>32.56</c:v>
                </c:pt>
                <c:pt idx="1153">
                  <c:v>35.814999999999998</c:v>
                </c:pt>
                <c:pt idx="1154">
                  <c:v>27.93</c:v>
                </c:pt>
                <c:pt idx="1155">
                  <c:v>22.135000000000002</c:v>
                </c:pt>
                <c:pt idx="1156">
                  <c:v>44.88</c:v>
                </c:pt>
                <c:pt idx="1157">
                  <c:v>23.18</c:v>
                </c:pt>
                <c:pt idx="1158">
                  <c:v>30.59</c:v>
                </c:pt>
                <c:pt idx="1159">
                  <c:v>41.1</c:v>
                </c:pt>
                <c:pt idx="1160">
                  <c:v>34.58</c:v>
                </c:pt>
                <c:pt idx="1161">
                  <c:v>42.13</c:v>
                </c:pt>
                <c:pt idx="1162">
                  <c:v>38.83</c:v>
                </c:pt>
                <c:pt idx="1163">
                  <c:v>28.215</c:v>
                </c:pt>
                <c:pt idx="1164">
                  <c:v>28.31</c:v>
                </c:pt>
                <c:pt idx="1165">
                  <c:v>26.125</c:v>
                </c:pt>
                <c:pt idx="1166">
                  <c:v>40.369999999999997</c:v>
                </c:pt>
                <c:pt idx="1167">
                  <c:v>24.6</c:v>
                </c:pt>
                <c:pt idx="1168">
                  <c:v>35.200000000000003</c:v>
                </c:pt>
                <c:pt idx="1169">
                  <c:v>34.104999999999997</c:v>
                </c:pt>
                <c:pt idx="1170">
                  <c:v>27.36</c:v>
                </c:pt>
                <c:pt idx="1171">
                  <c:v>26.7</c:v>
                </c:pt>
                <c:pt idx="1172">
                  <c:v>41.91</c:v>
                </c:pt>
                <c:pt idx="1173">
                  <c:v>29.26</c:v>
                </c:pt>
                <c:pt idx="1174">
                  <c:v>32.11</c:v>
                </c:pt>
                <c:pt idx="1175">
                  <c:v>27.1</c:v>
                </c:pt>
                <c:pt idx="1176">
                  <c:v>24.13</c:v>
                </c:pt>
                <c:pt idx="1177">
                  <c:v>27.4</c:v>
                </c:pt>
                <c:pt idx="1178">
                  <c:v>34.865000000000002</c:v>
                </c:pt>
                <c:pt idx="1179">
                  <c:v>29.81</c:v>
                </c:pt>
                <c:pt idx="1180">
                  <c:v>41.325000000000003</c:v>
                </c:pt>
                <c:pt idx="1181">
                  <c:v>29.925000000000001</c:v>
                </c:pt>
                <c:pt idx="1182">
                  <c:v>30.3</c:v>
                </c:pt>
                <c:pt idx="1183">
                  <c:v>27.36</c:v>
                </c:pt>
                <c:pt idx="1184">
                  <c:v>28.49</c:v>
                </c:pt>
                <c:pt idx="1185">
                  <c:v>23.56</c:v>
                </c:pt>
                <c:pt idx="1186">
                  <c:v>35.625</c:v>
                </c:pt>
                <c:pt idx="1187">
                  <c:v>32.68</c:v>
                </c:pt>
                <c:pt idx="1188">
                  <c:v>25.27</c:v>
                </c:pt>
                <c:pt idx="1189">
                  <c:v>28</c:v>
                </c:pt>
                <c:pt idx="1190">
                  <c:v>32.774999999999999</c:v>
                </c:pt>
                <c:pt idx="1191">
                  <c:v>21.754999999999999</c:v>
                </c:pt>
                <c:pt idx="1192">
                  <c:v>32.395000000000003</c:v>
                </c:pt>
                <c:pt idx="1193">
                  <c:v>36.575000000000003</c:v>
                </c:pt>
                <c:pt idx="1194">
                  <c:v>21.754999999999999</c:v>
                </c:pt>
                <c:pt idx="1195">
                  <c:v>27.93</c:v>
                </c:pt>
                <c:pt idx="1196">
                  <c:v>30.02</c:v>
                </c:pt>
                <c:pt idx="1197">
                  <c:v>33.549999999999997</c:v>
                </c:pt>
                <c:pt idx="1198">
                  <c:v>29.355</c:v>
                </c:pt>
                <c:pt idx="1199">
                  <c:v>25.8</c:v>
                </c:pt>
                <c:pt idx="1200">
                  <c:v>24.32</c:v>
                </c:pt>
                <c:pt idx="1201">
                  <c:v>40.375</c:v>
                </c:pt>
                <c:pt idx="1202">
                  <c:v>32.11</c:v>
                </c:pt>
                <c:pt idx="1203">
                  <c:v>32.299999999999997</c:v>
                </c:pt>
                <c:pt idx="1204">
                  <c:v>27.28</c:v>
                </c:pt>
                <c:pt idx="1205">
                  <c:v>17.86</c:v>
                </c:pt>
                <c:pt idx="1206">
                  <c:v>34.799999999999997</c:v>
                </c:pt>
                <c:pt idx="1207">
                  <c:v>33.4</c:v>
                </c:pt>
                <c:pt idx="1208">
                  <c:v>25.555</c:v>
                </c:pt>
                <c:pt idx="1209">
                  <c:v>37.1</c:v>
                </c:pt>
                <c:pt idx="1210">
                  <c:v>30.875</c:v>
                </c:pt>
                <c:pt idx="1211">
                  <c:v>34.1</c:v>
                </c:pt>
                <c:pt idx="1212">
                  <c:v>21.47</c:v>
                </c:pt>
                <c:pt idx="1213">
                  <c:v>33.299999999999997</c:v>
                </c:pt>
                <c:pt idx="1214">
                  <c:v>31.254999999999999</c:v>
                </c:pt>
                <c:pt idx="1215">
                  <c:v>39.14</c:v>
                </c:pt>
                <c:pt idx="1216">
                  <c:v>25.08</c:v>
                </c:pt>
                <c:pt idx="1217">
                  <c:v>37.29</c:v>
                </c:pt>
                <c:pt idx="1218">
                  <c:v>34.6</c:v>
                </c:pt>
                <c:pt idx="1219">
                  <c:v>30.21</c:v>
                </c:pt>
                <c:pt idx="1220">
                  <c:v>21.945</c:v>
                </c:pt>
                <c:pt idx="1221">
                  <c:v>24.97</c:v>
                </c:pt>
                <c:pt idx="1222">
                  <c:v>25.3</c:v>
                </c:pt>
                <c:pt idx="1223">
                  <c:v>24.42</c:v>
                </c:pt>
                <c:pt idx="1224">
                  <c:v>23.94</c:v>
                </c:pt>
                <c:pt idx="1225">
                  <c:v>39.82</c:v>
                </c:pt>
                <c:pt idx="1226">
                  <c:v>16.815000000000001</c:v>
                </c:pt>
                <c:pt idx="1227">
                  <c:v>37.18</c:v>
                </c:pt>
                <c:pt idx="1228">
                  <c:v>34.43</c:v>
                </c:pt>
                <c:pt idx="1229">
                  <c:v>30.305</c:v>
                </c:pt>
                <c:pt idx="1230">
                  <c:v>34.484999999999999</c:v>
                </c:pt>
                <c:pt idx="1231">
                  <c:v>21.8</c:v>
                </c:pt>
                <c:pt idx="1232">
                  <c:v>24.605</c:v>
                </c:pt>
                <c:pt idx="1233">
                  <c:v>23.3</c:v>
                </c:pt>
                <c:pt idx="1234">
                  <c:v>27.83</c:v>
                </c:pt>
                <c:pt idx="1235">
                  <c:v>31.065000000000001</c:v>
                </c:pt>
                <c:pt idx="1236">
                  <c:v>21.66</c:v>
                </c:pt>
                <c:pt idx="1237">
                  <c:v>28.215</c:v>
                </c:pt>
                <c:pt idx="1238">
                  <c:v>22.704999999999998</c:v>
                </c:pt>
                <c:pt idx="1239">
                  <c:v>42.13</c:v>
                </c:pt>
                <c:pt idx="1240">
                  <c:v>41.8</c:v>
                </c:pt>
                <c:pt idx="1241">
                  <c:v>36.96</c:v>
                </c:pt>
                <c:pt idx="1242">
                  <c:v>21.28</c:v>
                </c:pt>
                <c:pt idx="1243">
                  <c:v>33.11</c:v>
                </c:pt>
                <c:pt idx="1244">
                  <c:v>33.33</c:v>
                </c:pt>
                <c:pt idx="1245">
                  <c:v>24.3</c:v>
                </c:pt>
                <c:pt idx="1246">
                  <c:v>25.7</c:v>
                </c:pt>
                <c:pt idx="1247">
                  <c:v>29.4</c:v>
                </c:pt>
                <c:pt idx="1248">
                  <c:v>39.82</c:v>
                </c:pt>
                <c:pt idx="1249">
                  <c:v>33.630000000000003</c:v>
                </c:pt>
                <c:pt idx="1250">
                  <c:v>29.83</c:v>
                </c:pt>
                <c:pt idx="1251">
                  <c:v>19.8</c:v>
                </c:pt>
                <c:pt idx="1252">
                  <c:v>27.3</c:v>
                </c:pt>
                <c:pt idx="1253">
                  <c:v>29.3</c:v>
                </c:pt>
                <c:pt idx="1254">
                  <c:v>27.72</c:v>
                </c:pt>
                <c:pt idx="1255">
                  <c:v>37.9</c:v>
                </c:pt>
                <c:pt idx="1256">
                  <c:v>36.384999999999998</c:v>
                </c:pt>
                <c:pt idx="1257">
                  <c:v>27.645</c:v>
                </c:pt>
                <c:pt idx="1258">
                  <c:v>37.715000000000003</c:v>
                </c:pt>
                <c:pt idx="1259">
                  <c:v>23.18</c:v>
                </c:pt>
                <c:pt idx="1260">
                  <c:v>20.52</c:v>
                </c:pt>
                <c:pt idx="1261">
                  <c:v>37.1</c:v>
                </c:pt>
                <c:pt idx="1262">
                  <c:v>28.05</c:v>
                </c:pt>
                <c:pt idx="1263">
                  <c:v>29.9</c:v>
                </c:pt>
                <c:pt idx="1264">
                  <c:v>33.344999999999999</c:v>
                </c:pt>
                <c:pt idx="1265">
                  <c:v>23.76</c:v>
                </c:pt>
                <c:pt idx="1266">
                  <c:v>30.5</c:v>
                </c:pt>
                <c:pt idx="1267">
                  <c:v>31.065000000000001</c:v>
                </c:pt>
                <c:pt idx="1268">
                  <c:v>33.299999999999997</c:v>
                </c:pt>
                <c:pt idx="1269">
                  <c:v>27.5</c:v>
                </c:pt>
                <c:pt idx="1270">
                  <c:v>33.914999999999999</c:v>
                </c:pt>
                <c:pt idx="1271">
                  <c:v>34.484999999999999</c:v>
                </c:pt>
                <c:pt idx="1272">
                  <c:v>25.52</c:v>
                </c:pt>
                <c:pt idx="1273">
                  <c:v>27.61</c:v>
                </c:pt>
                <c:pt idx="1274">
                  <c:v>27.06</c:v>
                </c:pt>
                <c:pt idx="1275">
                  <c:v>23.7</c:v>
                </c:pt>
                <c:pt idx="1276">
                  <c:v>30.4</c:v>
                </c:pt>
                <c:pt idx="1277">
                  <c:v>29.734999999999999</c:v>
                </c:pt>
                <c:pt idx="1278">
                  <c:v>29.925000000000001</c:v>
                </c:pt>
                <c:pt idx="1279">
                  <c:v>26.79</c:v>
                </c:pt>
                <c:pt idx="1280">
                  <c:v>33.33</c:v>
                </c:pt>
                <c:pt idx="1281">
                  <c:v>27.645</c:v>
                </c:pt>
                <c:pt idx="1282">
                  <c:v>21.66</c:v>
                </c:pt>
                <c:pt idx="1283">
                  <c:v>30.03</c:v>
                </c:pt>
                <c:pt idx="1284">
                  <c:v>36.299999999999997</c:v>
                </c:pt>
                <c:pt idx="1285">
                  <c:v>24.32</c:v>
                </c:pt>
                <c:pt idx="1286">
                  <c:v>17.29</c:v>
                </c:pt>
                <c:pt idx="1287">
                  <c:v>25.9</c:v>
                </c:pt>
                <c:pt idx="1288">
                  <c:v>39.4</c:v>
                </c:pt>
                <c:pt idx="1289">
                  <c:v>34.32</c:v>
                </c:pt>
                <c:pt idx="1290">
                  <c:v>19.95</c:v>
                </c:pt>
                <c:pt idx="1291">
                  <c:v>34.9</c:v>
                </c:pt>
                <c:pt idx="1292">
                  <c:v>23.21</c:v>
                </c:pt>
                <c:pt idx="1293">
                  <c:v>25.745000000000001</c:v>
                </c:pt>
                <c:pt idx="1294">
                  <c:v>25.175000000000001</c:v>
                </c:pt>
                <c:pt idx="1295">
                  <c:v>22</c:v>
                </c:pt>
                <c:pt idx="1296">
                  <c:v>26.125</c:v>
                </c:pt>
                <c:pt idx="1297">
                  <c:v>26.51</c:v>
                </c:pt>
                <c:pt idx="1298">
                  <c:v>27.454999999999998</c:v>
                </c:pt>
                <c:pt idx="1299">
                  <c:v>25.745000000000001</c:v>
                </c:pt>
                <c:pt idx="1300">
                  <c:v>30.36</c:v>
                </c:pt>
                <c:pt idx="1301">
                  <c:v>30.875</c:v>
                </c:pt>
                <c:pt idx="1302">
                  <c:v>20.8</c:v>
                </c:pt>
                <c:pt idx="1303">
                  <c:v>27.8</c:v>
                </c:pt>
                <c:pt idx="1304">
                  <c:v>24.605</c:v>
                </c:pt>
                <c:pt idx="1305">
                  <c:v>27.72</c:v>
                </c:pt>
                <c:pt idx="1306">
                  <c:v>21.85</c:v>
                </c:pt>
                <c:pt idx="1307">
                  <c:v>28.12</c:v>
                </c:pt>
                <c:pt idx="1308">
                  <c:v>30.2</c:v>
                </c:pt>
                <c:pt idx="1309">
                  <c:v>32.200000000000003</c:v>
                </c:pt>
                <c:pt idx="1310">
                  <c:v>26.315000000000001</c:v>
                </c:pt>
                <c:pt idx="1311">
                  <c:v>26.695</c:v>
                </c:pt>
                <c:pt idx="1312">
                  <c:v>42.9</c:v>
                </c:pt>
                <c:pt idx="1313">
                  <c:v>34.700000000000003</c:v>
                </c:pt>
                <c:pt idx="1314">
                  <c:v>23.655000000000001</c:v>
                </c:pt>
                <c:pt idx="1315">
                  <c:v>28.31</c:v>
                </c:pt>
                <c:pt idx="1316">
                  <c:v>20.6</c:v>
                </c:pt>
                <c:pt idx="1317">
                  <c:v>53.13</c:v>
                </c:pt>
                <c:pt idx="1318">
                  <c:v>39.71</c:v>
                </c:pt>
                <c:pt idx="1319">
                  <c:v>26.315000000000001</c:v>
                </c:pt>
                <c:pt idx="1320">
                  <c:v>31.065000000000001</c:v>
                </c:pt>
                <c:pt idx="1321">
                  <c:v>26.695</c:v>
                </c:pt>
                <c:pt idx="1322">
                  <c:v>38.83</c:v>
                </c:pt>
                <c:pt idx="1323">
                  <c:v>40.369999999999997</c:v>
                </c:pt>
                <c:pt idx="1324">
                  <c:v>25.934999999999999</c:v>
                </c:pt>
                <c:pt idx="1325">
                  <c:v>33.534999999999997</c:v>
                </c:pt>
                <c:pt idx="1326">
                  <c:v>32.869999999999997</c:v>
                </c:pt>
                <c:pt idx="1327">
                  <c:v>30.03</c:v>
                </c:pt>
                <c:pt idx="1328">
                  <c:v>24.225000000000001</c:v>
                </c:pt>
                <c:pt idx="1329">
                  <c:v>38.6</c:v>
                </c:pt>
                <c:pt idx="1330">
                  <c:v>25.74</c:v>
                </c:pt>
                <c:pt idx="1331">
                  <c:v>33.4</c:v>
                </c:pt>
                <c:pt idx="1332">
                  <c:v>44.7</c:v>
                </c:pt>
                <c:pt idx="1333">
                  <c:v>30.97</c:v>
                </c:pt>
                <c:pt idx="1334">
                  <c:v>31.92</c:v>
                </c:pt>
                <c:pt idx="1335">
                  <c:v>36.85</c:v>
                </c:pt>
                <c:pt idx="1336">
                  <c:v>25.8</c:v>
                </c:pt>
                <c:pt idx="1337">
                  <c:v>29.07</c:v>
                </c:pt>
              </c:numCache>
            </c:numRef>
          </c:xVal>
          <c:yVal>
            <c:numRef>
              <c:f>'insurance (Clean)'!$K$2:$K$1339</c:f>
              <c:numCache>
                <c:formatCode>[$$-409]#,##0.00</c:formatCode>
                <c:ptCount val="1338"/>
                <c:pt idx="0">
                  <c:v>16884.923999999999</c:v>
                </c:pt>
                <c:pt idx="1">
                  <c:v>1725.5523000000001</c:v>
                </c:pt>
                <c:pt idx="2">
                  <c:v>4449.4620000000004</c:v>
                </c:pt>
                <c:pt idx="3">
                  <c:v>21984.470600000001</c:v>
                </c:pt>
                <c:pt idx="4">
                  <c:v>3866.8552</c:v>
                </c:pt>
                <c:pt idx="5">
                  <c:v>3756.6215999999999</c:v>
                </c:pt>
                <c:pt idx="6">
                  <c:v>8240.5895999999993</c:v>
                </c:pt>
                <c:pt idx="7">
                  <c:v>7281.5056000000004</c:v>
                </c:pt>
                <c:pt idx="8">
                  <c:v>6406.4107000000004</c:v>
                </c:pt>
                <c:pt idx="9">
                  <c:v>28923.136900000001</c:v>
                </c:pt>
                <c:pt idx="10">
                  <c:v>2721.3208</c:v>
                </c:pt>
                <c:pt idx="11">
                  <c:v>27808.7251</c:v>
                </c:pt>
                <c:pt idx="12">
                  <c:v>1826.8430000000001</c:v>
                </c:pt>
                <c:pt idx="13">
                  <c:v>11090.7178</c:v>
                </c:pt>
                <c:pt idx="14">
                  <c:v>39611.757700000002</c:v>
                </c:pt>
                <c:pt idx="15">
                  <c:v>1837.2370000000001</c:v>
                </c:pt>
                <c:pt idx="16">
                  <c:v>10797.3362</c:v>
                </c:pt>
                <c:pt idx="17">
                  <c:v>2395.1716000000001</c:v>
                </c:pt>
                <c:pt idx="18">
                  <c:v>10602.385</c:v>
                </c:pt>
                <c:pt idx="19">
                  <c:v>36837.466999999997</c:v>
                </c:pt>
                <c:pt idx="20">
                  <c:v>13228.847</c:v>
                </c:pt>
                <c:pt idx="21">
                  <c:v>4149.7359999999999</c:v>
                </c:pt>
                <c:pt idx="22">
                  <c:v>1137.011</c:v>
                </c:pt>
                <c:pt idx="23">
                  <c:v>37701.876799999998</c:v>
                </c:pt>
                <c:pt idx="24">
                  <c:v>6203.9017999999996</c:v>
                </c:pt>
                <c:pt idx="25">
                  <c:v>14001.1338</c:v>
                </c:pt>
                <c:pt idx="26">
                  <c:v>14451.8352</c:v>
                </c:pt>
                <c:pt idx="27">
                  <c:v>12268.6322</c:v>
                </c:pt>
                <c:pt idx="28">
                  <c:v>2775.1922</c:v>
                </c:pt>
                <c:pt idx="29">
                  <c:v>38711</c:v>
                </c:pt>
                <c:pt idx="30">
                  <c:v>35585.576000000001</c:v>
                </c:pt>
                <c:pt idx="31">
                  <c:v>2198.1898000000001</c:v>
                </c:pt>
                <c:pt idx="32">
                  <c:v>4687.7969999999996</c:v>
                </c:pt>
                <c:pt idx="33">
                  <c:v>13770.097900000001</c:v>
                </c:pt>
                <c:pt idx="34">
                  <c:v>51194.559099999999</c:v>
                </c:pt>
                <c:pt idx="35">
                  <c:v>1625.4338</c:v>
                </c:pt>
                <c:pt idx="36">
                  <c:v>15612.1934</c:v>
                </c:pt>
                <c:pt idx="37">
                  <c:v>2302.3000000000002</c:v>
                </c:pt>
                <c:pt idx="38">
                  <c:v>39774.276299999998</c:v>
                </c:pt>
                <c:pt idx="39">
                  <c:v>48173.360999999997</c:v>
                </c:pt>
                <c:pt idx="40">
                  <c:v>3046.0619999999999</c:v>
                </c:pt>
                <c:pt idx="41">
                  <c:v>4949.7587000000003</c:v>
                </c:pt>
                <c:pt idx="42">
                  <c:v>6272.4772000000003</c:v>
                </c:pt>
                <c:pt idx="43">
                  <c:v>6313.759</c:v>
                </c:pt>
                <c:pt idx="44">
                  <c:v>6079.6715000000004</c:v>
                </c:pt>
                <c:pt idx="45">
                  <c:v>20630.283500000001</c:v>
                </c:pt>
                <c:pt idx="46">
                  <c:v>3393.3564000000001</c:v>
                </c:pt>
                <c:pt idx="47">
                  <c:v>3556.9223000000002</c:v>
                </c:pt>
                <c:pt idx="48">
                  <c:v>12629.896699999999</c:v>
                </c:pt>
                <c:pt idx="49">
                  <c:v>38709.175999999999</c:v>
                </c:pt>
                <c:pt idx="50">
                  <c:v>2211.1307999999999</c:v>
                </c:pt>
                <c:pt idx="51">
                  <c:v>3579.8287</c:v>
                </c:pt>
                <c:pt idx="52">
                  <c:v>23568.272000000001</c:v>
                </c:pt>
                <c:pt idx="53">
                  <c:v>37742.575700000001</c:v>
                </c:pt>
                <c:pt idx="54">
                  <c:v>8059.6791000000003</c:v>
                </c:pt>
                <c:pt idx="55">
                  <c:v>47496.494400000003</c:v>
                </c:pt>
                <c:pt idx="56">
                  <c:v>13607.3688</c:v>
                </c:pt>
                <c:pt idx="57">
                  <c:v>34303.167200000004</c:v>
                </c:pt>
                <c:pt idx="58">
                  <c:v>23244.790199999999</c:v>
                </c:pt>
                <c:pt idx="59">
                  <c:v>5989.5236000000004</c:v>
                </c:pt>
                <c:pt idx="60">
                  <c:v>8606.2173999999995</c:v>
                </c:pt>
                <c:pt idx="61">
                  <c:v>4504.6624000000002</c:v>
                </c:pt>
                <c:pt idx="62">
                  <c:v>30166.618200000001</c:v>
                </c:pt>
                <c:pt idx="63">
                  <c:v>4133.6415999999999</c:v>
                </c:pt>
                <c:pt idx="64">
                  <c:v>14711.7438</c:v>
                </c:pt>
                <c:pt idx="65">
                  <c:v>1743.2139999999999</c:v>
                </c:pt>
                <c:pt idx="66">
                  <c:v>14235.072</c:v>
                </c:pt>
                <c:pt idx="67">
                  <c:v>6389.3778000000002</c:v>
                </c:pt>
                <c:pt idx="68">
                  <c:v>5920.1040999999996</c:v>
                </c:pt>
                <c:pt idx="69">
                  <c:v>17663.144199999999</c:v>
                </c:pt>
                <c:pt idx="70">
                  <c:v>16577.779500000001</c:v>
                </c:pt>
                <c:pt idx="71">
                  <c:v>6799.4579999999996</c:v>
                </c:pt>
                <c:pt idx="72">
                  <c:v>11741.726000000001</c:v>
                </c:pt>
                <c:pt idx="73">
                  <c:v>11946.625899999999</c:v>
                </c:pt>
                <c:pt idx="74">
                  <c:v>7726.8540000000003</c:v>
                </c:pt>
                <c:pt idx="75">
                  <c:v>11356.660900000001</c:v>
                </c:pt>
                <c:pt idx="76">
                  <c:v>3947.4131000000002</c:v>
                </c:pt>
                <c:pt idx="77">
                  <c:v>1532.4697000000001</c:v>
                </c:pt>
                <c:pt idx="78">
                  <c:v>2755.0210000000002</c:v>
                </c:pt>
                <c:pt idx="79">
                  <c:v>6571.0244000000002</c:v>
                </c:pt>
                <c:pt idx="80">
                  <c:v>4441.2132000000001</c:v>
                </c:pt>
                <c:pt idx="81">
                  <c:v>7935.2911999999997</c:v>
                </c:pt>
                <c:pt idx="82">
                  <c:v>37165.163800000002</c:v>
                </c:pt>
                <c:pt idx="83">
                  <c:v>11033.661700000001</c:v>
                </c:pt>
                <c:pt idx="84">
                  <c:v>39836.519</c:v>
                </c:pt>
                <c:pt idx="85">
                  <c:v>21098.554</c:v>
                </c:pt>
                <c:pt idx="86">
                  <c:v>43578.939400000003</c:v>
                </c:pt>
                <c:pt idx="87">
                  <c:v>11073.175999999999</c:v>
                </c:pt>
                <c:pt idx="88">
                  <c:v>8026.6665999999996</c:v>
                </c:pt>
                <c:pt idx="89">
                  <c:v>11082.5772</c:v>
                </c:pt>
                <c:pt idx="90">
                  <c:v>2026.9740999999999</c:v>
                </c:pt>
                <c:pt idx="91">
                  <c:v>10942.132</c:v>
                </c:pt>
                <c:pt idx="92">
                  <c:v>30184.936699999998</c:v>
                </c:pt>
                <c:pt idx="93">
                  <c:v>5729.0052999999998</c:v>
                </c:pt>
                <c:pt idx="94">
                  <c:v>47291.055</c:v>
                </c:pt>
                <c:pt idx="95">
                  <c:v>3766.8838000000001</c:v>
                </c:pt>
                <c:pt idx="96">
                  <c:v>12105.32</c:v>
                </c:pt>
                <c:pt idx="97">
                  <c:v>10226.2842</c:v>
                </c:pt>
                <c:pt idx="98">
                  <c:v>22412.648499999999</c:v>
                </c:pt>
                <c:pt idx="99">
                  <c:v>15820.699000000001</c:v>
                </c:pt>
                <c:pt idx="100">
                  <c:v>6186.1270000000004</c:v>
                </c:pt>
                <c:pt idx="101">
                  <c:v>3645.0893999999998</c:v>
                </c:pt>
                <c:pt idx="102">
                  <c:v>21344.846699999998</c:v>
                </c:pt>
                <c:pt idx="103">
                  <c:v>30942.191800000001</c:v>
                </c:pt>
                <c:pt idx="104">
                  <c:v>5003.8530000000001</c:v>
                </c:pt>
                <c:pt idx="105">
                  <c:v>17560.379799999999</c:v>
                </c:pt>
                <c:pt idx="106">
                  <c:v>2331.5189999999998</c:v>
                </c:pt>
                <c:pt idx="107">
                  <c:v>3877.3042</c:v>
                </c:pt>
                <c:pt idx="108">
                  <c:v>2867.1196</c:v>
                </c:pt>
                <c:pt idx="109">
                  <c:v>47055.532099999997</c:v>
                </c:pt>
                <c:pt idx="110">
                  <c:v>10825.253699999999</c:v>
                </c:pt>
                <c:pt idx="111">
                  <c:v>11881.358</c:v>
                </c:pt>
                <c:pt idx="112">
                  <c:v>4646.759</c:v>
                </c:pt>
                <c:pt idx="113">
                  <c:v>2404.7338</c:v>
                </c:pt>
                <c:pt idx="114">
                  <c:v>11488.316999999999</c:v>
                </c:pt>
                <c:pt idx="115">
                  <c:v>30259.995599999998</c:v>
                </c:pt>
                <c:pt idx="116">
                  <c:v>11381.3254</c:v>
                </c:pt>
                <c:pt idx="117">
                  <c:v>19107.779600000002</c:v>
                </c:pt>
                <c:pt idx="118">
                  <c:v>8601.3292999999994</c:v>
                </c:pt>
                <c:pt idx="119">
                  <c:v>6686.4313000000002</c:v>
                </c:pt>
                <c:pt idx="120">
                  <c:v>7740.3370000000004</c:v>
                </c:pt>
                <c:pt idx="121">
                  <c:v>1705.6244999999999</c:v>
                </c:pt>
                <c:pt idx="122">
                  <c:v>2257.4751999999999</c:v>
                </c:pt>
                <c:pt idx="123">
                  <c:v>39556.494500000001</c:v>
                </c:pt>
                <c:pt idx="124">
                  <c:v>10115.0088</c:v>
                </c:pt>
                <c:pt idx="125">
                  <c:v>3385.3991999999998</c:v>
                </c:pt>
                <c:pt idx="126">
                  <c:v>17081.080000000002</c:v>
                </c:pt>
                <c:pt idx="127">
                  <c:v>9634.5380000000005</c:v>
                </c:pt>
                <c:pt idx="128">
                  <c:v>32734.186300000001</c:v>
                </c:pt>
                <c:pt idx="129">
                  <c:v>6082.4049999999997</c:v>
                </c:pt>
                <c:pt idx="130">
                  <c:v>12815.445</c:v>
                </c:pt>
                <c:pt idx="131">
                  <c:v>13616.3586</c:v>
                </c:pt>
                <c:pt idx="132">
                  <c:v>11163.567999999999</c:v>
                </c:pt>
                <c:pt idx="133">
                  <c:v>1632.5644</c:v>
                </c:pt>
                <c:pt idx="134">
                  <c:v>2457.2112000000002</c:v>
                </c:pt>
                <c:pt idx="135">
                  <c:v>2155.6815000000001</c:v>
                </c:pt>
                <c:pt idx="136">
                  <c:v>1261.442</c:v>
                </c:pt>
                <c:pt idx="137">
                  <c:v>2045.6851999999999</c:v>
                </c:pt>
                <c:pt idx="138">
                  <c:v>27322.733899999999</c:v>
                </c:pt>
                <c:pt idx="139">
                  <c:v>2166.732</c:v>
                </c:pt>
                <c:pt idx="140">
                  <c:v>27375.9048</c:v>
                </c:pt>
                <c:pt idx="141">
                  <c:v>3490.5491000000002</c:v>
                </c:pt>
                <c:pt idx="142">
                  <c:v>18972.494999999999</c:v>
                </c:pt>
                <c:pt idx="143">
                  <c:v>18157.876</c:v>
                </c:pt>
                <c:pt idx="144">
                  <c:v>20745.989099999999</c:v>
                </c:pt>
                <c:pt idx="145">
                  <c:v>5138.2566999999999</c:v>
                </c:pt>
                <c:pt idx="146">
                  <c:v>40720.550999999999</c:v>
                </c:pt>
                <c:pt idx="147">
                  <c:v>9877.6077000000005</c:v>
                </c:pt>
                <c:pt idx="148">
                  <c:v>10959.6947</c:v>
                </c:pt>
                <c:pt idx="149">
                  <c:v>1842.519</c:v>
                </c:pt>
                <c:pt idx="150">
                  <c:v>5125.2156999999997</c:v>
                </c:pt>
                <c:pt idx="151">
                  <c:v>7789.6350000000002</c:v>
                </c:pt>
                <c:pt idx="152">
                  <c:v>6334.3436000000002</c:v>
                </c:pt>
                <c:pt idx="153">
                  <c:v>19964.746299999999</c:v>
                </c:pt>
                <c:pt idx="154">
                  <c:v>7077.1894000000002</c:v>
                </c:pt>
                <c:pt idx="155">
                  <c:v>6948.7007999999996</c:v>
                </c:pt>
                <c:pt idx="156">
                  <c:v>21223.675800000001</c:v>
                </c:pt>
                <c:pt idx="157">
                  <c:v>15518.180200000001</c:v>
                </c:pt>
                <c:pt idx="158">
                  <c:v>36950.256699999998</c:v>
                </c:pt>
                <c:pt idx="159">
                  <c:v>19749.383399999999</c:v>
                </c:pt>
                <c:pt idx="160">
                  <c:v>21348.705999999998</c:v>
                </c:pt>
                <c:pt idx="161">
                  <c:v>36149.483500000002</c:v>
                </c:pt>
                <c:pt idx="162">
                  <c:v>10450.552</c:v>
                </c:pt>
                <c:pt idx="163">
                  <c:v>5152.134</c:v>
                </c:pt>
                <c:pt idx="164">
                  <c:v>5028.1466</c:v>
                </c:pt>
                <c:pt idx="165">
                  <c:v>10407.085800000001</c:v>
                </c:pt>
                <c:pt idx="166">
                  <c:v>4830.63</c:v>
                </c:pt>
                <c:pt idx="167">
                  <c:v>6128.7974000000004</c:v>
                </c:pt>
                <c:pt idx="168">
                  <c:v>2719.2797999999998</c:v>
                </c:pt>
                <c:pt idx="169">
                  <c:v>4827.9049999999997</c:v>
                </c:pt>
                <c:pt idx="170">
                  <c:v>13405.390299999999</c:v>
                </c:pt>
                <c:pt idx="171">
                  <c:v>8116.68</c:v>
                </c:pt>
                <c:pt idx="172">
                  <c:v>1694.7963999999999</c:v>
                </c:pt>
                <c:pt idx="173">
                  <c:v>5246.0469999999996</c:v>
                </c:pt>
                <c:pt idx="174">
                  <c:v>2855.4376000000002</c:v>
                </c:pt>
                <c:pt idx="175">
                  <c:v>48824.45</c:v>
                </c:pt>
                <c:pt idx="176">
                  <c:v>6455.8626000000004</c:v>
                </c:pt>
                <c:pt idx="177">
                  <c:v>10436.096</c:v>
                </c:pt>
                <c:pt idx="178">
                  <c:v>8823.2790000000005</c:v>
                </c:pt>
                <c:pt idx="179">
                  <c:v>8538.2883999999995</c:v>
                </c:pt>
                <c:pt idx="180">
                  <c:v>11735.879000000001</c:v>
                </c:pt>
                <c:pt idx="181">
                  <c:v>1631.8212000000001</c:v>
                </c:pt>
                <c:pt idx="182">
                  <c:v>4005.4225000000001</c:v>
                </c:pt>
                <c:pt idx="183">
                  <c:v>7419.4778999999999</c:v>
                </c:pt>
                <c:pt idx="184">
                  <c:v>7731.4270999999999</c:v>
                </c:pt>
                <c:pt idx="185">
                  <c:v>43753.337</c:v>
                </c:pt>
                <c:pt idx="186">
                  <c:v>3981.9767999999999</c:v>
                </c:pt>
                <c:pt idx="187">
                  <c:v>5325.6509999999998</c:v>
                </c:pt>
                <c:pt idx="188">
                  <c:v>6775.9610000000002</c:v>
                </c:pt>
                <c:pt idx="189">
                  <c:v>4922.9159</c:v>
                </c:pt>
                <c:pt idx="190">
                  <c:v>12557.605299999999</c:v>
                </c:pt>
                <c:pt idx="191">
                  <c:v>4883.866</c:v>
                </c:pt>
                <c:pt idx="192">
                  <c:v>2137.6536000000001</c:v>
                </c:pt>
                <c:pt idx="193">
                  <c:v>12044.342000000001</c:v>
                </c:pt>
                <c:pt idx="194">
                  <c:v>1137.4697000000001</c:v>
                </c:pt>
                <c:pt idx="195">
                  <c:v>1639.5631000000001</c:v>
                </c:pt>
                <c:pt idx="196">
                  <c:v>5649.7150000000001</c:v>
                </c:pt>
                <c:pt idx="197">
                  <c:v>8516.8289999999997</c:v>
                </c:pt>
                <c:pt idx="198">
                  <c:v>9644.2525000000005</c:v>
                </c:pt>
                <c:pt idx="199">
                  <c:v>14901.5167</c:v>
                </c:pt>
                <c:pt idx="200">
                  <c:v>2130.6759000000002</c:v>
                </c:pt>
                <c:pt idx="201">
                  <c:v>8871.1517000000003</c:v>
                </c:pt>
                <c:pt idx="202">
                  <c:v>13012.2086</c:v>
                </c:pt>
                <c:pt idx="203">
                  <c:v>37133.898200000003</c:v>
                </c:pt>
                <c:pt idx="204">
                  <c:v>7147.1049999999996</c:v>
                </c:pt>
                <c:pt idx="205">
                  <c:v>4337.7352000000001</c:v>
                </c:pt>
                <c:pt idx="206">
                  <c:v>11743.299000000001</c:v>
                </c:pt>
                <c:pt idx="207">
                  <c:v>20984.0936</c:v>
                </c:pt>
                <c:pt idx="208">
                  <c:v>13880.949000000001</c:v>
                </c:pt>
                <c:pt idx="209">
                  <c:v>6610.1097</c:v>
                </c:pt>
                <c:pt idx="210">
                  <c:v>1980.07</c:v>
                </c:pt>
                <c:pt idx="211">
                  <c:v>8162.7161999999998</c:v>
                </c:pt>
                <c:pt idx="212">
                  <c:v>3537.703</c:v>
                </c:pt>
                <c:pt idx="213">
                  <c:v>5002.7826999999997</c:v>
                </c:pt>
                <c:pt idx="214">
                  <c:v>8520.0259999999998</c:v>
                </c:pt>
                <c:pt idx="215">
                  <c:v>7371.7719999999999</c:v>
                </c:pt>
                <c:pt idx="216">
                  <c:v>10355.641</c:v>
                </c:pt>
                <c:pt idx="217">
                  <c:v>2483.7359999999999</c:v>
                </c:pt>
                <c:pt idx="218">
                  <c:v>3392.9767999999999</c:v>
                </c:pt>
                <c:pt idx="219">
                  <c:v>25081.767800000001</c:v>
                </c:pt>
                <c:pt idx="220">
                  <c:v>5012.4709999999995</c:v>
                </c:pt>
                <c:pt idx="221">
                  <c:v>10564.8845</c:v>
                </c:pt>
                <c:pt idx="222">
                  <c:v>5253.5240000000003</c:v>
                </c:pt>
                <c:pt idx="223">
                  <c:v>34779.614999999998</c:v>
                </c:pt>
                <c:pt idx="224">
                  <c:v>19515.5416</c:v>
                </c:pt>
                <c:pt idx="225">
                  <c:v>11987.1682</c:v>
                </c:pt>
                <c:pt idx="226">
                  <c:v>2689.4953999999998</c:v>
                </c:pt>
                <c:pt idx="227">
                  <c:v>24227.337200000002</c:v>
                </c:pt>
                <c:pt idx="228">
                  <c:v>7358.1755999999996</c:v>
                </c:pt>
                <c:pt idx="229">
                  <c:v>9225.2564000000002</c:v>
                </c:pt>
                <c:pt idx="230">
                  <c:v>7443.643</c:v>
                </c:pt>
                <c:pt idx="231">
                  <c:v>14001.286700000001</c:v>
                </c:pt>
                <c:pt idx="232">
                  <c:v>1727.7850000000001</c:v>
                </c:pt>
                <c:pt idx="233">
                  <c:v>12333.828</c:v>
                </c:pt>
                <c:pt idx="234">
                  <c:v>6710.1918999999998</c:v>
                </c:pt>
                <c:pt idx="235">
                  <c:v>19444.265800000001</c:v>
                </c:pt>
                <c:pt idx="236">
                  <c:v>1615.7666999999999</c:v>
                </c:pt>
                <c:pt idx="237">
                  <c:v>4463.2051000000001</c:v>
                </c:pt>
                <c:pt idx="238">
                  <c:v>17352.6803</c:v>
                </c:pt>
                <c:pt idx="239">
                  <c:v>7152.6714000000002</c:v>
                </c:pt>
                <c:pt idx="240">
                  <c:v>38511.628299999997</c:v>
                </c:pt>
                <c:pt idx="241">
                  <c:v>5354.0745999999999</c:v>
                </c:pt>
                <c:pt idx="242">
                  <c:v>35160.134599999998</c:v>
                </c:pt>
                <c:pt idx="243">
                  <c:v>7196.8670000000002</c:v>
                </c:pt>
                <c:pt idx="244">
                  <c:v>29523.1656</c:v>
                </c:pt>
                <c:pt idx="245">
                  <c:v>24476.478500000001</c:v>
                </c:pt>
                <c:pt idx="246">
                  <c:v>12648.7034</c:v>
                </c:pt>
                <c:pt idx="247">
                  <c:v>1986.9333999999999</c:v>
                </c:pt>
                <c:pt idx="248">
                  <c:v>1832.0940000000001</c:v>
                </c:pt>
                <c:pt idx="249">
                  <c:v>4040.5581999999999</c:v>
                </c:pt>
                <c:pt idx="250">
                  <c:v>12829.455099999999</c:v>
                </c:pt>
                <c:pt idx="251">
                  <c:v>47305.305</c:v>
                </c:pt>
                <c:pt idx="252">
                  <c:v>44260.749900000003</c:v>
                </c:pt>
                <c:pt idx="253">
                  <c:v>4260.7439999999997</c:v>
                </c:pt>
                <c:pt idx="254">
                  <c:v>41097.161800000002</c:v>
                </c:pt>
                <c:pt idx="255">
                  <c:v>13047.332399999999</c:v>
                </c:pt>
                <c:pt idx="256">
                  <c:v>43921.183700000001</c:v>
                </c:pt>
                <c:pt idx="257">
                  <c:v>5400.9804999999997</c:v>
                </c:pt>
                <c:pt idx="258">
                  <c:v>11520.0998</c:v>
                </c:pt>
                <c:pt idx="259">
                  <c:v>33750.291799999999</c:v>
                </c:pt>
                <c:pt idx="260">
                  <c:v>11837.16</c:v>
                </c:pt>
                <c:pt idx="261">
                  <c:v>17085.267599999999</c:v>
                </c:pt>
                <c:pt idx="262">
                  <c:v>24869.836800000001</c:v>
                </c:pt>
                <c:pt idx="263">
                  <c:v>36219.405400000003</c:v>
                </c:pt>
                <c:pt idx="264">
                  <c:v>20462.9977</c:v>
                </c:pt>
                <c:pt idx="265">
                  <c:v>46151.124499999998</c:v>
                </c:pt>
                <c:pt idx="266">
                  <c:v>17179.522000000001</c:v>
                </c:pt>
                <c:pt idx="267">
                  <c:v>14590.632</c:v>
                </c:pt>
                <c:pt idx="268">
                  <c:v>7441.0529999999999</c:v>
                </c:pt>
                <c:pt idx="269">
                  <c:v>9282.4806000000008</c:v>
                </c:pt>
                <c:pt idx="270">
                  <c:v>1719.4363000000001</c:v>
                </c:pt>
                <c:pt idx="271">
                  <c:v>42856.838000000003</c:v>
                </c:pt>
                <c:pt idx="272">
                  <c:v>7265.7025000000003</c:v>
                </c:pt>
                <c:pt idx="273">
                  <c:v>9617.6623999999993</c:v>
                </c:pt>
                <c:pt idx="274">
                  <c:v>2523.1695</c:v>
                </c:pt>
                <c:pt idx="275">
                  <c:v>9715.8410000000003</c:v>
                </c:pt>
                <c:pt idx="276">
                  <c:v>2803.6977999999999</c:v>
                </c:pt>
                <c:pt idx="277">
                  <c:v>2150.4690000000001</c:v>
                </c:pt>
                <c:pt idx="278">
                  <c:v>12928.7911</c:v>
                </c:pt>
                <c:pt idx="279">
                  <c:v>9855.1314000000002</c:v>
                </c:pt>
                <c:pt idx="280">
                  <c:v>22331.566800000001</c:v>
                </c:pt>
                <c:pt idx="281">
                  <c:v>48549.178399999997</c:v>
                </c:pt>
                <c:pt idx="282">
                  <c:v>4237.1265999999996</c:v>
                </c:pt>
                <c:pt idx="283">
                  <c:v>11879.103999999999</c:v>
                </c:pt>
                <c:pt idx="284">
                  <c:v>9625.92</c:v>
                </c:pt>
                <c:pt idx="285">
                  <c:v>7742.1098000000002</c:v>
                </c:pt>
                <c:pt idx="286">
                  <c:v>9432.9253000000008</c:v>
                </c:pt>
                <c:pt idx="287">
                  <c:v>14256.192800000001</c:v>
                </c:pt>
                <c:pt idx="288">
                  <c:v>47896.791400000002</c:v>
                </c:pt>
                <c:pt idx="289">
                  <c:v>25992.821</c:v>
                </c:pt>
                <c:pt idx="290">
                  <c:v>3172.018</c:v>
                </c:pt>
                <c:pt idx="291">
                  <c:v>20277.807499999999</c:v>
                </c:pt>
                <c:pt idx="292">
                  <c:v>42112.2356</c:v>
                </c:pt>
                <c:pt idx="293">
                  <c:v>2156.7518</c:v>
                </c:pt>
                <c:pt idx="294">
                  <c:v>3906.127</c:v>
                </c:pt>
                <c:pt idx="295">
                  <c:v>1704.5681</c:v>
                </c:pt>
                <c:pt idx="296">
                  <c:v>16297.846</c:v>
                </c:pt>
                <c:pt idx="297">
                  <c:v>21978.676899999999</c:v>
                </c:pt>
                <c:pt idx="298">
                  <c:v>38746.355100000001</c:v>
                </c:pt>
                <c:pt idx="299">
                  <c:v>9249.4951999999994</c:v>
                </c:pt>
                <c:pt idx="300">
                  <c:v>6746.7425000000003</c:v>
                </c:pt>
                <c:pt idx="301">
                  <c:v>24873.384900000001</c:v>
                </c:pt>
                <c:pt idx="302">
                  <c:v>12265.5069</c:v>
                </c:pt>
                <c:pt idx="303">
                  <c:v>4349.4620000000004</c:v>
                </c:pt>
                <c:pt idx="304">
                  <c:v>12646.207</c:v>
                </c:pt>
                <c:pt idx="305">
                  <c:v>19442.353500000001</c:v>
                </c:pt>
                <c:pt idx="306">
                  <c:v>20177.6711</c:v>
                </c:pt>
                <c:pt idx="307">
                  <c:v>4151.0286999999998</c:v>
                </c:pt>
                <c:pt idx="308">
                  <c:v>11944.5944</c:v>
                </c:pt>
                <c:pt idx="309">
                  <c:v>7749.1563999999998</c:v>
                </c:pt>
                <c:pt idx="310">
                  <c:v>8444.4740000000002</c:v>
                </c:pt>
                <c:pt idx="311">
                  <c:v>1737.376</c:v>
                </c:pt>
                <c:pt idx="312">
                  <c:v>42124.515299999999</c:v>
                </c:pt>
                <c:pt idx="313">
                  <c:v>8124.4084000000003</c:v>
                </c:pt>
                <c:pt idx="314">
                  <c:v>34838.873</c:v>
                </c:pt>
                <c:pt idx="315">
                  <c:v>9722.7695000000003</c:v>
                </c:pt>
                <c:pt idx="316">
                  <c:v>8835.2649999999994</c:v>
                </c:pt>
                <c:pt idx="317">
                  <c:v>10435.065199999999</c:v>
                </c:pt>
                <c:pt idx="318">
                  <c:v>7421.1945999999998</c:v>
                </c:pt>
                <c:pt idx="319">
                  <c:v>4667.6076000000003</c:v>
                </c:pt>
                <c:pt idx="320">
                  <c:v>4894.7533000000003</c:v>
                </c:pt>
                <c:pt idx="321">
                  <c:v>24671.6633</c:v>
                </c:pt>
                <c:pt idx="322">
                  <c:v>35491.64</c:v>
                </c:pt>
                <c:pt idx="323">
                  <c:v>11566.3006</c:v>
                </c:pt>
                <c:pt idx="324">
                  <c:v>2866.0909999999999</c:v>
                </c:pt>
                <c:pt idx="325">
                  <c:v>6600.2060000000001</c:v>
                </c:pt>
                <c:pt idx="326">
                  <c:v>3561.8888999999999</c:v>
                </c:pt>
                <c:pt idx="327">
                  <c:v>42760.502200000003</c:v>
                </c:pt>
                <c:pt idx="328">
                  <c:v>47928.03</c:v>
                </c:pt>
                <c:pt idx="329">
                  <c:v>9144.5650000000005</c:v>
                </c:pt>
                <c:pt idx="330">
                  <c:v>48517.563199999997</c:v>
                </c:pt>
                <c:pt idx="331">
                  <c:v>24393.6224</c:v>
                </c:pt>
                <c:pt idx="332">
                  <c:v>13429.035400000001</c:v>
                </c:pt>
                <c:pt idx="333">
                  <c:v>11658.379199999999</c:v>
                </c:pt>
                <c:pt idx="334">
                  <c:v>19144.576499999999</c:v>
                </c:pt>
                <c:pt idx="335">
                  <c:v>13822.803</c:v>
                </c:pt>
                <c:pt idx="336">
                  <c:v>12142.578600000001</c:v>
                </c:pt>
                <c:pt idx="337">
                  <c:v>13937.666499999999</c:v>
                </c:pt>
                <c:pt idx="338">
                  <c:v>41919.097000000002</c:v>
                </c:pt>
                <c:pt idx="339">
                  <c:v>8232.6388000000006</c:v>
                </c:pt>
                <c:pt idx="340">
                  <c:v>18955.2202</c:v>
                </c:pt>
                <c:pt idx="341">
                  <c:v>13352.0998</c:v>
                </c:pt>
                <c:pt idx="342">
                  <c:v>13217.094499999999</c:v>
                </c:pt>
                <c:pt idx="343">
                  <c:v>13981.850399999999</c:v>
                </c:pt>
                <c:pt idx="344">
                  <c:v>10977.2063</c:v>
                </c:pt>
                <c:pt idx="345">
                  <c:v>6184.2993999999999</c:v>
                </c:pt>
                <c:pt idx="346">
                  <c:v>4889.9994999999999</c:v>
                </c:pt>
                <c:pt idx="347">
                  <c:v>8334.4575999999997</c:v>
                </c:pt>
                <c:pt idx="348">
                  <c:v>5478.0367999999999</c:v>
                </c:pt>
                <c:pt idx="349">
                  <c:v>1635.7336</c:v>
                </c:pt>
                <c:pt idx="350">
                  <c:v>11830.6072</c:v>
                </c:pt>
                <c:pt idx="351">
                  <c:v>8932.0840000000007</c:v>
                </c:pt>
                <c:pt idx="352">
                  <c:v>3554.203</c:v>
                </c:pt>
                <c:pt idx="353">
                  <c:v>12404.8791</c:v>
                </c:pt>
                <c:pt idx="354">
                  <c:v>14133.0378</c:v>
                </c:pt>
                <c:pt idx="355">
                  <c:v>24603.0484</c:v>
                </c:pt>
                <c:pt idx="356">
                  <c:v>8944.1151000000009</c:v>
                </c:pt>
                <c:pt idx="357">
                  <c:v>9620.3307000000004</c:v>
                </c:pt>
                <c:pt idx="358">
                  <c:v>1837.2819</c:v>
                </c:pt>
                <c:pt idx="359">
                  <c:v>1607.5101</c:v>
                </c:pt>
                <c:pt idx="360">
                  <c:v>10043.249</c:v>
                </c:pt>
                <c:pt idx="361">
                  <c:v>4751.07</c:v>
                </c:pt>
                <c:pt idx="362">
                  <c:v>13844.505999999999</c:v>
                </c:pt>
                <c:pt idx="363">
                  <c:v>2597.779</c:v>
                </c:pt>
                <c:pt idx="364">
                  <c:v>3180.5101</c:v>
                </c:pt>
                <c:pt idx="365">
                  <c:v>9778.3472000000002</c:v>
                </c:pt>
                <c:pt idx="366">
                  <c:v>13430.264999999999</c:v>
                </c:pt>
                <c:pt idx="367">
                  <c:v>8017.0612000000001</c:v>
                </c:pt>
                <c:pt idx="368">
                  <c:v>8116.2687999999998</c:v>
                </c:pt>
                <c:pt idx="369">
                  <c:v>3481.8679999999999</c:v>
                </c:pt>
                <c:pt idx="370">
                  <c:v>13415.0381</c:v>
                </c:pt>
                <c:pt idx="371">
                  <c:v>12029.286700000001</c:v>
                </c:pt>
                <c:pt idx="372">
                  <c:v>7639.4174000000003</c:v>
                </c:pt>
                <c:pt idx="373">
                  <c:v>36085.218999999997</c:v>
                </c:pt>
                <c:pt idx="374">
                  <c:v>1391.5287000000001</c:v>
                </c:pt>
                <c:pt idx="375">
                  <c:v>18033.9679</c:v>
                </c:pt>
                <c:pt idx="376">
                  <c:v>21659.930100000001</c:v>
                </c:pt>
                <c:pt idx="377">
                  <c:v>38126.246500000001</c:v>
                </c:pt>
                <c:pt idx="378">
                  <c:v>16455.7078</c:v>
                </c:pt>
                <c:pt idx="379">
                  <c:v>27000.984700000001</c:v>
                </c:pt>
                <c:pt idx="380">
                  <c:v>15006.579400000001</c:v>
                </c:pt>
                <c:pt idx="381">
                  <c:v>42303.692199999998</c:v>
                </c:pt>
                <c:pt idx="382">
                  <c:v>20781.4889</c:v>
                </c:pt>
                <c:pt idx="383">
                  <c:v>5846.9175999999998</c:v>
                </c:pt>
                <c:pt idx="384">
                  <c:v>8302.5355999999992</c:v>
                </c:pt>
                <c:pt idx="385">
                  <c:v>1261.8589999999999</c:v>
                </c:pt>
                <c:pt idx="386">
                  <c:v>11856.4115</c:v>
                </c:pt>
                <c:pt idx="387">
                  <c:v>30284.642899999999</c:v>
                </c:pt>
                <c:pt idx="388">
                  <c:v>3176.8159000000001</c:v>
                </c:pt>
                <c:pt idx="389">
                  <c:v>4618.0798999999997</c:v>
                </c:pt>
                <c:pt idx="390">
                  <c:v>10736.870800000001</c:v>
                </c:pt>
                <c:pt idx="391">
                  <c:v>2138.0707000000002</c:v>
                </c:pt>
                <c:pt idx="392">
                  <c:v>8964.0606000000007</c:v>
                </c:pt>
                <c:pt idx="393">
                  <c:v>9290.1394999999993</c:v>
                </c:pt>
                <c:pt idx="394">
                  <c:v>9411.0049999999992</c:v>
                </c:pt>
                <c:pt idx="395">
                  <c:v>7526.7064</c:v>
                </c:pt>
                <c:pt idx="396">
                  <c:v>8522.0030000000006</c:v>
                </c:pt>
                <c:pt idx="397">
                  <c:v>16586.4977</c:v>
                </c:pt>
                <c:pt idx="398">
                  <c:v>14988.432000000001</c:v>
                </c:pt>
                <c:pt idx="399">
                  <c:v>1631.6683</c:v>
                </c:pt>
                <c:pt idx="400">
                  <c:v>9264.7970000000005</c:v>
                </c:pt>
                <c:pt idx="401">
                  <c:v>8083.9197999999997</c:v>
                </c:pt>
                <c:pt idx="402">
                  <c:v>14692.669400000001</c:v>
                </c:pt>
                <c:pt idx="403">
                  <c:v>10269.459999999999</c:v>
                </c:pt>
                <c:pt idx="404">
                  <c:v>3260.1990000000001</c:v>
                </c:pt>
                <c:pt idx="405">
                  <c:v>11396.9002</c:v>
                </c:pt>
                <c:pt idx="406">
                  <c:v>4185.0978999999998</c:v>
                </c:pt>
                <c:pt idx="407">
                  <c:v>8539.6710000000003</c:v>
                </c:pt>
                <c:pt idx="408">
                  <c:v>6652.5288</c:v>
                </c:pt>
                <c:pt idx="409">
                  <c:v>4074.4537</c:v>
                </c:pt>
                <c:pt idx="410">
                  <c:v>1621.3402000000001</c:v>
                </c:pt>
                <c:pt idx="411">
                  <c:v>19594.809600000001</c:v>
                </c:pt>
                <c:pt idx="412">
                  <c:v>14455.644</c:v>
                </c:pt>
                <c:pt idx="413">
                  <c:v>5080.0959999999995</c:v>
                </c:pt>
                <c:pt idx="414">
                  <c:v>2134.9014999999999</c:v>
                </c:pt>
                <c:pt idx="415">
                  <c:v>7345.7266</c:v>
                </c:pt>
                <c:pt idx="416">
                  <c:v>9140.9509999999991</c:v>
                </c:pt>
                <c:pt idx="417">
                  <c:v>18608.261999999999</c:v>
                </c:pt>
                <c:pt idx="418">
                  <c:v>14418.2804</c:v>
                </c:pt>
                <c:pt idx="419">
                  <c:v>28950.4692</c:v>
                </c:pt>
                <c:pt idx="420">
                  <c:v>46889.261200000001</c:v>
                </c:pt>
                <c:pt idx="421">
                  <c:v>46599.108399999997</c:v>
                </c:pt>
                <c:pt idx="422">
                  <c:v>39125.332199999997</c:v>
                </c:pt>
                <c:pt idx="423">
                  <c:v>2727.3951000000002</c:v>
                </c:pt>
                <c:pt idx="424">
                  <c:v>8968.33</c:v>
                </c:pt>
                <c:pt idx="425">
                  <c:v>9788.8659000000007</c:v>
                </c:pt>
                <c:pt idx="426">
                  <c:v>6555.0703999999996</c:v>
                </c:pt>
                <c:pt idx="427">
                  <c:v>7323.7348000000002</c:v>
                </c:pt>
                <c:pt idx="428">
                  <c:v>3167.4558000000002</c:v>
                </c:pt>
                <c:pt idx="429">
                  <c:v>18804.752400000001</c:v>
                </c:pt>
                <c:pt idx="430">
                  <c:v>23082.955300000001</c:v>
                </c:pt>
                <c:pt idx="431">
                  <c:v>4906.4096</c:v>
                </c:pt>
                <c:pt idx="432">
                  <c:v>5969.723</c:v>
                </c:pt>
                <c:pt idx="433">
                  <c:v>12638.195</c:v>
                </c:pt>
                <c:pt idx="434">
                  <c:v>4243.59</c:v>
                </c:pt>
                <c:pt idx="435">
                  <c:v>13919.822899999999</c:v>
                </c:pt>
                <c:pt idx="436">
                  <c:v>2254.7966999999999</c:v>
                </c:pt>
                <c:pt idx="437">
                  <c:v>5926.8459999999995</c:v>
                </c:pt>
                <c:pt idx="438">
                  <c:v>12592.5345</c:v>
                </c:pt>
                <c:pt idx="439">
                  <c:v>2897.3235</c:v>
                </c:pt>
                <c:pt idx="440">
                  <c:v>4738.2682000000004</c:v>
                </c:pt>
                <c:pt idx="441">
                  <c:v>37079.372000000003</c:v>
                </c:pt>
                <c:pt idx="442">
                  <c:v>1149.3959</c:v>
                </c:pt>
                <c:pt idx="443">
                  <c:v>28287.897700000001</c:v>
                </c:pt>
                <c:pt idx="444">
                  <c:v>26109.329000000002</c:v>
                </c:pt>
                <c:pt idx="445">
                  <c:v>7345.0839999999998</c:v>
                </c:pt>
                <c:pt idx="446">
                  <c:v>12730.999599999999</c:v>
                </c:pt>
                <c:pt idx="447">
                  <c:v>11454.021500000001</c:v>
                </c:pt>
                <c:pt idx="448">
                  <c:v>5910.9440000000004</c:v>
                </c:pt>
                <c:pt idx="449">
                  <c:v>4762.3289999999997</c:v>
                </c:pt>
                <c:pt idx="450">
                  <c:v>7512.2669999999998</c:v>
                </c:pt>
                <c:pt idx="451">
                  <c:v>4032.2406999999998</c:v>
                </c:pt>
                <c:pt idx="452">
                  <c:v>1969.614</c:v>
                </c:pt>
                <c:pt idx="453">
                  <c:v>1769.5316</c:v>
                </c:pt>
                <c:pt idx="454">
                  <c:v>4686.3887000000004</c:v>
                </c:pt>
                <c:pt idx="455">
                  <c:v>21797.000400000001</c:v>
                </c:pt>
                <c:pt idx="456">
                  <c:v>11881.9696</c:v>
                </c:pt>
                <c:pt idx="457">
                  <c:v>11840.775</c:v>
                </c:pt>
                <c:pt idx="458">
                  <c:v>10601.412</c:v>
                </c:pt>
                <c:pt idx="459">
                  <c:v>7682.67</c:v>
                </c:pt>
                <c:pt idx="460">
                  <c:v>10381.4787</c:v>
                </c:pt>
                <c:pt idx="461">
                  <c:v>22144.031999999999</c:v>
                </c:pt>
                <c:pt idx="462">
                  <c:v>15230.324000000001</c:v>
                </c:pt>
                <c:pt idx="463">
                  <c:v>11165.417600000001</c:v>
                </c:pt>
                <c:pt idx="464">
                  <c:v>1632.0362</c:v>
                </c:pt>
                <c:pt idx="465">
                  <c:v>19521.968199999999</c:v>
                </c:pt>
                <c:pt idx="466">
                  <c:v>13224.692999999999</c:v>
                </c:pt>
                <c:pt idx="467">
                  <c:v>12643.3778</c:v>
                </c:pt>
                <c:pt idx="468">
                  <c:v>23288.928400000001</c:v>
                </c:pt>
                <c:pt idx="469">
                  <c:v>2201.0971</c:v>
                </c:pt>
                <c:pt idx="470">
                  <c:v>2497.0383000000002</c:v>
                </c:pt>
                <c:pt idx="471">
                  <c:v>2203.4717999999998</c:v>
                </c:pt>
                <c:pt idx="472">
                  <c:v>1744.4649999999999</c:v>
                </c:pt>
                <c:pt idx="473">
                  <c:v>20878.7844</c:v>
                </c:pt>
                <c:pt idx="474">
                  <c:v>25382.296999999999</c:v>
                </c:pt>
                <c:pt idx="475">
                  <c:v>28868.6639</c:v>
                </c:pt>
                <c:pt idx="476">
                  <c:v>35147.5285</c:v>
                </c:pt>
                <c:pt idx="477">
                  <c:v>2534.3937999999998</c:v>
                </c:pt>
                <c:pt idx="478">
                  <c:v>1534.3045</c:v>
                </c:pt>
                <c:pt idx="479">
                  <c:v>1824.2854</c:v>
                </c:pt>
                <c:pt idx="480">
                  <c:v>15555.1888</c:v>
                </c:pt>
                <c:pt idx="481">
                  <c:v>9304.7019</c:v>
                </c:pt>
                <c:pt idx="482">
                  <c:v>1622.1885</c:v>
                </c:pt>
                <c:pt idx="483">
                  <c:v>9880.0679999999993</c:v>
                </c:pt>
                <c:pt idx="484">
                  <c:v>9563.0290000000005</c:v>
                </c:pt>
                <c:pt idx="485">
                  <c:v>4347.0234</c:v>
                </c:pt>
                <c:pt idx="486">
                  <c:v>12475.3513</c:v>
                </c:pt>
                <c:pt idx="487">
                  <c:v>1253.9359999999999</c:v>
                </c:pt>
                <c:pt idx="488">
                  <c:v>48885.135600000001</c:v>
                </c:pt>
                <c:pt idx="489">
                  <c:v>10461.9794</c:v>
                </c:pt>
                <c:pt idx="490">
                  <c:v>1748.7739999999999</c:v>
                </c:pt>
                <c:pt idx="491">
                  <c:v>24513.0913</c:v>
                </c:pt>
                <c:pt idx="492">
                  <c:v>2196.4731999999999</c:v>
                </c:pt>
                <c:pt idx="493">
                  <c:v>12574.049000000001</c:v>
                </c:pt>
                <c:pt idx="494">
                  <c:v>17942.106</c:v>
                </c:pt>
                <c:pt idx="495">
                  <c:v>1967.0227</c:v>
                </c:pt>
                <c:pt idx="496">
                  <c:v>4931.6469999999999</c:v>
                </c:pt>
                <c:pt idx="497">
                  <c:v>8027.9679999999998</c:v>
                </c:pt>
                <c:pt idx="498">
                  <c:v>8211.1002000000008</c:v>
                </c:pt>
                <c:pt idx="499">
                  <c:v>13470.86</c:v>
                </c:pt>
                <c:pt idx="500">
                  <c:v>36197.699000000001</c:v>
                </c:pt>
                <c:pt idx="501">
                  <c:v>6837.3687</c:v>
                </c:pt>
                <c:pt idx="502">
                  <c:v>22218.1149</c:v>
                </c:pt>
                <c:pt idx="503">
                  <c:v>32548.340499999998</c:v>
                </c:pt>
                <c:pt idx="504">
                  <c:v>5974.3846999999996</c:v>
                </c:pt>
                <c:pt idx="505">
                  <c:v>6796.8631999999998</c:v>
                </c:pt>
                <c:pt idx="506">
                  <c:v>2643.2685000000001</c:v>
                </c:pt>
                <c:pt idx="507">
                  <c:v>3077.0954999999999</c:v>
                </c:pt>
                <c:pt idx="508">
                  <c:v>3044.2132999999999</c:v>
                </c:pt>
                <c:pt idx="509">
                  <c:v>11455.28</c:v>
                </c:pt>
                <c:pt idx="510">
                  <c:v>11763.000899999999</c:v>
                </c:pt>
                <c:pt idx="511">
                  <c:v>2498.4144000000001</c:v>
                </c:pt>
                <c:pt idx="512">
                  <c:v>9361.3268000000007</c:v>
                </c:pt>
                <c:pt idx="513">
                  <c:v>1256.299</c:v>
                </c:pt>
                <c:pt idx="514">
                  <c:v>21082.16</c:v>
                </c:pt>
                <c:pt idx="515">
                  <c:v>11362.754999999999</c:v>
                </c:pt>
                <c:pt idx="516">
                  <c:v>27724.288799999998</c:v>
                </c:pt>
                <c:pt idx="517">
                  <c:v>8413.4629999999997</c:v>
                </c:pt>
                <c:pt idx="518">
                  <c:v>5240.7650000000003</c:v>
                </c:pt>
                <c:pt idx="519">
                  <c:v>3857.7592</c:v>
                </c:pt>
                <c:pt idx="520">
                  <c:v>25656.5753</c:v>
                </c:pt>
                <c:pt idx="521">
                  <c:v>3994.1777999999999</c:v>
                </c:pt>
                <c:pt idx="522">
                  <c:v>9866.3047999999999</c:v>
                </c:pt>
                <c:pt idx="523">
                  <c:v>5397.6166999999996</c:v>
                </c:pt>
                <c:pt idx="524">
                  <c:v>38245.5933</c:v>
                </c:pt>
                <c:pt idx="525">
                  <c:v>11482.6348</c:v>
                </c:pt>
                <c:pt idx="526">
                  <c:v>24059.680199999999</c:v>
                </c:pt>
                <c:pt idx="527">
                  <c:v>9861.0249999999996</c:v>
                </c:pt>
                <c:pt idx="528">
                  <c:v>8342.9087999999992</c:v>
                </c:pt>
                <c:pt idx="529">
                  <c:v>1708.0014000000001</c:v>
                </c:pt>
                <c:pt idx="530">
                  <c:v>48675.517699999997</c:v>
                </c:pt>
                <c:pt idx="531">
                  <c:v>14043.476699999999</c:v>
                </c:pt>
                <c:pt idx="532">
                  <c:v>12925.886</c:v>
                </c:pt>
                <c:pt idx="533">
                  <c:v>19214.7055</c:v>
                </c:pt>
                <c:pt idx="534">
                  <c:v>13831.1152</c:v>
                </c:pt>
                <c:pt idx="535">
                  <c:v>6067.1268</c:v>
                </c:pt>
                <c:pt idx="536">
                  <c:v>5972.3779999999997</c:v>
                </c:pt>
                <c:pt idx="537">
                  <c:v>8825.0859999999993</c:v>
                </c:pt>
                <c:pt idx="538">
                  <c:v>8233.0974999999999</c:v>
                </c:pt>
                <c:pt idx="539">
                  <c:v>27346.042099999999</c:v>
                </c:pt>
                <c:pt idx="540">
                  <c:v>6196.4480000000003</c:v>
                </c:pt>
                <c:pt idx="541">
                  <c:v>3056.3881000000001</c:v>
                </c:pt>
                <c:pt idx="542">
                  <c:v>13887.204</c:v>
                </c:pt>
                <c:pt idx="543">
                  <c:v>63770.428</c:v>
                </c:pt>
                <c:pt idx="544">
                  <c:v>10231.499900000001</c:v>
                </c:pt>
                <c:pt idx="545">
                  <c:v>23807.240600000001</c:v>
                </c:pt>
                <c:pt idx="546">
                  <c:v>3268.8465999999999</c:v>
                </c:pt>
                <c:pt idx="547">
                  <c:v>11538.421</c:v>
                </c:pt>
                <c:pt idx="548">
                  <c:v>3213.6219999999998</c:v>
                </c:pt>
                <c:pt idx="549">
                  <c:v>45863.205000000002</c:v>
                </c:pt>
                <c:pt idx="550">
                  <c:v>13390.558999999999</c:v>
                </c:pt>
                <c:pt idx="551">
                  <c:v>3972.9247</c:v>
                </c:pt>
                <c:pt idx="552">
                  <c:v>12957.118</c:v>
                </c:pt>
                <c:pt idx="553">
                  <c:v>11187.6567</c:v>
                </c:pt>
                <c:pt idx="554">
                  <c:v>17878.900699999998</c:v>
                </c:pt>
                <c:pt idx="555">
                  <c:v>3847.674</c:v>
                </c:pt>
                <c:pt idx="556">
                  <c:v>8334.5895999999993</c:v>
                </c:pt>
                <c:pt idx="557">
                  <c:v>3935.1799000000001</c:v>
                </c:pt>
                <c:pt idx="558">
                  <c:v>39983.425999999999</c:v>
                </c:pt>
                <c:pt idx="559">
                  <c:v>1646.4296999999999</c:v>
                </c:pt>
                <c:pt idx="560">
                  <c:v>9193.8384999999998</c:v>
                </c:pt>
                <c:pt idx="561">
                  <c:v>10923.933199999999</c:v>
                </c:pt>
                <c:pt idx="562">
                  <c:v>2494.0219999999999</c:v>
                </c:pt>
                <c:pt idx="563">
                  <c:v>9058.7302999999993</c:v>
                </c:pt>
                <c:pt idx="564">
                  <c:v>2801.2588000000001</c:v>
                </c:pt>
                <c:pt idx="565">
                  <c:v>2128.431</c:v>
                </c:pt>
                <c:pt idx="566">
                  <c:v>6373.5573999999997</c:v>
                </c:pt>
                <c:pt idx="567">
                  <c:v>7256.7231000000002</c:v>
                </c:pt>
                <c:pt idx="568">
                  <c:v>11552.904</c:v>
                </c:pt>
                <c:pt idx="569">
                  <c:v>45702.022400000002</c:v>
                </c:pt>
                <c:pt idx="570">
                  <c:v>3761.2919999999999</c:v>
                </c:pt>
                <c:pt idx="571">
                  <c:v>2219.4450999999999</c:v>
                </c:pt>
                <c:pt idx="572">
                  <c:v>4753.6368000000002</c:v>
                </c:pt>
                <c:pt idx="573">
                  <c:v>31620.001100000001</c:v>
                </c:pt>
                <c:pt idx="574">
                  <c:v>13224.057000000001</c:v>
                </c:pt>
                <c:pt idx="575">
                  <c:v>12222.898300000001</c:v>
                </c:pt>
                <c:pt idx="576">
                  <c:v>1664.9996000000001</c:v>
                </c:pt>
                <c:pt idx="577">
                  <c:v>58571.074500000002</c:v>
                </c:pt>
                <c:pt idx="578">
                  <c:v>9724.5300000000007</c:v>
                </c:pt>
                <c:pt idx="579">
                  <c:v>3206.4913999999999</c:v>
                </c:pt>
                <c:pt idx="580">
                  <c:v>12913.992399999999</c:v>
                </c:pt>
                <c:pt idx="581">
                  <c:v>1639.5631000000001</c:v>
                </c:pt>
                <c:pt idx="582">
                  <c:v>6356.2707</c:v>
                </c:pt>
                <c:pt idx="583">
                  <c:v>17626.2395</c:v>
                </c:pt>
                <c:pt idx="584">
                  <c:v>1242.816</c:v>
                </c:pt>
                <c:pt idx="585">
                  <c:v>4779.6022999999996</c:v>
                </c:pt>
                <c:pt idx="586">
                  <c:v>3861.2096000000001</c:v>
                </c:pt>
                <c:pt idx="587">
                  <c:v>43943.876100000001</c:v>
                </c:pt>
                <c:pt idx="588">
                  <c:v>13635.6379</c:v>
                </c:pt>
                <c:pt idx="589">
                  <c:v>5976.8311000000003</c:v>
                </c:pt>
                <c:pt idx="590">
                  <c:v>11842.441999999999</c:v>
                </c:pt>
                <c:pt idx="591">
                  <c:v>8428.0692999999992</c:v>
                </c:pt>
                <c:pt idx="592">
                  <c:v>2566.4706999999999</c:v>
                </c:pt>
                <c:pt idx="593">
                  <c:v>15359.104499999999</c:v>
                </c:pt>
                <c:pt idx="594">
                  <c:v>5709.1643999999997</c:v>
                </c:pt>
                <c:pt idx="595">
                  <c:v>8823.9858000000004</c:v>
                </c:pt>
                <c:pt idx="596">
                  <c:v>7640.3091999999997</c:v>
                </c:pt>
                <c:pt idx="597">
                  <c:v>5594.8455000000004</c:v>
                </c:pt>
                <c:pt idx="598">
                  <c:v>7441.5010000000002</c:v>
                </c:pt>
                <c:pt idx="599">
                  <c:v>33471.971899999997</c:v>
                </c:pt>
                <c:pt idx="600">
                  <c:v>1633.0444</c:v>
                </c:pt>
                <c:pt idx="601">
                  <c:v>9174.1355999999996</c:v>
                </c:pt>
                <c:pt idx="602">
                  <c:v>11070.535</c:v>
                </c:pt>
                <c:pt idx="603">
                  <c:v>16085.127500000001</c:v>
                </c:pt>
                <c:pt idx="604">
                  <c:v>17468.983899999999</c:v>
                </c:pt>
                <c:pt idx="605">
                  <c:v>9283.5619999999999</c:v>
                </c:pt>
                <c:pt idx="606">
                  <c:v>3558.6201999999998</c:v>
                </c:pt>
                <c:pt idx="607">
                  <c:v>25678.778399999999</c:v>
                </c:pt>
                <c:pt idx="608">
                  <c:v>4435.0941999999995</c:v>
                </c:pt>
                <c:pt idx="609">
                  <c:v>39241.442000000003</c:v>
                </c:pt>
                <c:pt idx="610">
                  <c:v>8547.6913000000004</c:v>
                </c:pt>
                <c:pt idx="611">
                  <c:v>6571.5439999999999</c:v>
                </c:pt>
                <c:pt idx="612">
                  <c:v>2207.6974</c:v>
                </c:pt>
                <c:pt idx="613">
                  <c:v>6753.0379999999996</c:v>
                </c:pt>
                <c:pt idx="614">
                  <c:v>1880.07</c:v>
                </c:pt>
                <c:pt idx="615">
                  <c:v>42969.852700000003</c:v>
                </c:pt>
                <c:pt idx="616">
                  <c:v>11658.115</c:v>
                </c:pt>
                <c:pt idx="617">
                  <c:v>23306.546999999999</c:v>
                </c:pt>
                <c:pt idx="618">
                  <c:v>34439.855900000002</c:v>
                </c:pt>
                <c:pt idx="619">
                  <c:v>10713.644</c:v>
                </c:pt>
                <c:pt idx="620">
                  <c:v>3659.346</c:v>
                </c:pt>
                <c:pt idx="621">
                  <c:v>40182.245999999999</c:v>
                </c:pt>
                <c:pt idx="622">
                  <c:v>9182.17</c:v>
                </c:pt>
                <c:pt idx="623">
                  <c:v>34617.840600000003</c:v>
                </c:pt>
                <c:pt idx="624">
                  <c:v>12129.6142</c:v>
                </c:pt>
                <c:pt idx="625">
                  <c:v>3736.4647</c:v>
                </c:pt>
                <c:pt idx="626">
                  <c:v>6748.5911999999998</c:v>
                </c:pt>
                <c:pt idx="627">
                  <c:v>11326.714900000001</c:v>
                </c:pt>
                <c:pt idx="628">
                  <c:v>11365.951999999999</c:v>
                </c:pt>
                <c:pt idx="629">
                  <c:v>42983.458500000001</c:v>
                </c:pt>
                <c:pt idx="630">
                  <c:v>10085.846</c:v>
                </c:pt>
                <c:pt idx="631">
                  <c:v>1977.8150000000001</c:v>
                </c:pt>
                <c:pt idx="632">
                  <c:v>3366.6696999999999</c:v>
                </c:pt>
                <c:pt idx="633">
                  <c:v>7173.36</c:v>
                </c:pt>
                <c:pt idx="634">
                  <c:v>9391.3459999999995</c:v>
                </c:pt>
                <c:pt idx="635">
                  <c:v>14410.9321</c:v>
                </c:pt>
                <c:pt idx="636">
                  <c:v>2709.1118999999999</c:v>
                </c:pt>
                <c:pt idx="637">
                  <c:v>24915.046300000002</c:v>
                </c:pt>
                <c:pt idx="638">
                  <c:v>20149.322899999999</c:v>
                </c:pt>
                <c:pt idx="639">
                  <c:v>12949.1554</c:v>
                </c:pt>
                <c:pt idx="640">
                  <c:v>6666.2430000000004</c:v>
                </c:pt>
                <c:pt idx="641">
                  <c:v>32787.458599999998</c:v>
                </c:pt>
                <c:pt idx="642">
                  <c:v>13143.864799999999</c:v>
                </c:pt>
                <c:pt idx="643">
                  <c:v>4466.6214</c:v>
                </c:pt>
                <c:pt idx="644">
                  <c:v>18806.145499999999</c:v>
                </c:pt>
                <c:pt idx="645">
                  <c:v>10141.136200000001</c:v>
                </c:pt>
                <c:pt idx="646">
                  <c:v>6123.5688</c:v>
                </c:pt>
                <c:pt idx="647">
                  <c:v>8252.2842999999993</c:v>
                </c:pt>
                <c:pt idx="648">
                  <c:v>1712.2270000000001</c:v>
                </c:pt>
                <c:pt idx="649">
                  <c:v>12430.9534</c:v>
                </c:pt>
                <c:pt idx="650">
                  <c:v>9800.8881999999994</c:v>
                </c:pt>
                <c:pt idx="651">
                  <c:v>10579.710999999999</c:v>
                </c:pt>
                <c:pt idx="652">
                  <c:v>8280.6226999999999</c:v>
                </c:pt>
                <c:pt idx="653">
                  <c:v>8527.5319999999992</c:v>
                </c:pt>
                <c:pt idx="654">
                  <c:v>12244.531000000001</c:v>
                </c:pt>
                <c:pt idx="655">
                  <c:v>24667.419000000002</c:v>
                </c:pt>
                <c:pt idx="656">
                  <c:v>3410.3240000000001</c:v>
                </c:pt>
                <c:pt idx="657">
                  <c:v>4058.7123999999999</c:v>
                </c:pt>
                <c:pt idx="658">
                  <c:v>26392.260300000002</c:v>
                </c:pt>
                <c:pt idx="659">
                  <c:v>14394.3982</c:v>
                </c:pt>
                <c:pt idx="660">
                  <c:v>6435.6237000000001</c:v>
                </c:pt>
                <c:pt idx="661">
                  <c:v>22192.437099999999</c:v>
                </c:pt>
                <c:pt idx="662">
                  <c:v>5148.5526</c:v>
                </c:pt>
                <c:pt idx="663">
                  <c:v>1136.3994</c:v>
                </c:pt>
                <c:pt idx="664">
                  <c:v>27037.914100000002</c:v>
                </c:pt>
                <c:pt idx="665">
                  <c:v>42560.430399999997</c:v>
                </c:pt>
                <c:pt idx="666">
                  <c:v>8703.4560000000001</c:v>
                </c:pt>
                <c:pt idx="667">
                  <c:v>40003.332199999997</c:v>
                </c:pt>
                <c:pt idx="668">
                  <c:v>45710.207799999996</c:v>
                </c:pt>
                <c:pt idx="669">
                  <c:v>6500.2358999999997</c:v>
                </c:pt>
                <c:pt idx="670">
                  <c:v>4837.5823</c:v>
                </c:pt>
                <c:pt idx="671">
                  <c:v>3943.5954000000002</c:v>
                </c:pt>
                <c:pt idx="672">
                  <c:v>4399.7309999999998</c:v>
                </c:pt>
                <c:pt idx="673">
                  <c:v>6185.3208000000004</c:v>
                </c:pt>
                <c:pt idx="674">
                  <c:v>46200.985099999998</c:v>
                </c:pt>
                <c:pt idx="675">
                  <c:v>7222.7861999999996</c:v>
                </c:pt>
                <c:pt idx="676">
                  <c:v>12485.8009</c:v>
                </c:pt>
                <c:pt idx="677">
                  <c:v>46130.5265</c:v>
                </c:pt>
                <c:pt idx="678">
                  <c:v>12363.547</c:v>
                </c:pt>
                <c:pt idx="679">
                  <c:v>10156.7832</c:v>
                </c:pt>
                <c:pt idx="680">
                  <c:v>2585.2689999999998</c:v>
                </c:pt>
                <c:pt idx="681">
                  <c:v>1242.26</c:v>
                </c:pt>
                <c:pt idx="682">
                  <c:v>40103.89</c:v>
                </c:pt>
                <c:pt idx="683">
                  <c:v>9863.4717999999993</c:v>
                </c:pt>
                <c:pt idx="684">
                  <c:v>4766.0219999999999</c:v>
                </c:pt>
                <c:pt idx="685">
                  <c:v>11244.376899999999</c:v>
                </c:pt>
                <c:pt idx="686">
                  <c:v>7729.6458000000002</c:v>
                </c:pt>
                <c:pt idx="687">
                  <c:v>5438.7491</c:v>
                </c:pt>
                <c:pt idx="688">
                  <c:v>26236.58</c:v>
                </c:pt>
                <c:pt idx="689">
                  <c:v>34806.467700000001</c:v>
                </c:pt>
                <c:pt idx="690">
                  <c:v>2104.1134000000002</c:v>
                </c:pt>
                <c:pt idx="691">
                  <c:v>8068.1850000000004</c:v>
                </c:pt>
                <c:pt idx="692">
                  <c:v>2362.2289999999998</c:v>
                </c:pt>
                <c:pt idx="693">
                  <c:v>2352.9684000000002</c:v>
                </c:pt>
                <c:pt idx="694">
                  <c:v>3577.9989999999998</c:v>
                </c:pt>
                <c:pt idx="695">
                  <c:v>3201.2451999999998</c:v>
                </c:pt>
                <c:pt idx="696">
                  <c:v>29186.482400000001</c:v>
                </c:pt>
                <c:pt idx="697">
                  <c:v>40273.645499999999</c:v>
                </c:pt>
                <c:pt idx="698">
                  <c:v>10976.245800000001</c:v>
                </c:pt>
                <c:pt idx="699">
                  <c:v>3500.6122999999998</c:v>
                </c:pt>
                <c:pt idx="700">
                  <c:v>2020.5523000000001</c:v>
                </c:pt>
                <c:pt idx="701">
                  <c:v>9541.6955999999991</c:v>
                </c:pt>
                <c:pt idx="702">
                  <c:v>9504.3102999999992</c:v>
                </c:pt>
                <c:pt idx="703">
                  <c:v>5385.3379000000004</c:v>
                </c:pt>
                <c:pt idx="704">
                  <c:v>8930.9346000000005</c:v>
                </c:pt>
                <c:pt idx="705">
                  <c:v>5375.0379999999996</c:v>
                </c:pt>
                <c:pt idx="706">
                  <c:v>44400.4064</c:v>
                </c:pt>
                <c:pt idx="707">
                  <c:v>10264.4421</c:v>
                </c:pt>
                <c:pt idx="708">
                  <c:v>6113.2309999999998</c:v>
                </c:pt>
                <c:pt idx="709">
                  <c:v>5469.0065999999997</c:v>
                </c:pt>
                <c:pt idx="710">
                  <c:v>1727.54</c:v>
                </c:pt>
                <c:pt idx="711">
                  <c:v>10107.220600000001</c:v>
                </c:pt>
                <c:pt idx="712">
                  <c:v>8310.8392000000003</c:v>
                </c:pt>
                <c:pt idx="713">
                  <c:v>1984.4532999999999</c:v>
                </c:pt>
                <c:pt idx="714">
                  <c:v>2457.502</c:v>
                </c:pt>
                <c:pt idx="715">
                  <c:v>12146.971</c:v>
                </c:pt>
                <c:pt idx="716">
                  <c:v>9566.9909000000007</c:v>
                </c:pt>
                <c:pt idx="717">
                  <c:v>13112.604799999999</c:v>
                </c:pt>
                <c:pt idx="718">
                  <c:v>10848.1343</c:v>
                </c:pt>
                <c:pt idx="719">
                  <c:v>12231.613600000001</c:v>
                </c:pt>
                <c:pt idx="720">
                  <c:v>9875.6803999999993</c:v>
                </c:pt>
                <c:pt idx="721">
                  <c:v>11264.540999999999</c:v>
                </c:pt>
                <c:pt idx="722">
                  <c:v>12979.358</c:v>
                </c:pt>
                <c:pt idx="723">
                  <c:v>1263.249</c:v>
                </c:pt>
                <c:pt idx="724">
                  <c:v>10106.1342</c:v>
                </c:pt>
                <c:pt idx="725">
                  <c:v>40932.429499999998</c:v>
                </c:pt>
                <c:pt idx="726">
                  <c:v>6664.6859999999997</c:v>
                </c:pt>
                <c:pt idx="727">
                  <c:v>16657.717400000001</c:v>
                </c:pt>
                <c:pt idx="728">
                  <c:v>2217.6012000000001</c:v>
                </c:pt>
                <c:pt idx="729">
                  <c:v>6781.3541999999998</c:v>
                </c:pt>
                <c:pt idx="730">
                  <c:v>19361.998800000001</c:v>
                </c:pt>
                <c:pt idx="731">
                  <c:v>10065.413</c:v>
                </c:pt>
                <c:pt idx="732">
                  <c:v>4234.9269999999997</c:v>
                </c:pt>
                <c:pt idx="733">
                  <c:v>9447.2504000000008</c:v>
                </c:pt>
                <c:pt idx="734">
                  <c:v>14007.222</c:v>
                </c:pt>
                <c:pt idx="735">
                  <c:v>9583.8932999999997</c:v>
                </c:pt>
                <c:pt idx="736">
                  <c:v>40419.019099999998</c:v>
                </c:pt>
                <c:pt idx="737">
                  <c:v>3484.3310000000001</c:v>
                </c:pt>
                <c:pt idx="738">
                  <c:v>36189.101699999999</c:v>
                </c:pt>
                <c:pt idx="739">
                  <c:v>44585.455900000001</c:v>
                </c:pt>
                <c:pt idx="740">
                  <c:v>8604.4835999999996</c:v>
                </c:pt>
                <c:pt idx="741">
                  <c:v>18246.495500000001</c:v>
                </c:pt>
                <c:pt idx="742">
                  <c:v>43254.417999999998</c:v>
                </c:pt>
                <c:pt idx="743">
                  <c:v>3757.8447999999999</c:v>
                </c:pt>
                <c:pt idx="744">
                  <c:v>8827.2098999999998</c:v>
                </c:pt>
                <c:pt idx="745">
                  <c:v>9910.3598000000002</c:v>
                </c:pt>
                <c:pt idx="746">
                  <c:v>11737.8488</c:v>
                </c:pt>
                <c:pt idx="747">
                  <c:v>1627.2824000000001</c:v>
                </c:pt>
                <c:pt idx="748">
                  <c:v>8556.9069999999992</c:v>
                </c:pt>
                <c:pt idx="749">
                  <c:v>3062.5082000000002</c:v>
                </c:pt>
                <c:pt idx="750">
                  <c:v>19539.242999999999</c:v>
                </c:pt>
                <c:pt idx="751">
                  <c:v>1906.3581999999999</c:v>
                </c:pt>
                <c:pt idx="752">
                  <c:v>14210.536</c:v>
                </c:pt>
                <c:pt idx="753">
                  <c:v>11833.782300000001</c:v>
                </c:pt>
                <c:pt idx="754">
                  <c:v>17128.426100000001</c:v>
                </c:pt>
                <c:pt idx="755">
                  <c:v>5031.2695999999996</c:v>
                </c:pt>
                <c:pt idx="756">
                  <c:v>7985.8149999999996</c:v>
                </c:pt>
                <c:pt idx="757">
                  <c:v>23065.420699999999</c:v>
                </c:pt>
                <c:pt idx="758">
                  <c:v>5428.7277000000004</c:v>
                </c:pt>
                <c:pt idx="759">
                  <c:v>36307.798300000002</c:v>
                </c:pt>
                <c:pt idx="760">
                  <c:v>3925.7582000000002</c:v>
                </c:pt>
                <c:pt idx="761">
                  <c:v>2416.9549999999999</c:v>
                </c:pt>
                <c:pt idx="762">
                  <c:v>19040.876</c:v>
                </c:pt>
                <c:pt idx="763">
                  <c:v>3070.8087</c:v>
                </c:pt>
                <c:pt idx="764">
                  <c:v>9095.0681999999997</c:v>
                </c:pt>
                <c:pt idx="765">
                  <c:v>11842.623799999999</c:v>
                </c:pt>
                <c:pt idx="766">
                  <c:v>8062.7640000000001</c:v>
                </c:pt>
                <c:pt idx="767">
                  <c:v>7050.6419999999998</c:v>
                </c:pt>
                <c:pt idx="768">
                  <c:v>14319.031000000001</c:v>
                </c:pt>
                <c:pt idx="769">
                  <c:v>6933.2421999999997</c:v>
                </c:pt>
                <c:pt idx="770">
                  <c:v>27941.2876</c:v>
                </c:pt>
                <c:pt idx="771">
                  <c:v>11150.78</c:v>
                </c:pt>
                <c:pt idx="772">
                  <c:v>12797.2096</c:v>
                </c:pt>
                <c:pt idx="773">
                  <c:v>17748.5062</c:v>
                </c:pt>
                <c:pt idx="774">
                  <c:v>7261.741</c:v>
                </c:pt>
                <c:pt idx="775">
                  <c:v>10560.4917</c:v>
                </c:pt>
                <c:pt idx="776">
                  <c:v>6986.6970000000001</c:v>
                </c:pt>
                <c:pt idx="777">
                  <c:v>7448.4040000000005</c:v>
                </c:pt>
                <c:pt idx="778">
                  <c:v>5934.3797999999997</c:v>
                </c:pt>
                <c:pt idx="779">
                  <c:v>9869.8101999999999</c:v>
                </c:pt>
                <c:pt idx="780">
                  <c:v>18259.216</c:v>
                </c:pt>
                <c:pt idx="781">
                  <c:v>1146.7965999999999</c:v>
                </c:pt>
                <c:pt idx="782">
                  <c:v>9386.1612999999998</c:v>
                </c:pt>
                <c:pt idx="783">
                  <c:v>24520.263999999999</c:v>
                </c:pt>
                <c:pt idx="784">
                  <c:v>4350.5144</c:v>
                </c:pt>
                <c:pt idx="785">
                  <c:v>6414.1779999999999</c:v>
                </c:pt>
                <c:pt idx="786">
                  <c:v>12741.1674</c:v>
                </c:pt>
                <c:pt idx="787">
                  <c:v>1917.3184000000001</c:v>
                </c:pt>
                <c:pt idx="788">
                  <c:v>5209.5788000000002</c:v>
                </c:pt>
                <c:pt idx="789">
                  <c:v>13457.960800000001</c:v>
                </c:pt>
                <c:pt idx="790">
                  <c:v>5662.2250000000004</c:v>
                </c:pt>
                <c:pt idx="791">
                  <c:v>1252.4069999999999</c:v>
                </c:pt>
                <c:pt idx="792">
                  <c:v>2731.9122000000002</c:v>
                </c:pt>
                <c:pt idx="793">
                  <c:v>21195.817999999999</c:v>
                </c:pt>
                <c:pt idx="794">
                  <c:v>7209.4917999999998</c:v>
                </c:pt>
                <c:pt idx="795">
                  <c:v>18310.741999999998</c:v>
                </c:pt>
                <c:pt idx="796">
                  <c:v>4266.1657999999998</c:v>
                </c:pt>
                <c:pt idx="797">
                  <c:v>4719.5240000000003</c:v>
                </c:pt>
                <c:pt idx="798">
                  <c:v>11848.141</c:v>
                </c:pt>
                <c:pt idx="799">
                  <c:v>17904.526999999998</c:v>
                </c:pt>
                <c:pt idx="800">
                  <c:v>7046.7222000000002</c:v>
                </c:pt>
                <c:pt idx="801">
                  <c:v>14313.846299999999</c:v>
                </c:pt>
                <c:pt idx="802">
                  <c:v>2103.08</c:v>
                </c:pt>
                <c:pt idx="803">
                  <c:v>38792.685599999997</c:v>
                </c:pt>
                <c:pt idx="804">
                  <c:v>1815.8759</c:v>
                </c:pt>
                <c:pt idx="805">
                  <c:v>7731.8577999999998</c:v>
                </c:pt>
                <c:pt idx="806">
                  <c:v>28476.735000000001</c:v>
                </c:pt>
                <c:pt idx="807">
                  <c:v>2136.8822</c:v>
                </c:pt>
                <c:pt idx="808">
                  <c:v>1131.5065999999999</c:v>
                </c:pt>
                <c:pt idx="809">
                  <c:v>3309.7926000000002</c:v>
                </c:pt>
                <c:pt idx="810">
                  <c:v>9414.92</c:v>
                </c:pt>
                <c:pt idx="811">
                  <c:v>6360.9935999999998</c:v>
                </c:pt>
                <c:pt idx="812">
                  <c:v>11013.7119</c:v>
                </c:pt>
                <c:pt idx="813">
                  <c:v>4428.8878000000004</c:v>
                </c:pt>
                <c:pt idx="814">
                  <c:v>5584.3056999999999</c:v>
                </c:pt>
                <c:pt idx="815">
                  <c:v>1877.9294</c:v>
                </c:pt>
                <c:pt idx="816">
                  <c:v>2842.7608</c:v>
                </c:pt>
                <c:pt idx="817">
                  <c:v>3597.596</c:v>
                </c:pt>
                <c:pt idx="818">
                  <c:v>23401.305799999998</c:v>
                </c:pt>
                <c:pt idx="819">
                  <c:v>55135.402099999999</c:v>
                </c:pt>
                <c:pt idx="820">
                  <c:v>7445.9179999999997</c:v>
                </c:pt>
                <c:pt idx="821">
                  <c:v>2680.9493000000002</c:v>
                </c:pt>
                <c:pt idx="822">
                  <c:v>1621.8827000000001</c:v>
                </c:pt>
                <c:pt idx="823">
                  <c:v>8219.2039000000004</c:v>
                </c:pt>
                <c:pt idx="824">
                  <c:v>12523.604799999999</c:v>
                </c:pt>
                <c:pt idx="825">
                  <c:v>16069.084800000001</c:v>
                </c:pt>
                <c:pt idx="826">
                  <c:v>43813.866099999999</c:v>
                </c:pt>
                <c:pt idx="827">
                  <c:v>20773.627799999998</c:v>
                </c:pt>
                <c:pt idx="828">
                  <c:v>39597.407200000001</c:v>
                </c:pt>
                <c:pt idx="829">
                  <c:v>6117.4944999999998</c:v>
                </c:pt>
                <c:pt idx="830">
                  <c:v>13393.755999999999</c:v>
                </c:pt>
                <c:pt idx="831">
                  <c:v>5266.3656000000001</c:v>
                </c:pt>
                <c:pt idx="832">
                  <c:v>4719.7366000000002</c:v>
                </c:pt>
                <c:pt idx="833">
                  <c:v>11743.9341</c:v>
                </c:pt>
                <c:pt idx="834">
                  <c:v>5377.4578000000001</c:v>
                </c:pt>
                <c:pt idx="835">
                  <c:v>7160.3302999999996</c:v>
                </c:pt>
                <c:pt idx="836">
                  <c:v>4402.2330000000002</c:v>
                </c:pt>
                <c:pt idx="837">
                  <c:v>11657.7189</c:v>
                </c:pt>
                <c:pt idx="838">
                  <c:v>6402.2914000000001</c:v>
                </c:pt>
                <c:pt idx="839">
                  <c:v>12622.1795</c:v>
                </c:pt>
                <c:pt idx="840">
                  <c:v>1526.3119999999999</c:v>
                </c:pt>
                <c:pt idx="841">
                  <c:v>12323.936</c:v>
                </c:pt>
                <c:pt idx="842">
                  <c:v>36021.011200000001</c:v>
                </c:pt>
                <c:pt idx="843">
                  <c:v>27533.912899999999</c:v>
                </c:pt>
                <c:pt idx="844">
                  <c:v>10072.055</c:v>
                </c:pt>
                <c:pt idx="845">
                  <c:v>45008.955499999996</c:v>
                </c:pt>
                <c:pt idx="846">
                  <c:v>9872.7009999999991</c:v>
                </c:pt>
                <c:pt idx="847">
                  <c:v>2438.0551999999998</c:v>
                </c:pt>
                <c:pt idx="848">
                  <c:v>2974.1260000000002</c:v>
                </c:pt>
                <c:pt idx="849">
                  <c:v>10601.6322</c:v>
                </c:pt>
                <c:pt idx="850">
                  <c:v>37270.1512</c:v>
                </c:pt>
                <c:pt idx="851">
                  <c:v>14119.62</c:v>
                </c:pt>
                <c:pt idx="852">
                  <c:v>42111.664700000001</c:v>
                </c:pt>
                <c:pt idx="853">
                  <c:v>11729.6795</c:v>
                </c:pt>
                <c:pt idx="854">
                  <c:v>24106.9126</c:v>
                </c:pt>
                <c:pt idx="855">
                  <c:v>1875.3440000000001</c:v>
                </c:pt>
                <c:pt idx="856">
                  <c:v>40974.164900000003</c:v>
                </c:pt>
                <c:pt idx="857">
                  <c:v>15817.985699999999</c:v>
                </c:pt>
                <c:pt idx="858">
                  <c:v>18218.161400000001</c:v>
                </c:pt>
                <c:pt idx="859">
                  <c:v>10965.446</c:v>
                </c:pt>
                <c:pt idx="860">
                  <c:v>46113.510999999999</c:v>
                </c:pt>
                <c:pt idx="861">
                  <c:v>7151.0919999999996</c:v>
                </c:pt>
                <c:pt idx="862">
                  <c:v>12269.688599999999</c:v>
                </c:pt>
                <c:pt idx="863">
                  <c:v>5458.0464000000002</c:v>
                </c:pt>
                <c:pt idx="864">
                  <c:v>8782.4689999999991</c:v>
                </c:pt>
                <c:pt idx="865">
                  <c:v>6600.3609999999999</c:v>
                </c:pt>
                <c:pt idx="866">
                  <c:v>1141.4450999999999</c:v>
                </c:pt>
                <c:pt idx="867">
                  <c:v>11576.13</c:v>
                </c:pt>
                <c:pt idx="868">
                  <c:v>13129.6034</c:v>
                </c:pt>
                <c:pt idx="869">
                  <c:v>4391.652</c:v>
                </c:pt>
                <c:pt idx="870">
                  <c:v>8457.8179999999993</c:v>
                </c:pt>
                <c:pt idx="871">
                  <c:v>3392.3652000000002</c:v>
                </c:pt>
                <c:pt idx="872">
                  <c:v>5966.8873999999996</c:v>
                </c:pt>
                <c:pt idx="873">
                  <c:v>6849.0259999999998</c:v>
                </c:pt>
                <c:pt idx="874">
                  <c:v>8891.1394999999993</c:v>
                </c:pt>
                <c:pt idx="875">
                  <c:v>2690.1138000000001</c:v>
                </c:pt>
                <c:pt idx="876">
                  <c:v>26140.3603</c:v>
                </c:pt>
                <c:pt idx="877">
                  <c:v>6653.7885999999999</c:v>
                </c:pt>
                <c:pt idx="878">
                  <c:v>6282.2349999999997</c:v>
                </c:pt>
                <c:pt idx="879">
                  <c:v>6311.9520000000002</c:v>
                </c:pt>
                <c:pt idx="880">
                  <c:v>3443.0639999999999</c:v>
                </c:pt>
                <c:pt idx="881">
                  <c:v>2789.0574000000001</c:v>
                </c:pt>
                <c:pt idx="882">
                  <c:v>2585.8506000000002</c:v>
                </c:pt>
                <c:pt idx="883">
                  <c:v>46255.112500000003</c:v>
                </c:pt>
                <c:pt idx="884">
                  <c:v>4877.9809999999998</c:v>
                </c:pt>
                <c:pt idx="885">
                  <c:v>19719.6947</c:v>
                </c:pt>
                <c:pt idx="886">
                  <c:v>27218.4372</c:v>
                </c:pt>
                <c:pt idx="887">
                  <c:v>5272.1758</c:v>
                </c:pt>
                <c:pt idx="888">
                  <c:v>1682.597</c:v>
                </c:pt>
                <c:pt idx="889">
                  <c:v>11945.1327</c:v>
                </c:pt>
                <c:pt idx="890">
                  <c:v>29330.983199999999</c:v>
                </c:pt>
                <c:pt idx="891">
                  <c:v>7243.8136000000004</c:v>
                </c:pt>
                <c:pt idx="892">
                  <c:v>10422.9166</c:v>
                </c:pt>
                <c:pt idx="893">
                  <c:v>44202.653599999998</c:v>
                </c:pt>
                <c:pt idx="894">
                  <c:v>13555.0049</c:v>
                </c:pt>
                <c:pt idx="895">
                  <c:v>13063.883</c:v>
                </c:pt>
                <c:pt idx="896">
                  <c:v>19798.054599999999</c:v>
                </c:pt>
                <c:pt idx="897">
                  <c:v>2221.5644000000002</c:v>
                </c:pt>
                <c:pt idx="898">
                  <c:v>1634.5734</c:v>
                </c:pt>
                <c:pt idx="899">
                  <c:v>2117.3388</c:v>
                </c:pt>
                <c:pt idx="900">
                  <c:v>8688.8588</c:v>
                </c:pt>
                <c:pt idx="901">
                  <c:v>48673.558799999999</c:v>
                </c:pt>
                <c:pt idx="902">
                  <c:v>4661.2864</c:v>
                </c:pt>
                <c:pt idx="903">
                  <c:v>8125.7844999999998</c:v>
                </c:pt>
                <c:pt idx="904">
                  <c:v>12644.589</c:v>
                </c:pt>
                <c:pt idx="905">
                  <c:v>4564.1913999999997</c:v>
                </c:pt>
                <c:pt idx="906">
                  <c:v>4846.9201999999996</c:v>
                </c:pt>
                <c:pt idx="907">
                  <c:v>7633.7205999999996</c:v>
                </c:pt>
                <c:pt idx="908">
                  <c:v>15170.069</c:v>
                </c:pt>
                <c:pt idx="909">
                  <c:v>17496.306</c:v>
                </c:pt>
                <c:pt idx="910">
                  <c:v>2639.0428999999999</c:v>
                </c:pt>
                <c:pt idx="911">
                  <c:v>33732.686699999998</c:v>
                </c:pt>
                <c:pt idx="912">
                  <c:v>14382.709000000001</c:v>
                </c:pt>
                <c:pt idx="913">
                  <c:v>7626.9930000000004</c:v>
                </c:pt>
                <c:pt idx="914">
                  <c:v>5257.5079999999998</c:v>
                </c:pt>
                <c:pt idx="915">
                  <c:v>2473.3341</c:v>
                </c:pt>
                <c:pt idx="916">
                  <c:v>21774.322199999999</c:v>
                </c:pt>
                <c:pt idx="917">
                  <c:v>35069.374499999998</c:v>
                </c:pt>
                <c:pt idx="918">
                  <c:v>13041.921</c:v>
                </c:pt>
                <c:pt idx="919">
                  <c:v>5245.2268999999997</c:v>
                </c:pt>
                <c:pt idx="920">
                  <c:v>13451.121999999999</c:v>
                </c:pt>
                <c:pt idx="921">
                  <c:v>13462.52</c:v>
                </c:pt>
                <c:pt idx="922">
                  <c:v>5488.2619999999997</c:v>
                </c:pt>
                <c:pt idx="923">
                  <c:v>4320.4107999999997</c:v>
                </c:pt>
                <c:pt idx="924">
                  <c:v>6250.4350000000004</c:v>
                </c:pt>
                <c:pt idx="925">
                  <c:v>25333.3328</c:v>
                </c:pt>
                <c:pt idx="926">
                  <c:v>2913.569</c:v>
                </c:pt>
                <c:pt idx="927">
                  <c:v>12032.325999999999</c:v>
                </c:pt>
                <c:pt idx="928">
                  <c:v>13470.804400000001</c:v>
                </c:pt>
                <c:pt idx="929">
                  <c:v>6289.7548999999999</c:v>
                </c:pt>
                <c:pt idx="930">
                  <c:v>2927.0646999999999</c:v>
                </c:pt>
                <c:pt idx="931">
                  <c:v>6238.2979999999998</c:v>
                </c:pt>
                <c:pt idx="932">
                  <c:v>10096.969999999999</c:v>
                </c:pt>
                <c:pt idx="933">
                  <c:v>7348.1419999999998</c:v>
                </c:pt>
                <c:pt idx="934">
                  <c:v>4673.3922000000002</c:v>
                </c:pt>
                <c:pt idx="935">
                  <c:v>12233.828</c:v>
                </c:pt>
                <c:pt idx="936">
                  <c:v>32108.662799999998</c:v>
                </c:pt>
                <c:pt idx="937">
                  <c:v>8965.7957999999999</c:v>
                </c:pt>
                <c:pt idx="938">
                  <c:v>2304.0021999999999</c:v>
                </c:pt>
                <c:pt idx="939">
                  <c:v>9487.6442000000006</c:v>
                </c:pt>
                <c:pt idx="940">
                  <c:v>1121.8739</c:v>
                </c:pt>
                <c:pt idx="941">
                  <c:v>9549.5650999999998</c:v>
                </c:pt>
                <c:pt idx="942">
                  <c:v>2217.4692</c:v>
                </c:pt>
                <c:pt idx="943">
                  <c:v>1628.4709</c:v>
                </c:pt>
                <c:pt idx="944">
                  <c:v>12982.8747</c:v>
                </c:pt>
                <c:pt idx="945">
                  <c:v>11674.13</c:v>
                </c:pt>
                <c:pt idx="946">
                  <c:v>7160.0940000000001</c:v>
                </c:pt>
                <c:pt idx="947">
                  <c:v>39047.285000000003</c:v>
                </c:pt>
                <c:pt idx="948">
                  <c:v>6358.7763999999997</c:v>
                </c:pt>
                <c:pt idx="949">
                  <c:v>19933.457999999999</c:v>
                </c:pt>
                <c:pt idx="950">
                  <c:v>11534.872600000001</c:v>
                </c:pt>
                <c:pt idx="951">
                  <c:v>47462.894</c:v>
                </c:pt>
                <c:pt idx="952">
                  <c:v>4527.183</c:v>
                </c:pt>
                <c:pt idx="953">
                  <c:v>38998.546000000002</c:v>
                </c:pt>
                <c:pt idx="954">
                  <c:v>20009.633600000001</c:v>
                </c:pt>
                <c:pt idx="955">
                  <c:v>3875.7341000000001</c:v>
                </c:pt>
                <c:pt idx="956">
                  <c:v>41999.519999999997</c:v>
                </c:pt>
                <c:pt idx="957">
                  <c:v>12609.887000000001</c:v>
                </c:pt>
                <c:pt idx="958">
                  <c:v>41034.221400000002</c:v>
                </c:pt>
                <c:pt idx="959">
                  <c:v>28468.919000000002</c:v>
                </c:pt>
                <c:pt idx="960">
                  <c:v>2730.1078000000002</c:v>
                </c:pt>
                <c:pt idx="961">
                  <c:v>3353.2840000000001</c:v>
                </c:pt>
                <c:pt idx="962">
                  <c:v>14474.674999999999</c:v>
                </c:pt>
                <c:pt idx="963">
                  <c:v>9500.5730000000003</c:v>
                </c:pt>
                <c:pt idx="964">
                  <c:v>26467.097399999999</c:v>
                </c:pt>
                <c:pt idx="965">
                  <c:v>4746.3440000000001</c:v>
                </c:pt>
                <c:pt idx="966">
                  <c:v>23967.383000000002</c:v>
                </c:pt>
                <c:pt idx="967">
                  <c:v>7518.0254000000004</c:v>
                </c:pt>
                <c:pt idx="968">
                  <c:v>3279.8685999999998</c:v>
                </c:pt>
                <c:pt idx="969">
                  <c:v>8596.8277999999991</c:v>
                </c:pt>
                <c:pt idx="970">
                  <c:v>10702.642400000001</c:v>
                </c:pt>
                <c:pt idx="971">
                  <c:v>4992.3764000000001</c:v>
                </c:pt>
                <c:pt idx="972">
                  <c:v>2527.8186000000001</c:v>
                </c:pt>
                <c:pt idx="973">
                  <c:v>1759.338</c:v>
                </c:pt>
                <c:pt idx="974">
                  <c:v>2322.6217999999999</c:v>
                </c:pt>
                <c:pt idx="975">
                  <c:v>16138.762000000001</c:v>
                </c:pt>
                <c:pt idx="976">
                  <c:v>7804.1605</c:v>
                </c:pt>
                <c:pt idx="977">
                  <c:v>2902.9065000000001</c:v>
                </c:pt>
                <c:pt idx="978">
                  <c:v>9704.6679999999997</c:v>
                </c:pt>
                <c:pt idx="979">
                  <c:v>4889.0367999999999</c:v>
                </c:pt>
                <c:pt idx="980">
                  <c:v>25517.113600000001</c:v>
                </c:pt>
                <c:pt idx="981">
                  <c:v>4500.3392000000003</c:v>
                </c:pt>
                <c:pt idx="982">
                  <c:v>19199.944</c:v>
                </c:pt>
                <c:pt idx="983">
                  <c:v>16796.411899999999</c:v>
                </c:pt>
                <c:pt idx="984">
                  <c:v>4915.0598</c:v>
                </c:pt>
                <c:pt idx="985">
                  <c:v>7624.63</c:v>
                </c:pt>
                <c:pt idx="986">
                  <c:v>8410.0468000000001</c:v>
                </c:pt>
                <c:pt idx="987">
                  <c:v>28340.1888</c:v>
                </c:pt>
                <c:pt idx="988">
                  <c:v>4518.8262000000004</c:v>
                </c:pt>
                <c:pt idx="989">
                  <c:v>14571.890799999999</c:v>
                </c:pt>
                <c:pt idx="990">
                  <c:v>3378.91</c:v>
                </c:pt>
                <c:pt idx="991">
                  <c:v>7144.8626000000004</c:v>
                </c:pt>
                <c:pt idx="992">
                  <c:v>10118.424000000001</c:v>
                </c:pt>
                <c:pt idx="993">
                  <c:v>5484.4673000000003</c:v>
                </c:pt>
                <c:pt idx="994">
                  <c:v>16420.494600000002</c:v>
                </c:pt>
                <c:pt idx="995">
                  <c:v>7986.4751999999999</c:v>
                </c:pt>
                <c:pt idx="996">
                  <c:v>7418.5219999999999</c:v>
                </c:pt>
                <c:pt idx="997">
                  <c:v>13887.968500000001</c:v>
                </c:pt>
                <c:pt idx="998">
                  <c:v>6551.7501000000002</c:v>
                </c:pt>
                <c:pt idx="999">
                  <c:v>5267.8181999999997</c:v>
                </c:pt>
                <c:pt idx="1000">
                  <c:v>17361.766100000001</c:v>
                </c:pt>
                <c:pt idx="1001">
                  <c:v>34472.841</c:v>
                </c:pt>
                <c:pt idx="1002">
                  <c:v>1972.95</c:v>
                </c:pt>
                <c:pt idx="1003">
                  <c:v>21232.1823</c:v>
                </c:pt>
                <c:pt idx="1004">
                  <c:v>8627.5411000000004</c:v>
                </c:pt>
                <c:pt idx="1005">
                  <c:v>4433.3877000000002</c:v>
                </c:pt>
                <c:pt idx="1006">
                  <c:v>4438.2633999999998</c:v>
                </c:pt>
                <c:pt idx="1007">
                  <c:v>24915.220799999999</c:v>
                </c:pt>
                <c:pt idx="1008">
                  <c:v>23241.4745</c:v>
                </c:pt>
                <c:pt idx="1009">
                  <c:v>9957.7216000000008</c:v>
                </c:pt>
                <c:pt idx="1010">
                  <c:v>8269.0439999999999</c:v>
                </c:pt>
                <c:pt idx="1011">
                  <c:v>18767.737700000001</c:v>
                </c:pt>
                <c:pt idx="1012">
                  <c:v>36580.282200000001</c:v>
                </c:pt>
                <c:pt idx="1013">
                  <c:v>8765.2489999999998</c:v>
                </c:pt>
                <c:pt idx="1014">
                  <c:v>5383.5360000000001</c:v>
                </c:pt>
                <c:pt idx="1015">
                  <c:v>12124.992399999999</c:v>
                </c:pt>
                <c:pt idx="1016">
                  <c:v>2709.2440000000001</c:v>
                </c:pt>
                <c:pt idx="1017">
                  <c:v>3987.9259999999999</c:v>
                </c:pt>
                <c:pt idx="1018">
                  <c:v>12495.290800000001</c:v>
                </c:pt>
                <c:pt idx="1019">
                  <c:v>26018.950499999999</c:v>
                </c:pt>
                <c:pt idx="1020">
                  <c:v>8798.5930000000008</c:v>
                </c:pt>
                <c:pt idx="1021">
                  <c:v>35595.589800000002</c:v>
                </c:pt>
                <c:pt idx="1022">
                  <c:v>42211.138200000001</c:v>
                </c:pt>
                <c:pt idx="1023">
                  <c:v>1711.0268000000001</c:v>
                </c:pt>
                <c:pt idx="1024">
                  <c:v>8569.8618000000006</c:v>
                </c:pt>
                <c:pt idx="1025">
                  <c:v>2020.1769999999999</c:v>
                </c:pt>
                <c:pt idx="1026">
                  <c:v>16450.894700000001</c:v>
                </c:pt>
                <c:pt idx="1027">
                  <c:v>21595.382300000001</c:v>
                </c:pt>
                <c:pt idx="1028">
                  <c:v>9850.4320000000007</c:v>
                </c:pt>
                <c:pt idx="1029">
                  <c:v>6877.9800999999998</c:v>
                </c:pt>
                <c:pt idx="1030">
                  <c:v>21677.2834</c:v>
                </c:pt>
                <c:pt idx="1031">
                  <c:v>44423.803</c:v>
                </c:pt>
                <c:pt idx="1032">
                  <c:v>4137.5227000000004</c:v>
                </c:pt>
                <c:pt idx="1033">
                  <c:v>13747.8724</c:v>
                </c:pt>
                <c:pt idx="1034">
                  <c:v>12950.0712</c:v>
                </c:pt>
                <c:pt idx="1035">
                  <c:v>12094.477999999999</c:v>
                </c:pt>
                <c:pt idx="1036">
                  <c:v>37484.4493</c:v>
                </c:pt>
                <c:pt idx="1037">
                  <c:v>39725.517999999996</c:v>
                </c:pt>
                <c:pt idx="1038">
                  <c:v>2250.8352</c:v>
                </c:pt>
                <c:pt idx="1039">
                  <c:v>22493.659599999999</c:v>
                </c:pt>
                <c:pt idx="1040">
                  <c:v>20234.854800000001</c:v>
                </c:pt>
                <c:pt idx="1041">
                  <c:v>1704.7002</c:v>
                </c:pt>
                <c:pt idx="1042">
                  <c:v>33475.817199999998</c:v>
                </c:pt>
                <c:pt idx="1043">
                  <c:v>3161.4540000000002</c:v>
                </c:pt>
                <c:pt idx="1044">
                  <c:v>11394.0656</c:v>
                </c:pt>
                <c:pt idx="1045">
                  <c:v>21880.82</c:v>
                </c:pt>
                <c:pt idx="1046">
                  <c:v>7325.0482000000002</c:v>
                </c:pt>
                <c:pt idx="1047">
                  <c:v>44501.398200000003</c:v>
                </c:pt>
                <c:pt idx="1048">
                  <c:v>3594.1707999999999</c:v>
                </c:pt>
                <c:pt idx="1049">
                  <c:v>39727.614000000001</c:v>
                </c:pt>
                <c:pt idx="1050">
                  <c:v>8023.1354000000001</c:v>
                </c:pt>
                <c:pt idx="1051">
                  <c:v>14394.5579</c:v>
                </c:pt>
                <c:pt idx="1052">
                  <c:v>9288.0267000000003</c:v>
                </c:pt>
                <c:pt idx="1053">
                  <c:v>25309.489000000001</c:v>
                </c:pt>
                <c:pt idx="1054">
                  <c:v>3353.4703</c:v>
                </c:pt>
                <c:pt idx="1055">
                  <c:v>10594.5016</c:v>
                </c:pt>
                <c:pt idx="1056">
                  <c:v>8277.5229999999992</c:v>
                </c:pt>
                <c:pt idx="1057">
                  <c:v>17929.303400000001</c:v>
                </c:pt>
                <c:pt idx="1058">
                  <c:v>2480.9791</c:v>
                </c:pt>
                <c:pt idx="1059">
                  <c:v>4462.7218000000003</c:v>
                </c:pt>
                <c:pt idx="1060">
                  <c:v>1981.5818999999999</c:v>
                </c:pt>
                <c:pt idx="1061">
                  <c:v>11554.223599999999</c:v>
                </c:pt>
                <c:pt idx="1062">
                  <c:v>48970.247600000002</c:v>
                </c:pt>
                <c:pt idx="1063">
                  <c:v>6548.1949999999997</c:v>
                </c:pt>
                <c:pt idx="1064">
                  <c:v>5708.8670000000002</c:v>
                </c:pt>
                <c:pt idx="1065">
                  <c:v>7045.4989999999998</c:v>
                </c:pt>
                <c:pt idx="1066">
                  <c:v>8978.1851000000006</c:v>
                </c:pt>
                <c:pt idx="1067">
                  <c:v>5757.4134000000004</c:v>
                </c:pt>
                <c:pt idx="1068">
                  <c:v>14349.8544</c:v>
                </c:pt>
                <c:pt idx="1069">
                  <c:v>10928.849</c:v>
                </c:pt>
                <c:pt idx="1070">
                  <c:v>39871.704299999998</c:v>
                </c:pt>
                <c:pt idx="1071">
                  <c:v>13974.455599999999</c:v>
                </c:pt>
                <c:pt idx="1072">
                  <c:v>1909.5273999999999</c:v>
                </c:pt>
                <c:pt idx="1073">
                  <c:v>12096.6512</c:v>
                </c:pt>
                <c:pt idx="1074">
                  <c:v>13204.285599999999</c:v>
                </c:pt>
                <c:pt idx="1075">
                  <c:v>4562.8420999999998</c:v>
                </c:pt>
                <c:pt idx="1076">
                  <c:v>8551.3469999999998</c:v>
                </c:pt>
                <c:pt idx="1077">
                  <c:v>2102.2647000000002</c:v>
                </c:pt>
                <c:pt idx="1078">
                  <c:v>34672.147199999999</c:v>
                </c:pt>
                <c:pt idx="1079">
                  <c:v>15161.5344</c:v>
                </c:pt>
                <c:pt idx="1080">
                  <c:v>11884.0486</c:v>
                </c:pt>
                <c:pt idx="1081">
                  <c:v>4454.4026000000003</c:v>
                </c:pt>
                <c:pt idx="1082">
                  <c:v>5855.9025000000001</c:v>
                </c:pt>
                <c:pt idx="1083">
                  <c:v>4076.4969999999998</c:v>
                </c:pt>
                <c:pt idx="1084">
                  <c:v>15019.76</c:v>
                </c:pt>
                <c:pt idx="1085">
                  <c:v>19023.259999999998</c:v>
                </c:pt>
                <c:pt idx="1086">
                  <c:v>10796.350200000001</c:v>
                </c:pt>
                <c:pt idx="1087">
                  <c:v>11353.2276</c:v>
                </c:pt>
                <c:pt idx="1088">
                  <c:v>9748.9105999999992</c:v>
                </c:pt>
                <c:pt idx="1089">
                  <c:v>10577.087</c:v>
                </c:pt>
                <c:pt idx="1090">
                  <c:v>41676.081100000003</c:v>
                </c:pt>
                <c:pt idx="1091">
                  <c:v>11286.538699999999</c:v>
                </c:pt>
                <c:pt idx="1092">
                  <c:v>3591.48</c:v>
                </c:pt>
                <c:pt idx="1093">
                  <c:v>33907.548000000003</c:v>
                </c:pt>
                <c:pt idx="1094">
                  <c:v>11299.343000000001</c:v>
                </c:pt>
                <c:pt idx="1095">
                  <c:v>4561.1885000000002</c:v>
                </c:pt>
                <c:pt idx="1096">
                  <c:v>44641.197399999997</c:v>
                </c:pt>
                <c:pt idx="1097">
                  <c:v>1674.6323</c:v>
                </c:pt>
                <c:pt idx="1098">
                  <c:v>23045.566200000001</c:v>
                </c:pt>
                <c:pt idx="1099">
                  <c:v>3227.1210999999998</c:v>
                </c:pt>
                <c:pt idx="1100">
                  <c:v>16776.304</c:v>
                </c:pt>
                <c:pt idx="1101">
                  <c:v>11253.421</c:v>
                </c:pt>
                <c:pt idx="1102">
                  <c:v>3471.4096</c:v>
                </c:pt>
                <c:pt idx="1103">
                  <c:v>11363.2832</c:v>
                </c:pt>
                <c:pt idx="1104">
                  <c:v>20420.604599999999</c:v>
                </c:pt>
                <c:pt idx="1105">
                  <c:v>10338.9316</c:v>
                </c:pt>
                <c:pt idx="1106">
                  <c:v>8988.1587999999992</c:v>
                </c:pt>
                <c:pt idx="1107">
                  <c:v>10493.9458</c:v>
                </c:pt>
                <c:pt idx="1108">
                  <c:v>2904.0880000000002</c:v>
                </c:pt>
                <c:pt idx="1109">
                  <c:v>8605.3615000000009</c:v>
                </c:pt>
                <c:pt idx="1110">
                  <c:v>11512.405000000001</c:v>
                </c:pt>
                <c:pt idx="1111">
                  <c:v>41949.244100000004</c:v>
                </c:pt>
                <c:pt idx="1112">
                  <c:v>24180.933499999999</c:v>
                </c:pt>
                <c:pt idx="1113">
                  <c:v>5312.1697999999997</c:v>
                </c:pt>
                <c:pt idx="1114">
                  <c:v>2396.0958999999998</c:v>
                </c:pt>
                <c:pt idx="1115">
                  <c:v>10807.4863</c:v>
                </c:pt>
                <c:pt idx="1116">
                  <c:v>9222.4025999999994</c:v>
                </c:pt>
                <c:pt idx="1117">
                  <c:v>36124.573700000001</c:v>
                </c:pt>
                <c:pt idx="1118">
                  <c:v>38282.749499999998</c:v>
                </c:pt>
                <c:pt idx="1119">
                  <c:v>5693.4305000000004</c:v>
                </c:pt>
                <c:pt idx="1120">
                  <c:v>34166.273000000001</c:v>
                </c:pt>
                <c:pt idx="1121">
                  <c:v>8347.1643000000004</c:v>
                </c:pt>
                <c:pt idx="1122">
                  <c:v>46661.4424</c:v>
                </c:pt>
                <c:pt idx="1123">
                  <c:v>18903.491399999999</c:v>
                </c:pt>
                <c:pt idx="1124">
                  <c:v>40904.199500000002</c:v>
                </c:pt>
                <c:pt idx="1125">
                  <c:v>14254.608200000001</c:v>
                </c:pt>
                <c:pt idx="1126">
                  <c:v>10214.636</c:v>
                </c:pt>
                <c:pt idx="1127">
                  <c:v>5836.5204000000003</c:v>
                </c:pt>
                <c:pt idx="1128">
                  <c:v>14358.3644</c:v>
                </c:pt>
                <c:pt idx="1129">
                  <c:v>1728.8969999999999</c:v>
                </c:pt>
                <c:pt idx="1130">
                  <c:v>8582.3022999999994</c:v>
                </c:pt>
                <c:pt idx="1131">
                  <c:v>3693.4279999999999</c:v>
                </c:pt>
                <c:pt idx="1132">
                  <c:v>20709.0203</c:v>
                </c:pt>
                <c:pt idx="1133">
                  <c:v>9991.0375999999997</c:v>
                </c:pt>
                <c:pt idx="1134">
                  <c:v>19673.3357</c:v>
                </c:pt>
                <c:pt idx="1135">
                  <c:v>11085.586799999999</c:v>
                </c:pt>
                <c:pt idx="1136">
                  <c:v>7623.518</c:v>
                </c:pt>
                <c:pt idx="1137">
                  <c:v>3176.2876999999999</c:v>
                </c:pt>
                <c:pt idx="1138">
                  <c:v>3704.3544999999999</c:v>
                </c:pt>
                <c:pt idx="1139">
                  <c:v>36898.733099999998</c:v>
                </c:pt>
                <c:pt idx="1140">
                  <c:v>9048.0272999999997</c:v>
                </c:pt>
                <c:pt idx="1141">
                  <c:v>7954.5169999999998</c:v>
                </c:pt>
                <c:pt idx="1142">
                  <c:v>27117.9938</c:v>
                </c:pt>
                <c:pt idx="1143">
                  <c:v>6338.0756000000001</c:v>
                </c:pt>
                <c:pt idx="1144">
                  <c:v>9630.3970000000008</c:v>
                </c:pt>
                <c:pt idx="1145">
                  <c:v>11289.109200000001</c:v>
                </c:pt>
                <c:pt idx="1146">
                  <c:v>52590.829400000002</c:v>
                </c:pt>
                <c:pt idx="1147">
                  <c:v>2261.5688</c:v>
                </c:pt>
                <c:pt idx="1148">
                  <c:v>10791.96</c:v>
                </c:pt>
                <c:pt idx="1149">
                  <c:v>5979.7309999999998</c:v>
                </c:pt>
                <c:pt idx="1150">
                  <c:v>2203.7359999999999</c:v>
                </c:pt>
                <c:pt idx="1151">
                  <c:v>12235.8392</c:v>
                </c:pt>
                <c:pt idx="1152">
                  <c:v>40941.285400000001</c:v>
                </c:pt>
                <c:pt idx="1153">
                  <c:v>5630.4578000000001</c:v>
                </c:pt>
                <c:pt idx="1154">
                  <c:v>11015.1747</c:v>
                </c:pt>
                <c:pt idx="1155">
                  <c:v>7228.2156000000004</c:v>
                </c:pt>
                <c:pt idx="1156">
                  <c:v>39722.746200000001</c:v>
                </c:pt>
                <c:pt idx="1157">
                  <c:v>14426.0738</c:v>
                </c:pt>
                <c:pt idx="1158">
                  <c:v>2459.7201</c:v>
                </c:pt>
                <c:pt idx="1159">
                  <c:v>3989.8409999999999</c:v>
                </c:pt>
                <c:pt idx="1160">
                  <c:v>7727.2532000000001</c:v>
                </c:pt>
                <c:pt idx="1161">
                  <c:v>5124.1886999999997</c:v>
                </c:pt>
                <c:pt idx="1162">
                  <c:v>18963.171900000001</c:v>
                </c:pt>
                <c:pt idx="1163">
                  <c:v>2200.8308000000002</c:v>
                </c:pt>
                <c:pt idx="1164">
                  <c:v>7153.5538999999999</c:v>
                </c:pt>
                <c:pt idx="1165">
                  <c:v>5227.9888000000001</c:v>
                </c:pt>
                <c:pt idx="1166">
                  <c:v>10982.5013</c:v>
                </c:pt>
                <c:pt idx="1167">
                  <c:v>4529.4769999999999</c:v>
                </c:pt>
                <c:pt idx="1168">
                  <c:v>4670.6400000000003</c:v>
                </c:pt>
                <c:pt idx="1169">
                  <c:v>6112.3530000000001</c:v>
                </c:pt>
                <c:pt idx="1170">
                  <c:v>17178.682400000002</c:v>
                </c:pt>
                <c:pt idx="1171">
                  <c:v>22478.6</c:v>
                </c:pt>
                <c:pt idx="1172">
                  <c:v>11093.6229</c:v>
                </c:pt>
                <c:pt idx="1173">
                  <c:v>6457.8433999999997</c:v>
                </c:pt>
                <c:pt idx="1174">
                  <c:v>4433.9159</c:v>
                </c:pt>
                <c:pt idx="1175">
                  <c:v>2154.3609999999999</c:v>
                </c:pt>
                <c:pt idx="1176">
                  <c:v>23887.662700000001</c:v>
                </c:pt>
                <c:pt idx="1177">
                  <c:v>6496.8860000000004</c:v>
                </c:pt>
                <c:pt idx="1178">
                  <c:v>2899.4893999999999</c:v>
                </c:pt>
                <c:pt idx="1179">
                  <c:v>19350.368900000001</c:v>
                </c:pt>
                <c:pt idx="1180">
                  <c:v>7650.7737999999999</c:v>
                </c:pt>
                <c:pt idx="1181">
                  <c:v>2850.6837999999998</c:v>
                </c:pt>
                <c:pt idx="1182">
                  <c:v>2632.9920000000002</c:v>
                </c:pt>
                <c:pt idx="1183">
                  <c:v>9447.3824000000004</c:v>
                </c:pt>
                <c:pt idx="1184">
                  <c:v>18328.238099999999</c:v>
                </c:pt>
                <c:pt idx="1185">
                  <c:v>8603.8233999999993</c:v>
                </c:pt>
                <c:pt idx="1186">
                  <c:v>37465.343800000002</c:v>
                </c:pt>
                <c:pt idx="1187">
                  <c:v>13844.797200000001</c:v>
                </c:pt>
                <c:pt idx="1188">
                  <c:v>21771.3423</c:v>
                </c:pt>
                <c:pt idx="1189">
                  <c:v>13126.6774</c:v>
                </c:pt>
                <c:pt idx="1190">
                  <c:v>5327.4002</c:v>
                </c:pt>
                <c:pt idx="1191">
                  <c:v>13725.471799999999</c:v>
                </c:pt>
                <c:pt idx="1192">
                  <c:v>13019.161</c:v>
                </c:pt>
                <c:pt idx="1193">
                  <c:v>8671.1911999999993</c:v>
                </c:pt>
                <c:pt idx="1194">
                  <c:v>4134.0824000000002</c:v>
                </c:pt>
                <c:pt idx="1195">
                  <c:v>18838.703699999998</c:v>
                </c:pt>
                <c:pt idx="1196">
                  <c:v>33307.550799999997</c:v>
                </c:pt>
                <c:pt idx="1197">
                  <c:v>5699.8374999999996</c:v>
                </c:pt>
                <c:pt idx="1198">
                  <c:v>6393.6034</c:v>
                </c:pt>
                <c:pt idx="1199">
                  <c:v>4934.7049999999999</c:v>
                </c:pt>
                <c:pt idx="1200">
                  <c:v>6198.7518</c:v>
                </c:pt>
                <c:pt idx="1201">
                  <c:v>8733.2291999999998</c:v>
                </c:pt>
                <c:pt idx="1202">
                  <c:v>2055.3249000000001</c:v>
                </c:pt>
                <c:pt idx="1203">
                  <c:v>9964.06</c:v>
                </c:pt>
                <c:pt idx="1204">
                  <c:v>18223.4512</c:v>
                </c:pt>
                <c:pt idx="1205">
                  <c:v>5116.5003999999999</c:v>
                </c:pt>
                <c:pt idx="1206">
                  <c:v>36910.608</c:v>
                </c:pt>
                <c:pt idx="1207">
                  <c:v>38415.474000000002</c:v>
                </c:pt>
                <c:pt idx="1208">
                  <c:v>20296.863399999998</c:v>
                </c:pt>
                <c:pt idx="1209">
                  <c:v>12347.172</c:v>
                </c:pt>
                <c:pt idx="1210">
                  <c:v>5373.3642</c:v>
                </c:pt>
                <c:pt idx="1211">
                  <c:v>23563.016199999998</c:v>
                </c:pt>
                <c:pt idx="1212">
                  <c:v>1702.4553000000001</c:v>
                </c:pt>
                <c:pt idx="1213">
                  <c:v>10806.839</c:v>
                </c:pt>
                <c:pt idx="1214">
                  <c:v>3956.0713999999998</c:v>
                </c:pt>
                <c:pt idx="1215">
                  <c:v>12890.0576</c:v>
                </c:pt>
                <c:pt idx="1216">
                  <c:v>5415.6611999999996</c:v>
                </c:pt>
                <c:pt idx="1217">
                  <c:v>4058.1161000000002</c:v>
                </c:pt>
                <c:pt idx="1218">
                  <c:v>41661.601999999999</c:v>
                </c:pt>
                <c:pt idx="1219">
                  <c:v>7537.1638999999996</c:v>
                </c:pt>
                <c:pt idx="1220">
                  <c:v>4718.2035999999998</c:v>
                </c:pt>
                <c:pt idx="1221">
                  <c:v>6593.5083000000004</c:v>
                </c:pt>
                <c:pt idx="1222">
                  <c:v>8442.6669999999995</c:v>
                </c:pt>
                <c:pt idx="1223">
                  <c:v>26125.674800000001</c:v>
                </c:pt>
                <c:pt idx="1224">
                  <c:v>6858.4795999999997</c:v>
                </c:pt>
                <c:pt idx="1225">
                  <c:v>4795.6567999999997</c:v>
                </c:pt>
                <c:pt idx="1226">
                  <c:v>6640.5447999999997</c:v>
                </c:pt>
                <c:pt idx="1227">
                  <c:v>7162.0122000000001</c:v>
                </c:pt>
                <c:pt idx="1228">
                  <c:v>10594.225700000001</c:v>
                </c:pt>
                <c:pt idx="1229">
                  <c:v>11938.255999999999</c:v>
                </c:pt>
                <c:pt idx="1230">
                  <c:v>60021.398999999998</c:v>
                </c:pt>
                <c:pt idx="1231">
                  <c:v>20167.335999999999</c:v>
                </c:pt>
                <c:pt idx="1232">
                  <c:v>12479.709000000001</c:v>
                </c:pt>
                <c:pt idx="1233">
                  <c:v>11345.519</c:v>
                </c:pt>
                <c:pt idx="1234">
                  <c:v>8515.7587000000003</c:v>
                </c:pt>
                <c:pt idx="1235">
                  <c:v>2699.5684000000001</c:v>
                </c:pt>
                <c:pt idx="1236">
                  <c:v>14449.8544</c:v>
                </c:pt>
                <c:pt idx="1237">
                  <c:v>12224.3508</c:v>
                </c:pt>
                <c:pt idx="1238">
                  <c:v>6985.5069999999996</c:v>
                </c:pt>
                <c:pt idx="1239">
                  <c:v>3238.4357</c:v>
                </c:pt>
                <c:pt idx="1240">
                  <c:v>47269.853999999999</c:v>
                </c:pt>
                <c:pt idx="1241">
                  <c:v>49577.662400000001</c:v>
                </c:pt>
                <c:pt idx="1242">
                  <c:v>4296.2712000000001</c:v>
                </c:pt>
                <c:pt idx="1243">
                  <c:v>3171.6149</c:v>
                </c:pt>
                <c:pt idx="1244">
                  <c:v>1135.9407000000001</c:v>
                </c:pt>
                <c:pt idx="1245">
                  <c:v>5615.3689999999997</c:v>
                </c:pt>
                <c:pt idx="1246">
                  <c:v>9101.7980000000007</c:v>
                </c:pt>
                <c:pt idx="1247">
                  <c:v>6059.1729999999998</c:v>
                </c:pt>
                <c:pt idx="1248">
                  <c:v>1633.9618</c:v>
                </c:pt>
                <c:pt idx="1249">
                  <c:v>37607.527699999999</c:v>
                </c:pt>
                <c:pt idx="1250">
                  <c:v>18648.421699999999</c:v>
                </c:pt>
                <c:pt idx="1251">
                  <c:v>1241.5650000000001</c:v>
                </c:pt>
                <c:pt idx="1252">
                  <c:v>16232.847</c:v>
                </c:pt>
                <c:pt idx="1253">
                  <c:v>15828.8217</c:v>
                </c:pt>
                <c:pt idx="1254">
                  <c:v>4415.1588000000002</c:v>
                </c:pt>
                <c:pt idx="1255">
                  <c:v>6474.0129999999999</c:v>
                </c:pt>
                <c:pt idx="1256">
                  <c:v>11436.7382</c:v>
                </c:pt>
                <c:pt idx="1257">
                  <c:v>11305.934600000001</c:v>
                </c:pt>
                <c:pt idx="1258">
                  <c:v>30063.580600000001</c:v>
                </c:pt>
                <c:pt idx="1259">
                  <c:v>10197.772199999999</c:v>
                </c:pt>
                <c:pt idx="1260">
                  <c:v>4544.2348000000002</c:v>
                </c:pt>
                <c:pt idx="1261">
                  <c:v>3277.1610000000001</c:v>
                </c:pt>
                <c:pt idx="1262">
                  <c:v>6770.1925000000001</c:v>
                </c:pt>
                <c:pt idx="1263">
                  <c:v>7337.7479999999996</c:v>
                </c:pt>
                <c:pt idx="1264">
                  <c:v>10370.9126</c:v>
                </c:pt>
                <c:pt idx="1265">
                  <c:v>26926.5144</c:v>
                </c:pt>
                <c:pt idx="1266">
                  <c:v>10704.47</c:v>
                </c:pt>
                <c:pt idx="1267">
                  <c:v>34254.053399999997</c:v>
                </c:pt>
                <c:pt idx="1268">
                  <c:v>1880.4870000000001</c:v>
                </c:pt>
                <c:pt idx="1269">
                  <c:v>8615.2999999999993</c:v>
                </c:pt>
                <c:pt idx="1270">
                  <c:v>3292.5297999999998</c:v>
                </c:pt>
                <c:pt idx="1271">
                  <c:v>3021.8092000000001</c:v>
                </c:pt>
                <c:pt idx="1272">
                  <c:v>14478.3302</c:v>
                </c:pt>
                <c:pt idx="1273">
                  <c:v>4747.0528999999997</c:v>
                </c:pt>
                <c:pt idx="1274">
                  <c:v>17043.341400000001</c:v>
                </c:pt>
                <c:pt idx="1275">
                  <c:v>10959.33</c:v>
                </c:pt>
                <c:pt idx="1276">
                  <c:v>2741.9479999999999</c:v>
                </c:pt>
                <c:pt idx="1277">
                  <c:v>4357.0436</c:v>
                </c:pt>
                <c:pt idx="1278">
                  <c:v>22462.043799999999</c:v>
                </c:pt>
                <c:pt idx="1279">
                  <c:v>4189.1130999999996</c:v>
                </c:pt>
                <c:pt idx="1280">
                  <c:v>8283.6807000000008</c:v>
                </c:pt>
                <c:pt idx="1281">
                  <c:v>24535.6986</c:v>
                </c:pt>
                <c:pt idx="1282">
                  <c:v>14283.4594</c:v>
                </c:pt>
                <c:pt idx="1283">
                  <c:v>1720.3536999999999</c:v>
                </c:pt>
                <c:pt idx="1284">
                  <c:v>47403.88</c:v>
                </c:pt>
                <c:pt idx="1285">
                  <c:v>8534.6718000000001</c:v>
                </c:pt>
                <c:pt idx="1286">
                  <c:v>3732.6251000000002</c:v>
                </c:pt>
                <c:pt idx="1287">
                  <c:v>5472.4489999999996</c:v>
                </c:pt>
                <c:pt idx="1288">
                  <c:v>38344.565999999999</c:v>
                </c:pt>
                <c:pt idx="1289">
                  <c:v>7147.4727999999996</c:v>
                </c:pt>
                <c:pt idx="1290">
                  <c:v>7133.9025000000001</c:v>
                </c:pt>
                <c:pt idx="1291">
                  <c:v>34828.654000000002</c:v>
                </c:pt>
                <c:pt idx="1292">
                  <c:v>1515.3449000000001</c:v>
                </c:pt>
                <c:pt idx="1293">
                  <c:v>9301.8935999999994</c:v>
                </c:pt>
                <c:pt idx="1294">
                  <c:v>11931.1252</c:v>
                </c:pt>
                <c:pt idx="1295">
                  <c:v>1964.78</c:v>
                </c:pt>
                <c:pt idx="1296">
                  <c:v>1708.9258</c:v>
                </c:pt>
                <c:pt idx="1297">
                  <c:v>4340.4408999999996</c:v>
                </c:pt>
                <c:pt idx="1298">
                  <c:v>5261.4694</c:v>
                </c:pt>
                <c:pt idx="1299">
                  <c:v>2710.8285999999998</c:v>
                </c:pt>
                <c:pt idx="1300">
                  <c:v>62592.873099999997</c:v>
                </c:pt>
                <c:pt idx="1301">
                  <c:v>46718.163200000003</c:v>
                </c:pt>
                <c:pt idx="1302">
                  <c:v>3208.7869999999998</c:v>
                </c:pt>
                <c:pt idx="1303">
                  <c:v>37829.724199999997</c:v>
                </c:pt>
                <c:pt idx="1304">
                  <c:v>21259.378000000001</c:v>
                </c:pt>
                <c:pt idx="1305">
                  <c:v>2464.6188000000002</c:v>
                </c:pt>
                <c:pt idx="1306">
                  <c:v>16115.3045</c:v>
                </c:pt>
                <c:pt idx="1307">
                  <c:v>21472.478800000001</c:v>
                </c:pt>
                <c:pt idx="1308">
                  <c:v>33900.652999999998</c:v>
                </c:pt>
                <c:pt idx="1309">
                  <c:v>6875.9610000000002</c:v>
                </c:pt>
                <c:pt idx="1310">
                  <c:v>6940.9098000000004</c:v>
                </c:pt>
                <c:pt idx="1311">
                  <c:v>4571.4129999999996</c:v>
                </c:pt>
                <c:pt idx="1312">
                  <c:v>4536.259</c:v>
                </c:pt>
                <c:pt idx="1313">
                  <c:v>36397.576000000001</c:v>
                </c:pt>
                <c:pt idx="1314">
                  <c:v>18765.875400000001</c:v>
                </c:pt>
                <c:pt idx="1315">
                  <c:v>11272.331399999999</c:v>
                </c:pt>
                <c:pt idx="1316">
                  <c:v>1731.6769999999999</c:v>
                </c:pt>
                <c:pt idx="1317">
                  <c:v>1163.4627</c:v>
                </c:pt>
                <c:pt idx="1318">
                  <c:v>19496.7192</c:v>
                </c:pt>
                <c:pt idx="1319">
                  <c:v>7201.7007999999996</c:v>
                </c:pt>
                <c:pt idx="1320">
                  <c:v>5425.0234</c:v>
                </c:pt>
                <c:pt idx="1321">
                  <c:v>28101.332999999999</c:v>
                </c:pt>
                <c:pt idx="1322">
                  <c:v>12981.3457</c:v>
                </c:pt>
                <c:pt idx="1323">
                  <c:v>43896.376300000004</c:v>
                </c:pt>
                <c:pt idx="1324">
                  <c:v>4239.8926000000001</c:v>
                </c:pt>
                <c:pt idx="1325">
                  <c:v>13143.336600000001</c:v>
                </c:pt>
                <c:pt idx="1326">
                  <c:v>7050.0213000000003</c:v>
                </c:pt>
                <c:pt idx="1327">
                  <c:v>9377.9046999999991</c:v>
                </c:pt>
                <c:pt idx="1328">
                  <c:v>22395.744200000001</c:v>
                </c:pt>
                <c:pt idx="1329">
                  <c:v>10325.206</c:v>
                </c:pt>
                <c:pt idx="1330">
                  <c:v>12629.1656</c:v>
                </c:pt>
                <c:pt idx="1331">
                  <c:v>10795.9373</c:v>
                </c:pt>
                <c:pt idx="1332">
                  <c:v>11411.684999999999</c:v>
                </c:pt>
                <c:pt idx="1333">
                  <c:v>10600.5483</c:v>
                </c:pt>
                <c:pt idx="1334">
                  <c:v>2205.9807999999998</c:v>
                </c:pt>
                <c:pt idx="1335">
                  <c:v>1629.8335</c:v>
                </c:pt>
                <c:pt idx="1336">
                  <c:v>2007.9449999999999</c:v>
                </c:pt>
                <c:pt idx="1337">
                  <c:v>29141.3603</c:v>
                </c:pt>
              </c:numCache>
            </c:numRef>
          </c:yVal>
          <c:smooth val="0"/>
          <c:extLst>
            <c:ext xmlns:c16="http://schemas.microsoft.com/office/drawing/2014/chart" uri="{C3380CC4-5D6E-409C-BE32-E72D297353CC}">
              <c16:uniqueId val="{00000001-AD81-446C-9316-AEFAFD318B83}"/>
            </c:ext>
          </c:extLst>
        </c:ser>
        <c:dLbls>
          <c:showLegendKey val="0"/>
          <c:showVal val="0"/>
          <c:showCatName val="0"/>
          <c:showSerName val="0"/>
          <c:showPercent val="0"/>
          <c:showBubbleSize val="0"/>
        </c:dLbls>
        <c:axId val="1854416127"/>
        <c:axId val="1854416607"/>
      </c:scatterChart>
      <c:valAx>
        <c:axId val="18544161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BMI</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416607"/>
        <c:crosses val="autoZero"/>
        <c:crossBetween val="midCat"/>
      </c:valAx>
      <c:valAx>
        <c:axId val="18544166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Charges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409]#,##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41612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age  Residual Plot</a:t>
            </a:r>
          </a:p>
        </c:rich>
      </c:tx>
      <c:overlay val="0"/>
    </c:title>
    <c:autoTitleDeleted val="0"/>
    <c:plotArea>
      <c:layout/>
      <c:scatterChart>
        <c:scatterStyle val="lineMarker"/>
        <c:varyColors val="0"/>
        <c:ser>
          <c:idx val="0"/>
          <c:order val="0"/>
          <c:spPr>
            <a:ln w="38100">
              <a:noFill/>
            </a:ln>
          </c:spPr>
          <c:xVal>
            <c:numRef>
              <c:f>'insurance (Clean)'!$G$2:$G$1339</c:f>
              <c:numCache>
                <c:formatCode>General</c:formatCode>
                <c:ptCount val="1338"/>
                <c:pt idx="0">
                  <c:v>19</c:v>
                </c:pt>
                <c:pt idx="1">
                  <c:v>18</c:v>
                </c:pt>
                <c:pt idx="2">
                  <c:v>28</c:v>
                </c:pt>
                <c:pt idx="3">
                  <c:v>33</c:v>
                </c:pt>
                <c:pt idx="4">
                  <c:v>32</c:v>
                </c:pt>
                <c:pt idx="5">
                  <c:v>31</c:v>
                </c:pt>
                <c:pt idx="6">
                  <c:v>46</c:v>
                </c:pt>
                <c:pt idx="7">
                  <c:v>37</c:v>
                </c:pt>
                <c:pt idx="8">
                  <c:v>37</c:v>
                </c:pt>
                <c:pt idx="9">
                  <c:v>60</c:v>
                </c:pt>
                <c:pt idx="10">
                  <c:v>25</c:v>
                </c:pt>
                <c:pt idx="11">
                  <c:v>62</c:v>
                </c:pt>
                <c:pt idx="12">
                  <c:v>23</c:v>
                </c:pt>
                <c:pt idx="13">
                  <c:v>56</c:v>
                </c:pt>
                <c:pt idx="14">
                  <c:v>27</c:v>
                </c:pt>
                <c:pt idx="15">
                  <c:v>19</c:v>
                </c:pt>
                <c:pt idx="16">
                  <c:v>52</c:v>
                </c:pt>
                <c:pt idx="17">
                  <c:v>23</c:v>
                </c:pt>
                <c:pt idx="18">
                  <c:v>56</c:v>
                </c:pt>
                <c:pt idx="19">
                  <c:v>30</c:v>
                </c:pt>
                <c:pt idx="20">
                  <c:v>60</c:v>
                </c:pt>
                <c:pt idx="21">
                  <c:v>30</c:v>
                </c:pt>
                <c:pt idx="22">
                  <c:v>18</c:v>
                </c:pt>
                <c:pt idx="23">
                  <c:v>34</c:v>
                </c:pt>
                <c:pt idx="24">
                  <c:v>37</c:v>
                </c:pt>
                <c:pt idx="25">
                  <c:v>59</c:v>
                </c:pt>
                <c:pt idx="26">
                  <c:v>63</c:v>
                </c:pt>
                <c:pt idx="27">
                  <c:v>55</c:v>
                </c:pt>
                <c:pt idx="28">
                  <c:v>23</c:v>
                </c:pt>
                <c:pt idx="29">
                  <c:v>31</c:v>
                </c:pt>
                <c:pt idx="30">
                  <c:v>22</c:v>
                </c:pt>
                <c:pt idx="31">
                  <c:v>18</c:v>
                </c:pt>
                <c:pt idx="32">
                  <c:v>19</c:v>
                </c:pt>
                <c:pt idx="33">
                  <c:v>63</c:v>
                </c:pt>
                <c:pt idx="34">
                  <c:v>28</c:v>
                </c:pt>
                <c:pt idx="35">
                  <c:v>19</c:v>
                </c:pt>
                <c:pt idx="36">
                  <c:v>62</c:v>
                </c:pt>
                <c:pt idx="37">
                  <c:v>26</c:v>
                </c:pt>
                <c:pt idx="38">
                  <c:v>35</c:v>
                </c:pt>
                <c:pt idx="39">
                  <c:v>60</c:v>
                </c:pt>
                <c:pt idx="40">
                  <c:v>24</c:v>
                </c:pt>
                <c:pt idx="41">
                  <c:v>31</c:v>
                </c:pt>
                <c:pt idx="42">
                  <c:v>41</c:v>
                </c:pt>
                <c:pt idx="43">
                  <c:v>37</c:v>
                </c:pt>
                <c:pt idx="44">
                  <c:v>38</c:v>
                </c:pt>
                <c:pt idx="45">
                  <c:v>55</c:v>
                </c:pt>
                <c:pt idx="46">
                  <c:v>18</c:v>
                </c:pt>
                <c:pt idx="47">
                  <c:v>28</c:v>
                </c:pt>
                <c:pt idx="48">
                  <c:v>60</c:v>
                </c:pt>
                <c:pt idx="49">
                  <c:v>36</c:v>
                </c:pt>
                <c:pt idx="50">
                  <c:v>18</c:v>
                </c:pt>
                <c:pt idx="51">
                  <c:v>21</c:v>
                </c:pt>
                <c:pt idx="52">
                  <c:v>48</c:v>
                </c:pt>
                <c:pt idx="53">
                  <c:v>36</c:v>
                </c:pt>
                <c:pt idx="54">
                  <c:v>40</c:v>
                </c:pt>
                <c:pt idx="55">
                  <c:v>58</c:v>
                </c:pt>
                <c:pt idx="56">
                  <c:v>58</c:v>
                </c:pt>
                <c:pt idx="57">
                  <c:v>18</c:v>
                </c:pt>
                <c:pt idx="58">
                  <c:v>53</c:v>
                </c:pt>
                <c:pt idx="59">
                  <c:v>34</c:v>
                </c:pt>
                <c:pt idx="60">
                  <c:v>43</c:v>
                </c:pt>
                <c:pt idx="61">
                  <c:v>25</c:v>
                </c:pt>
                <c:pt idx="62">
                  <c:v>64</c:v>
                </c:pt>
                <c:pt idx="63">
                  <c:v>28</c:v>
                </c:pt>
                <c:pt idx="64">
                  <c:v>20</c:v>
                </c:pt>
                <c:pt idx="65">
                  <c:v>19</c:v>
                </c:pt>
                <c:pt idx="66">
                  <c:v>61</c:v>
                </c:pt>
                <c:pt idx="67">
                  <c:v>40</c:v>
                </c:pt>
                <c:pt idx="68">
                  <c:v>40</c:v>
                </c:pt>
                <c:pt idx="69">
                  <c:v>28</c:v>
                </c:pt>
                <c:pt idx="70">
                  <c:v>27</c:v>
                </c:pt>
                <c:pt idx="71">
                  <c:v>31</c:v>
                </c:pt>
                <c:pt idx="72">
                  <c:v>53</c:v>
                </c:pt>
                <c:pt idx="73">
                  <c:v>58</c:v>
                </c:pt>
                <c:pt idx="74">
                  <c:v>44</c:v>
                </c:pt>
                <c:pt idx="75">
                  <c:v>57</c:v>
                </c:pt>
                <c:pt idx="76">
                  <c:v>29</c:v>
                </c:pt>
                <c:pt idx="77">
                  <c:v>21</c:v>
                </c:pt>
                <c:pt idx="78">
                  <c:v>22</c:v>
                </c:pt>
                <c:pt idx="79">
                  <c:v>41</c:v>
                </c:pt>
                <c:pt idx="80">
                  <c:v>31</c:v>
                </c:pt>
                <c:pt idx="81">
                  <c:v>45</c:v>
                </c:pt>
                <c:pt idx="82">
                  <c:v>22</c:v>
                </c:pt>
                <c:pt idx="83">
                  <c:v>48</c:v>
                </c:pt>
                <c:pt idx="84">
                  <c:v>37</c:v>
                </c:pt>
                <c:pt idx="85">
                  <c:v>45</c:v>
                </c:pt>
                <c:pt idx="86">
                  <c:v>57</c:v>
                </c:pt>
                <c:pt idx="87">
                  <c:v>56</c:v>
                </c:pt>
                <c:pt idx="88">
                  <c:v>46</c:v>
                </c:pt>
                <c:pt idx="89">
                  <c:v>55</c:v>
                </c:pt>
                <c:pt idx="90">
                  <c:v>21</c:v>
                </c:pt>
                <c:pt idx="91">
                  <c:v>53</c:v>
                </c:pt>
                <c:pt idx="92">
                  <c:v>59</c:v>
                </c:pt>
                <c:pt idx="93">
                  <c:v>35</c:v>
                </c:pt>
                <c:pt idx="94">
                  <c:v>64</c:v>
                </c:pt>
                <c:pt idx="95">
                  <c:v>28</c:v>
                </c:pt>
                <c:pt idx="96">
                  <c:v>54</c:v>
                </c:pt>
                <c:pt idx="97">
                  <c:v>55</c:v>
                </c:pt>
                <c:pt idx="98">
                  <c:v>56</c:v>
                </c:pt>
                <c:pt idx="99">
                  <c:v>38</c:v>
                </c:pt>
                <c:pt idx="100">
                  <c:v>41</c:v>
                </c:pt>
                <c:pt idx="101">
                  <c:v>30</c:v>
                </c:pt>
                <c:pt idx="102">
                  <c:v>18</c:v>
                </c:pt>
                <c:pt idx="103">
                  <c:v>61</c:v>
                </c:pt>
                <c:pt idx="104">
                  <c:v>34</c:v>
                </c:pt>
                <c:pt idx="105">
                  <c:v>20</c:v>
                </c:pt>
                <c:pt idx="106">
                  <c:v>19</c:v>
                </c:pt>
                <c:pt idx="107">
                  <c:v>26</c:v>
                </c:pt>
                <c:pt idx="108">
                  <c:v>29</c:v>
                </c:pt>
                <c:pt idx="109">
                  <c:v>63</c:v>
                </c:pt>
                <c:pt idx="110">
                  <c:v>54</c:v>
                </c:pt>
                <c:pt idx="111">
                  <c:v>55</c:v>
                </c:pt>
                <c:pt idx="112">
                  <c:v>37</c:v>
                </c:pt>
                <c:pt idx="113">
                  <c:v>21</c:v>
                </c:pt>
                <c:pt idx="114">
                  <c:v>52</c:v>
                </c:pt>
                <c:pt idx="115">
                  <c:v>60</c:v>
                </c:pt>
                <c:pt idx="116">
                  <c:v>58</c:v>
                </c:pt>
                <c:pt idx="117">
                  <c:v>29</c:v>
                </c:pt>
                <c:pt idx="118">
                  <c:v>49</c:v>
                </c:pt>
                <c:pt idx="119">
                  <c:v>37</c:v>
                </c:pt>
                <c:pt idx="120">
                  <c:v>44</c:v>
                </c:pt>
                <c:pt idx="121">
                  <c:v>18</c:v>
                </c:pt>
                <c:pt idx="122">
                  <c:v>20</c:v>
                </c:pt>
                <c:pt idx="123">
                  <c:v>44</c:v>
                </c:pt>
                <c:pt idx="124">
                  <c:v>47</c:v>
                </c:pt>
                <c:pt idx="125">
                  <c:v>26</c:v>
                </c:pt>
                <c:pt idx="126">
                  <c:v>19</c:v>
                </c:pt>
                <c:pt idx="127">
                  <c:v>52</c:v>
                </c:pt>
                <c:pt idx="128">
                  <c:v>32</c:v>
                </c:pt>
                <c:pt idx="129">
                  <c:v>38</c:v>
                </c:pt>
                <c:pt idx="130">
                  <c:v>59</c:v>
                </c:pt>
                <c:pt idx="131">
                  <c:v>61</c:v>
                </c:pt>
                <c:pt idx="132">
                  <c:v>53</c:v>
                </c:pt>
                <c:pt idx="133">
                  <c:v>19</c:v>
                </c:pt>
                <c:pt idx="134">
                  <c:v>20</c:v>
                </c:pt>
                <c:pt idx="135">
                  <c:v>22</c:v>
                </c:pt>
                <c:pt idx="136">
                  <c:v>19</c:v>
                </c:pt>
                <c:pt idx="137">
                  <c:v>22</c:v>
                </c:pt>
                <c:pt idx="138">
                  <c:v>54</c:v>
                </c:pt>
                <c:pt idx="139">
                  <c:v>22</c:v>
                </c:pt>
                <c:pt idx="140">
                  <c:v>34</c:v>
                </c:pt>
                <c:pt idx="141">
                  <c:v>26</c:v>
                </c:pt>
                <c:pt idx="142">
                  <c:v>34</c:v>
                </c:pt>
                <c:pt idx="143">
                  <c:v>29</c:v>
                </c:pt>
                <c:pt idx="144">
                  <c:v>30</c:v>
                </c:pt>
                <c:pt idx="145">
                  <c:v>29</c:v>
                </c:pt>
                <c:pt idx="146">
                  <c:v>46</c:v>
                </c:pt>
                <c:pt idx="147">
                  <c:v>51</c:v>
                </c:pt>
                <c:pt idx="148">
                  <c:v>53</c:v>
                </c:pt>
                <c:pt idx="149">
                  <c:v>19</c:v>
                </c:pt>
                <c:pt idx="150">
                  <c:v>35</c:v>
                </c:pt>
                <c:pt idx="151">
                  <c:v>48</c:v>
                </c:pt>
                <c:pt idx="152">
                  <c:v>32</c:v>
                </c:pt>
                <c:pt idx="153">
                  <c:v>42</c:v>
                </c:pt>
                <c:pt idx="154">
                  <c:v>40</c:v>
                </c:pt>
                <c:pt idx="155">
                  <c:v>44</c:v>
                </c:pt>
                <c:pt idx="156">
                  <c:v>48</c:v>
                </c:pt>
                <c:pt idx="157">
                  <c:v>18</c:v>
                </c:pt>
                <c:pt idx="158">
                  <c:v>30</c:v>
                </c:pt>
                <c:pt idx="159">
                  <c:v>50</c:v>
                </c:pt>
                <c:pt idx="160">
                  <c:v>42</c:v>
                </c:pt>
                <c:pt idx="161">
                  <c:v>18</c:v>
                </c:pt>
                <c:pt idx="162">
                  <c:v>54</c:v>
                </c:pt>
                <c:pt idx="163">
                  <c:v>32</c:v>
                </c:pt>
                <c:pt idx="164">
                  <c:v>37</c:v>
                </c:pt>
                <c:pt idx="165">
                  <c:v>47</c:v>
                </c:pt>
                <c:pt idx="166">
                  <c:v>20</c:v>
                </c:pt>
                <c:pt idx="167">
                  <c:v>32</c:v>
                </c:pt>
                <c:pt idx="168">
                  <c:v>19</c:v>
                </c:pt>
                <c:pt idx="169">
                  <c:v>27</c:v>
                </c:pt>
                <c:pt idx="170">
                  <c:v>63</c:v>
                </c:pt>
                <c:pt idx="171">
                  <c:v>49</c:v>
                </c:pt>
                <c:pt idx="172">
                  <c:v>18</c:v>
                </c:pt>
                <c:pt idx="173">
                  <c:v>35</c:v>
                </c:pt>
                <c:pt idx="174">
                  <c:v>24</c:v>
                </c:pt>
                <c:pt idx="175">
                  <c:v>63</c:v>
                </c:pt>
                <c:pt idx="176">
                  <c:v>38</c:v>
                </c:pt>
                <c:pt idx="177">
                  <c:v>54</c:v>
                </c:pt>
                <c:pt idx="178">
                  <c:v>46</c:v>
                </c:pt>
                <c:pt idx="179">
                  <c:v>41</c:v>
                </c:pt>
                <c:pt idx="180">
                  <c:v>58</c:v>
                </c:pt>
                <c:pt idx="181">
                  <c:v>18</c:v>
                </c:pt>
                <c:pt idx="182">
                  <c:v>22</c:v>
                </c:pt>
                <c:pt idx="183">
                  <c:v>44</c:v>
                </c:pt>
                <c:pt idx="184">
                  <c:v>44</c:v>
                </c:pt>
                <c:pt idx="185">
                  <c:v>36</c:v>
                </c:pt>
                <c:pt idx="186">
                  <c:v>26</c:v>
                </c:pt>
                <c:pt idx="187">
                  <c:v>30</c:v>
                </c:pt>
                <c:pt idx="188">
                  <c:v>41</c:v>
                </c:pt>
                <c:pt idx="189">
                  <c:v>29</c:v>
                </c:pt>
                <c:pt idx="190">
                  <c:v>61</c:v>
                </c:pt>
                <c:pt idx="191">
                  <c:v>36</c:v>
                </c:pt>
                <c:pt idx="192">
                  <c:v>25</c:v>
                </c:pt>
                <c:pt idx="193">
                  <c:v>56</c:v>
                </c:pt>
                <c:pt idx="194">
                  <c:v>18</c:v>
                </c:pt>
                <c:pt idx="195">
                  <c:v>19</c:v>
                </c:pt>
                <c:pt idx="196">
                  <c:v>39</c:v>
                </c:pt>
                <c:pt idx="197">
                  <c:v>45</c:v>
                </c:pt>
                <c:pt idx="198">
                  <c:v>51</c:v>
                </c:pt>
                <c:pt idx="199">
                  <c:v>64</c:v>
                </c:pt>
                <c:pt idx="200">
                  <c:v>19</c:v>
                </c:pt>
                <c:pt idx="201">
                  <c:v>48</c:v>
                </c:pt>
                <c:pt idx="202">
                  <c:v>60</c:v>
                </c:pt>
                <c:pt idx="203">
                  <c:v>27</c:v>
                </c:pt>
                <c:pt idx="204">
                  <c:v>46</c:v>
                </c:pt>
                <c:pt idx="205">
                  <c:v>28</c:v>
                </c:pt>
                <c:pt idx="206">
                  <c:v>59</c:v>
                </c:pt>
                <c:pt idx="207">
                  <c:v>35</c:v>
                </c:pt>
                <c:pt idx="208">
                  <c:v>63</c:v>
                </c:pt>
                <c:pt idx="209">
                  <c:v>40</c:v>
                </c:pt>
                <c:pt idx="210">
                  <c:v>20</c:v>
                </c:pt>
                <c:pt idx="211">
                  <c:v>40</c:v>
                </c:pt>
                <c:pt idx="212">
                  <c:v>24</c:v>
                </c:pt>
                <c:pt idx="213">
                  <c:v>34</c:v>
                </c:pt>
                <c:pt idx="214">
                  <c:v>45</c:v>
                </c:pt>
                <c:pt idx="215">
                  <c:v>41</c:v>
                </c:pt>
                <c:pt idx="216">
                  <c:v>53</c:v>
                </c:pt>
                <c:pt idx="217">
                  <c:v>27</c:v>
                </c:pt>
                <c:pt idx="218">
                  <c:v>26</c:v>
                </c:pt>
                <c:pt idx="219">
                  <c:v>24</c:v>
                </c:pt>
                <c:pt idx="220">
                  <c:v>34</c:v>
                </c:pt>
                <c:pt idx="221">
                  <c:v>53</c:v>
                </c:pt>
                <c:pt idx="222">
                  <c:v>32</c:v>
                </c:pt>
                <c:pt idx="223">
                  <c:v>19</c:v>
                </c:pt>
                <c:pt idx="224">
                  <c:v>42</c:v>
                </c:pt>
                <c:pt idx="225">
                  <c:v>55</c:v>
                </c:pt>
                <c:pt idx="226">
                  <c:v>28</c:v>
                </c:pt>
                <c:pt idx="227">
                  <c:v>58</c:v>
                </c:pt>
                <c:pt idx="228">
                  <c:v>41</c:v>
                </c:pt>
                <c:pt idx="229">
                  <c:v>47</c:v>
                </c:pt>
                <c:pt idx="230">
                  <c:v>42</c:v>
                </c:pt>
                <c:pt idx="231">
                  <c:v>59</c:v>
                </c:pt>
                <c:pt idx="232">
                  <c:v>19</c:v>
                </c:pt>
                <c:pt idx="233">
                  <c:v>59</c:v>
                </c:pt>
                <c:pt idx="234">
                  <c:v>39</c:v>
                </c:pt>
                <c:pt idx="235">
                  <c:v>40</c:v>
                </c:pt>
                <c:pt idx="236">
                  <c:v>18</c:v>
                </c:pt>
                <c:pt idx="237">
                  <c:v>31</c:v>
                </c:pt>
                <c:pt idx="238">
                  <c:v>19</c:v>
                </c:pt>
                <c:pt idx="239">
                  <c:v>44</c:v>
                </c:pt>
                <c:pt idx="240">
                  <c:v>23</c:v>
                </c:pt>
                <c:pt idx="241">
                  <c:v>33</c:v>
                </c:pt>
                <c:pt idx="242">
                  <c:v>55</c:v>
                </c:pt>
                <c:pt idx="243">
                  <c:v>40</c:v>
                </c:pt>
                <c:pt idx="244">
                  <c:v>63</c:v>
                </c:pt>
                <c:pt idx="245">
                  <c:v>54</c:v>
                </c:pt>
                <c:pt idx="246">
                  <c:v>60</c:v>
                </c:pt>
                <c:pt idx="247">
                  <c:v>24</c:v>
                </c:pt>
                <c:pt idx="248">
                  <c:v>19</c:v>
                </c:pt>
                <c:pt idx="249">
                  <c:v>29</c:v>
                </c:pt>
                <c:pt idx="250">
                  <c:v>18</c:v>
                </c:pt>
                <c:pt idx="251">
                  <c:v>63</c:v>
                </c:pt>
                <c:pt idx="252">
                  <c:v>54</c:v>
                </c:pt>
                <c:pt idx="253">
                  <c:v>27</c:v>
                </c:pt>
                <c:pt idx="254">
                  <c:v>50</c:v>
                </c:pt>
                <c:pt idx="255">
                  <c:v>55</c:v>
                </c:pt>
                <c:pt idx="256">
                  <c:v>56</c:v>
                </c:pt>
                <c:pt idx="257">
                  <c:v>38</c:v>
                </c:pt>
                <c:pt idx="258">
                  <c:v>51</c:v>
                </c:pt>
                <c:pt idx="259">
                  <c:v>19</c:v>
                </c:pt>
                <c:pt idx="260">
                  <c:v>58</c:v>
                </c:pt>
                <c:pt idx="261">
                  <c:v>20</c:v>
                </c:pt>
                <c:pt idx="262">
                  <c:v>52</c:v>
                </c:pt>
                <c:pt idx="263">
                  <c:v>19</c:v>
                </c:pt>
                <c:pt idx="264">
                  <c:v>53</c:v>
                </c:pt>
                <c:pt idx="265">
                  <c:v>46</c:v>
                </c:pt>
                <c:pt idx="266">
                  <c:v>40</c:v>
                </c:pt>
                <c:pt idx="267">
                  <c:v>59</c:v>
                </c:pt>
                <c:pt idx="268">
                  <c:v>45</c:v>
                </c:pt>
                <c:pt idx="269">
                  <c:v>49</c:v>
                </c:pt>
                <c:pt idx="270">
                  <c:v>18</c:v>
                </c:pt>
                <c:pt idx="271">
                  <c:v>50</c:v>
                </c:pt>
                <c:pt idx="272">
                  <c:v>41</c:v>
                </c:pt>
                <c:pt idx="273">
                  <c:v>50</c:v>
                </c:pt>
                <c:pt idx="274">
                  <c:v>25</c:v>
                </c:pt>
                <c:pt idx="275">
                  <c:v>47</c:v>
                </c:pt>
                <c:pt idx="276">
                  <c:v>19</c:v>
                </c:pt>
                <c:pt idx="277">
                  <c:v>22</c:v>
                </c:pt>
                <c:pt idx="278">
                  <c:v>59</c:v>
                </c:pt>
                <c:pt idx="279">
                  <c:v>51</c:v>
                </c:pt>
                <c:pt idx="280">
                  <c:v>40</c:v>
                </c:pt>
                <c:pt idx="281">
                  <c:v>54</c:v>
                </c:pt>
                <c:pt idx="282">
                  <c:v>30</c:v>
                </c:pt>
                <c:pt idx="283">
                  <c:v>55</c:v>
                </c:pt>
                <c:pt idx="284">
                  <c:v>52</c:v>
                </c:pt>
                <c:pt idx="285">
                  <c:v>46</c:v>
                </c:pt>
                <c:pt idx="286">
                  <c:v>46</c:v>
                </c:pt>
                <c:pt idx="287">
                  <c:v>63</c:v>
                </c:pt>
                <c:pt idx="288">
                  <c:v>59</c:v>
                </c:pt>
                <c:pt idx="289">
                  <c:v>52</c:v>
                </c:pt>
                <c:pt idx="290">
                  <c:v>28</c:v>
                </c:pt>
                <c:pt idx="291">
                  <c:v>29</c:v>
                </c:pt>
                <c:pt idx="292">
                  <c:v>25</c:v>
                </c:pt>
                <c:pt idx="293">
                  <c:v>22</c:v>
                </c:pt>
                <c:pt idx="294">
                  <c:v>25</c:v>
                </c:pt>
                <c:pt idx="295">
                  <c:v>18</c:v>
                </c:pt>
                <c:pt idx="296">
                  <c:v>19</c:v>
                </c:pt>
                <c:pt idx="297">
                  <c:v>47</c:v>
                </c:pt>
                <c:pt idx="298">
                  <c:v>31</c:v>
                </c:pt>
                <c:pt idx="299">
                  <c:v>48</c:v>
                </c:pt>
                <c:pt idx="300">
                  <c:v>36</c:v>
                </c:pt>
                <c:pt idx="301">
                  <c:v>53</c:v>
                </c:pt>
                <c:pt idx="302">
                  <c:v>56</c:v>
                </c:pt>
                <c:pt idx="303">
                  <c:v>28</c:v>
                </c:pt>
                <c:pt idx="304">
                  <c:v>57</c:v>
                </c:pt>
                <c:pt idx="305">
                  <c:v>29</c:v>
                </c:pt>
                <c:pt idx="306">
                  <c:v>28</c:v>
                </c:pt>
                <c:pt idx="307">
                  <c:v>30</c:v>
                </c:pt>
                <c:pt idx="308">
                  <c:v>58</c:v>
                </c:pt>
                <c:pt idx="309">
                  <c:v>41</c:v>
                </c:pt>
                <c:pt idx="310">
                  <c:v>50</c:v>
                </c:pt>
                <c:pt idx="311">
                  <c:v>19</c:v>
                </c:pt>
                <c:pt idx="312">
                  <c:v>43</c:v>
                </c:pt>
                <c:pt idx="313">
                  <c:v>49</c:v>
                </c:pt>
                <c:pt idx="314">
                  <c:v>27</c:v>
                </c:pt>
                <c:pt idx="315">
                  <c:v>52</c:v>
                </c:pt>
                <c:pt idx="316">
                  <c:v>50</c:v>
                </c:pt>
                <c:pt idx="317">
                  <c:v>54</c:v>
                </c:pt>
                <c:pt idx="318">
                  <c:v>44</c:v>
                </c:pt>
                <c:pt idx="319">
                  <c:v>32</c:v>
                </c:pt>
                <c:pt idx="320">
                  <c:v>34</c:v>
                </c:pt>
                <c:pt idx="321">
                  <c:v>26</c:v>
                </c:pt>
                <c:pt idx="322">
                  <c:v>34</c:v>
                </c:pt>
                <c:pt idx="323">
                  <c:v>57</c:v>
                </c:pt>
                <c:pt idx="324">
                  <c:v>29</c:v>
                </c:pt>
                <c:pt idx="325">
                  <c:v>40</c:v>
                </c:pt>
                <c:pt idx="326">
                  <c:v>27</c:v>
                </c:pt>
                <c:pt idx="327">
                  <c:v>45</c:v>
                </c:pt>
                <c:pt idx="328">
                  <c:v>64</c:v>
                </c:pt>
                <c:pt idx="329">
                  <c:v>52</c:v>
                </c:pt>
                <c:pt idx="330">
                  <c:v>61</c:v>
                </c:pt>
                <c:pt idx="331">
                  <c:v>52</c:v>
                </c:pt>
                <c:pt idx="332">
                  <c:v>61</c:v>
                </c:pt>
                <c:pt idx="333">
                  <c:v>56</c:v>
                </c:pt>
                <c:pt idx="334">
                  <c:v>43</c:v>
                </c:pt>
                <c:pt idx="335">
                  <c:v>64</c:v>
                </c:pt>
                <c:pt idx="336">
                  <c:v>60</c:v>
                </c:pt>
                <c:pt idx="337">
                  <c:v>62</c:v>
                </c:pt>
                <c:pt idx="338">
                  <c:v>50</c:v>
                </c:pt>
                <c:pt idx="339">
                  <c:v>46</c:v>
                </c:pt>
                <c:pt idx="340">
                  <c:v>24</c:v>
                </c:pt>
                <c:pt idx="341">
                  <c:v>62</c:v>
                </c:pt>
                <c:pt idx="342">
                  <c:v>60</c:v>
                </c:pt>
                <c:pt idx="343">
                  <c:v>63</c:v>
                </c:pt>
                <c:pt idx="344">
                  <c:v>49</c:v>
                </c:pt>
                <c:pt idx="345">
                  <c:v>34</c:v>
                </c:pt>
                <c:pt idx="346">
                  <c:v>33</c:v>
                </c:pt>
                <c:pt idx="347">
                  <c:v>46</c:v>
                </c:pt>
                <c:pt idx="348">
                  <c:v>36</c:v>
                </c:pt>
                <c:pt idx="349">
                  <c:v>19</c:v>
                </c:pt>
                <c:pt idx="350">
                  <c:v>57</c:v>
                </c:pt>
                <c:pt idx="351">
                  <c:v>50</c:v>
                </c:pt>
                <c:pt idx="352">
                  <c:v>30</c:v>
                </c:pt>
                <c:pt idx="353">
                  <c:v>33</c:v>
                </c:pt>
                <c:pt idx="354">
                  <c:v>18</c:v>
                </c:pt>
                <c:pt idx="355">
                  <c:v>46</c:v>
                </c:pt>
                <c:pt idx="356">
                  <c:v>46</c:v>
                </c:pt>
                <c:pt idx="357">
                  <c:v>47</c:v>
                </c:pt>
                <c:pt idx="358">
                  <c:v>23</c:v>
                </c:pt>
                <c:pt idx="359">
                  <c:v>18</c:v>
                </c:pt>
                <c:pt idx="360">
                  <c:v>48</c:v>
                </c:pt>
                <c:pt idx="361">
                  <c:v>35</c:v>
                </c:pt>
                <c:pt idx="362">
                  <c:v>19</c:v>
                </c:pt>
                <c:pt idx="363">
                  <c:v>21</c:v>
                </c:pt>
                <c:pt idx="364">
                  <c:v>21</c:v>
                </c:pt>
                <c:pt idx="365">
                  <c:v>49</c:v>
                </c:pt>
                <c:pt idx="366">
                  <c:v>56</c:v>
                </c:pt>
                <c:pt idx="367">
                  <c:v>42</c:v>
                </c:pt>
                <c:pt idx="368">
                  <c:v>44</c:v>
                </c:pt>
                <c:pt idx="369">
                  <c:v>18</c:v>
                </c:pt>
                <c:pt idx="370">
                  <c:v>61</c:v>
                </c:pt>
                <c:pt idx="371">
                  <c:v>57</c:v>
                </c:pt>
                <c:pt idx="372">
                  <c:v>42</c:v>
                </c:pt>
                <c:pt idx="373">
                  <c:v>26</c:v>
                </c:pt>
                <c:pt idx="374">
                  <c:v>20</c:v>
                </c:pt>
                <c:pt idx="375">
                  <c:v>23</c:v>
                </c:pt>
                <c:pt idx="376">
                  <c:v>39</c:v>
                </c:pt>
                <c:pt idx="377">
                  <c:v>24</c:v>
                </c:pt>
                <c:pt idx="378">
                  <c:v>64</c:v>
                </c:pt>
                <c:pt idx="379">
                  <c:v>62</c:v>
                </c:pt>
                <c:pt idx="380">
                  <c:v>27</c:v>
                </c:pt>
                <c:pt idx="381">
                  <c:v>55</c:v>
                </c:pt>
                <c:pt idx="382">
                  <c:v>55</c:v>
                </c:pt>
                <c:pt idx="383">
                  <c:v>35</c:v>
                </c:pt>
                <c:pt idx="384">
                  <c:v>44</c:v>
                </c:pt>
                <c:pt idx="385">
                  <c:v>19</c:v>
                </c:pt>
                <c:pt idx="386">
                  <c:v>58</c:v>
                </c:pt>
                <c:pt idx="387">
                  <c:v>50</c:v>
                </c:pt>
                <c:pt idx="388">
                  <c:v>26</c:v>
                </c:pt>
                <c:pt idx="389">
                  <c:v>24</c:v>
                </c:pt>
                <c:pt idx="390">
                  <c:v>48</c:v>
                </c:pt>
                <c:pt idx="391">
                  <c:v>19</c:v>
                </c:pt>
                <c:pt idx="392">
                  <c:v>48</c:v>
                </c:pt>
                <c:pt idx="393">
                  <c:v>49</c:v>
                </c:pt>
                <c:pt idx="394">
                  <c:v>46</c:v>
                </c:pt>
                <c:pt idx="395">
                  <c:v>46</c:v>
                </c:pt>
                <c:pt idx="396">
                  <c:v>43</c:v>
                </c:pt>
                <c:pt idx="397">
                  <c:v>21</c:v>
                </c:pt>
                <c:pt idx="398">
                  <c:v>64</c:v>
                </c:pt>
                <c:pt idx="399">
                  <c:v>18</c:v>
                </c:pt>
                <c:pt idx="400">
                  <c:v>51</c:v>
                </c:pt>
                <c:pt idx="401">
                  <c:v>47</c:v>
                </c:pt>
                <c:pt idx="402">
                  <c:v>64</c:v>
                </c:pt>
                <c:pt idx="403">
                  <c:v>49</c:v>
                </c:pt>
                <c:pt idx="404">
                  <c:v>31</c:v>
                </c:pt>
                <c:pt idx="405">
                  <c:v>52</c:v>
                </c:pt>
                <c:pt idx="406">
                  <c:v>33</c:v>
                </c:pt>
                <c:pt idx="407">
                  <c:v>47</c:v>
                </c:pt>
                <c:pt idx="408">
                  <c:v>38</c:v>
                </c:pt>
                <c:pt idx="409">
                  <c:v>32</c:v>
                </c:pt>
                <c:pt idx="410">
                  <c:v>19</c:v>
                </c:pt>
                <c:pt idx="411">
                  <c:v>44</c:v>
                </c:pt>
                <c:pt idx="412">
                  <c:v>26</c:v>
                </c:pt>
                <c:pt idx="413">
                  <c:v>25</c:v>
                </c:pt>
                <c:pt idx="414">
                  <c:v>19</c:v>
                </c:pt>
                <c:pt idx="415">
                  <c:v>43</c:v>
                </c:pt>
                <c:pt idx="416">
                  <c:v>52</c:v>
                </c:pt>
                <c:pt idx="417">
                  <c:v>36</c:v>
                </c:pt>
                <c:pt idx="418">
                  <c:v>64</c:v>
                </c:pt>
                <c:pt idx="419">
                  <c:v>63</c:v>
                </c:pt>
                <c:pt idx="420">
                  <c:v>64</c:v>
                </c:pt>
                <c:pt idx="421">
                  <c:v>61</c:v>
                </c:pt>
                <c:pt idx="422">
                  <c:v>40</c:v>
                </c:pt>
                <c:pt idx="423">
                  <c:v>25</c:v>
                </c:pt>
                <c:pt idx="424">
                  <c:v>48</c:v>
                </c:pt>
                <c:pt idx="425">
                  <c:v>45</c:v>
                </c:pt>
                <c:pt idx="426">
                  <c:v>38</c:v>
                </c:pt>
                <c:pt idx="427">
                  <c:v>18</c:v>
                </c:pt>
                <c:pt idx="428">
                  <c:v>21</c:v>
                </c:pt>
                <c:pt idx="429">
                  <c:v>27</c:v>
                </c:pt>
                <c:pt idx="430">
                  <c:v>19</c:v>
                </c:pt>
                <c:pt idx="431">
                  <c:v>29</c:v>
                </c:pt>
                <c:pt idx="432">
                  <c:v>42</c:v>
                </c:pt>
                <c:pt idx="433">
                  <c:v>60</c:v>
                </c:pt>
                <c:pt idx="434">
                  <c:v>31</c:v>
                </c:pt>
                <c:pt idx="435">
                  <c:v>60</c:v>
                </c:pt>
                <c:pt idx="436">
                  <c:v>22</c:v>
                </c:pt>
                <c:pt idx="437">
                  <c:v>35</c:v>
                </c:pt>
                <c:pt idx="438">
                  <c:v>52</c:v>
                </c:pt>
                <c:pt idx="439">
                  <c:v>26</c:v>
                </c:pt>
                <c:pt idx="440">
                  <c:v>31</c:v>
                </c:pt>
                <c:pt idx="441">
                  <c:v>33</c:v>
                </c:pt>
                <c:pt idx="442">
                  <c:v>18</c:v>
                </c:pt>
                <c:pt idx="443">
                  <c:v>59</c:v>
                </c:pt>
                <c:pt idx="444">
                  <c:v>56</c:v>
                </c:pt>
                <c:pt idx="445">
                  <c:v>45</c:v>
                </c:pt>
                <c:pt idx="446">
                  <c:v>60</c:v>
                </c:pt>
                <c:pt idx="447">
                  <c:v>56</c:v>
                </c:pt>
                <c:pt idx="448">
                  <c:v>40</c:v>
                </c:pt>
                <c:pt idx="449">
                  <c:v>35</c:v>
                </c:pt>
                <c:pt idx="450">
                  <c:v>39</c:v>
                </c:pt>
                <c:pt idx="451">
                  <c:v>30</c:v>
                </c:pt>
                <c:pt idx="452">
                  <c:v>24</c:v>
                </c:pt>
                <c:pt idx="453">
                  <c:v>20</c:v>
                </c:pt>
                <c:pt idx="454">
                  <c:v>32</c:v>
                </c:pt>
                <c:pt idx="455">
                  <c:v>59</c:v>
                </c:pt>
                <c:pt idx="456">
                  <c:v>55</c:v>
                </c:pt>
                <c:pt idx="457">
                  <c:v>57</c:v>
                </c:pt>
                <c:pt idx="458">
                  <c:v>56</c:v>
                </c:pt>
                <c:pt idx="459">
                  <c:v>40</c:v>
                </c:pt>
                <c:pt idx="460">
                  <c:v>49</c:v>
                </c:pt>
                <c:pt idx="461">
                  <c:v>42</c:v>
                </c:pt>
                <c:pt idx="462">
                  <c:v>62</c:v>
                </c:pt>
                <c:pt idx="463">
                  <c:v>56</c:v>
                </c:pt>
                <c:pt idx="464">
                  <c:v>19</c:v>
                </c:pt>
                <c:pt idx="465">
                  <c:v>30</c:v>
                </c:pt>
                <c:pt idx="466">
                  <c:v>60</c:v>
                </c:pt>
                <c:pt idx="467">
                  <c:v>56</c:v>
                </c:pt>
                <c:pt idx="468">
                  <c:v>28</c:v>
                </c:pt>
                <c:pt idx="469">
                  <c:v>18</c:v>
                </c:pt>
                <c:pt idx="470">
                  <c:v>27</c:v>
                </c:pt>
                <c:pt idx="471">
                  <c:v>18</c:v>
                </c:pt>
                <c:pt idx="472">
                  <c:v>19</c:v>
                </c:pt>
                <c:pt idx="473">
                  <c:v>47</c:v>
                </c:pt>
                <c:pt idx="474">
                  <c:v>54</c:v>
                </c:pt>
                <c:pt idx="475">
                  <c:v>61</c:v>
                </c:pt>
                <c:pt idx="476">
                  <c:v>24</c:v>
                </c:pt>
                <c:pt idx="477">
                  <c:v>25</c:v>
                </c:pt>
                <c:pt idx="478">
                  <c:v>21</c:v>
                </c:pt>
                <c:pt idx="479">
                  <c:v>23</c:v>
                </c:pt>
                <c:pt idx="480">
                  <c:v>63</c:v>
                </c:pt>
                <c:pt idx="481">
                  <c:v>49</c:v>
                </c:pt>
                <c:pt idx="482">
                  <c:v>18</c:v>
                </c:pt>
                <c:pt idx="483">
                  <c:v>51</c:v>
                </c:pt>
                <c:pt idx="484">
                  <c:v>48</c:v>
                </c:pt>
                <c:pt idx="485">
                  <c:v>31</c:v>
                </c:pt>
                <c:pt idx="486">
                  <c:v>54</c:v>
                </c:pt>
                <c:pt idx="487">
                  <c:v>19</c:v>
                </c:pt>
                <c:pt idx="488">
                  <c:v>44</c:v>
                </c:pt>
                <c:pt idx="489">
                  <c:v>53</c:v>
                </c:pt>
                <c:pt idx="490">
                  <c:v>19</c:v>
                </c:pt>
                <c:pt idx="491">
                  <c:v>61</c:v>
                </c:pt>
                <c:pt idx="492">
                  <c:v>18</c:v>
                </c:pt>
                <c:pt idx="493">
                  <c:v>61</c:v>
                </c:pt>
                <c:pt idx="494">
                  <c:v>21</c:v>
                </c:pt>
                <c:pt idx="495">
                  <c:v>20</c:v>
                </c:pt>
                <c:pt idx="496">
                  <c:v>31</c:v>
                </c:pt>
                <c:pt idx="497">
                  <c:v>45</c:v>
                </c:pt>
                <c:pt idx="498">
                  <c:v>44</c:v>
                </c:pt>
                <c:pt idx="499">
                  <c:v>62</c:v>
                </c:pt>
                <c:pt idx="500">
                  <c:v>29</c:v>
                </c:pt>
                <c:pt idx="501">
                  <c:v>43</c:v>
                </c:pt>
                <c:pt idx="502">
                  <c:v>51</c:v>
                </c:pt>
                <c:pt idx="503">
                  <c:v>19</c:v>
                </c:pt>
                <c:pt idx="504">
                  <c:v>38</c:v>
                </c:pt>
                <c:pt idx="505">
                  <c:v>37</c:v>
                </c:pt>
                <c:pt idx="506">
                  <c:v>22</c:v>
                </c:pt>
                <c:pt idx="507">
                  <c:v>21</c:v>
                </c:pt>
                <c:pt idx="508">
                  <c:v>24</c:v>
                </c:pt>
                <c:pt idx="509">
                  <c:v>57</c:v>
                </c:pt>
                <c:pt idx="510">
                  <c:v>56</c:v>
                </c:pt>
                <c:pt idx="511">
                  <c:v>27</c:v>
                </c:pt>
                <c:pt idx="512">
                  <c:v>51</c:v>
                </c:pt>
                <c:pt idx="513">
                  <c:v>19</c:v>
                </c:pt>
                <c:pt idx="514">
                  <c:v>39</c:v>
                </c:pt>
                <c:pt idx="515">
                  <c:v>58</c:v>
                </c:pt>
                <c:pt idx="516">
                  <c:v>20</c:v>
                </c:pt>
                <c:pt idx="517">
                  <c:v>45</c:v>
                </c:pt>
                <c:pt idx="518">
                  <c:v>35</c:v>
                </c:pt>
                <c:pt idx="519">
                  <c:v>31</c:v>
                </c:pt>
                <c:pt idx="520">
                  <c:v>50</c:v>
                </c:pt>
                <c:pt idx="521">
                  <c:v>32</c:v>
                </c:pt>
                <c:pt idx="522">
                  <c:v>51</c:v>
                </c:pt>
                <c:pt idx="523">
                  <c:v>38</c:v>
                </c:pt>
                <c:pt idx="524">
                  <c:v>42</c:v>
                </c:pt>
                <c:pt idx="525">
                  <c:v>18</c:v>
                </c:pt>
                <c:pt idx="526">
                  <c:v>19</c:v>
                </c:pt>
                <c:pt idx="527">
                  <c:v>51</c:v>
                </c:pt>
                <c:pt idx="528">
                  <c:v>46</c:v>
                </c:pt>
                <c:pt idx="529">
                  <c:v>18</c:v>
                </c:pt>
                <c:pt idx="530">
                  <c:v>57</c:v>
                </c:pt>
                <c:pt idx="531">
                  <c:v>62</c:v>
                </c:pt>
                <c:pt idx="532">
                  <c:v>59</c:v>
                </c:pt>
                <c:pt idx="533">
                  <c:v>37</c:v>
                </c:pt>
                <c:pt idx="534">
                  <c:v>64</c:v>
                </c:pt>
                <c:pt idx="535">
                  <c:v>38</c:v>
                </c:pt>
                <c:pt idx="536">
                  <c:v>33</c:v>
                </c:pt>
                <c:pt idx="537">
                  <c:v>46</c:v>
                </c:pt>
                <c:pt idx="538">
                  <c:v>46</c:v>
                </c:pt>
                <c:pt idx="539">
                  <c:v>53</c:v>
                </c:pt>
                <c:pt idx="540">
                  <c:v>34</c:v>
                </c:pt>
                <c:pt idx="541">
                  <c:v>20</c:v>
                </c:pt>
                <c:pt idx="542">
                  <c:v>63</c:v>
                </c:pt>
                <c:pt idx="543">
                  <c:v>54</c:v>
                </c:pt>
                <c:pt idx="544">
                  <c:v>54</c:v>
                </c:pt>
                <c:pt idx="545">
                  <c:v>49</c:v>
                </c:pt>
                <c:pt idx="546">
                  <c:v>28</c:v>
                </c:pt>
                <c:pt idx="547">
                  <c:v>54</c:v>
                </c:pt>
                <c:pt idx="548">
                  <c:v>25</c:v>
                </c:pt>
                <c:pt idx="549">
                  <c:v>43</c:v>
                </c:pt>
                <c:pt idx="550">
                  <c:v>63</c:v>
                </c:pt>
                <c:pt idx="551">
                  <c:v>32</c:v>
                </c:pt>
                <c:pt idx="552">
                  <c:v>62</c:v>
                </c:pt>
                <c:pt idx="553">
                  <c:v>52</c:v>
                </c:pt>
                <c:pt idx="554">
                  <c:v>25</c:v>
                </c:pt>
                <c:pt idx="555">
                  <c:v>28</c:v>
                </c:pt>
                <c:pt idx="556">
                  <c:v>46</c:v>
                </c:pt>
                <c:pt idx="557">
                  <c:v>34</c:v>
                </c:pt>
                <c:pt idx="558">
                  <c:v>35</c:v>
                </c:pt>
                <c:pt idx="559">
                  <c:v>19</c:v>
                </c:pt>
                <c:pt idx="560">
                  <c:v>46</c:v>
                </c:pt>
                <c:pt idx="561">
                  <c:v>54</c:v>
                </c:pt>
                <c:pt idx="562">
                  <c:v>27</c:v>
                </c:pt>
                <c:pt idx="563">
                  <c:v>50</c:v>
                </c:pt>
                <c:pt idx="564">
                  <c:v>18</c:v>
                </c:pt>
                <c:pt idx="565">
                  <c:v>19</c:v>
                </c:pt>
                <c:pt idx="566">
                  <c:v>38</c:v>
                </c:pt>
                <c:pt idx="567">
                  <c:v>41</c:v>
                </c:pt>
                <c:pt idx="568">
                  <c:v>49</c:v>
                </c:pt>
                <c:pt idx="569">
                  <c:v>48</c:v>
                </c:pt>
                <c:pt idx="570">
                  <c:v>31</c:v>
                </c:pt>
                <c:pt idx="571">
                  <c:v>18</c:v>
                </c:pt>
                <c:pt idx="572">
                  <c:v>30</c:v>
                </c:pt>
                <c:pt idx="573">
                  <c:v>62</c:v>
                </c:pt>
                <c:pt idx="574">
                  <c:v>57</c:v>
                </c:pt>
                <c:pt idx="575">
                  <c:v>58</c:v>
                </c:pt>
                <c:pt idx="576">
                  <c:v>22</c:v>
                </c:pt>
                <c:pt idx="577">
                  <c:v>31</c:v>
                </c:pt>
                <c:pt idx="578">
                  <c:v>52</c:v>
                </c:pt>
                <c:pt idx="579">
                  <c:v>25</c:v>
                </c:pt>
                <c:pt idx="580">
                  <c:v>59</c:v>
                </c:pt>
                <c:pt idx="581">
                  <c:v>19</c:v>
                </c:pt>
                <c:pt idx="582">
                  <c:v>39</c:v>
                </c:pt>
                <c:pt idx="583">
                  <c:v>32</c:v>
                </c:pt>
                <c:pt idx="584">
                  <c:v>19</c:v>
                </c:pt>
                <c:pt idx="585">
                  <c:v>33</c:v>
                </c:pt>
                <c:pt idx="586">
                  <c:v>21</c:v>
                </c:pt>
                <c:pt idx="587">
                  <c:v>34</c:v>
                </c:pt>
                <c:pt idx="588">
                  <c:v>61</c:v>
                </c:pt>
                <c:pt idx="589">
                  <c:v>38</c:v>
                </c:pt>
                <c:pt idx="590">
                  <c:v>58</c:v>
                </c:pt>
                <c:pt idx="591">
                  <c:v>47</c:v>
                </c:pt>
                <c:pt idx="592">
                  <c:v>20</c:v>
                </c:pt>
                <c:pt idx="593">
                  <c:v>21</c:v>
                </c:pt>
                <c:pt idx="594">
                  <c:v>41</c:v>
                </c:pt>
                <c:pt idx="595">
                  <c:v>46</c:v>
                </c:pt>
                <c:pt idx="596">
                  <c:v>42</c:v>
                </c:pt>
                <c:pt idx="597">
                  <c:v>34</c:v>
                </c:pt>
                <c:pt idx="598">
                  <c:v>43</c:v>
                </c:pt>
                <c:pt idx="599">
                  <c:v>52</c:v>
                </c:pt>
                <c:pt idx="600">
                  <c:v>18</c:v>
                </c:pt>
                <c:pt idx="601">
                  <c:v>51</c:v>
                </c:pt>
                <c:pt idx="602">
                  <c:v>56</c:v>
                </c:pt>
                <c:pt idx="603">
                  <c:v>64</c:v>
                </c:pt>
                <c:pt idx="604">
                  <c:v>19</c:v>
                </c:pt>
                <c:pt idx="605">
                  <c:v>51</c:v>
                </c:pt>
                <c:pt idx="606">
                  <c:v>27</c:v>
                </c:pt>
                <c:pt idx="607">
                  <c:v>59</c:v>
                </c:pt>
                <c:pt idx="608">
                  <c:v>28</c:v>
                </c:pt>
                <c:pt idx="609">
                  <c:v>30</c:v>
                </c:pt>
                <c:pt idx="610">
                  <c:v>47</c:v>
                </c:pt>
                <c:pt idx="611">
                  <c:v>38</c:v>
                </c:pt>
                <c:pt idx="612">
                  <c:v>18</c:v>
                </c:pt>
                <c:pt idx="613">
                  <c:v>34</c:v>
                </c:pt>
                <c:pt idx="614">
                  <c:v>20</c:v>
                </c:pt>
                <c:pt idx="615">
                  <c:v>47</c:v>
                </c:pt>
                <c:pt idx="616">
                  <c:v>56</c:v>
                </c:pt>
                <c:pt idx="617">
                  <c:v>49</c:v>
                </c:pt>
                <c:pt idx="618">
                  <c:v>19</c:v>
                </c:pt>
                <c:pt idx="619">
                  <c:v>55</c:v>
                </c:pt>
                <c:pt idx="620">
                  <c:v>30</c:v>
                </c:pt>
                <c:pt idx="621">
                  <c:v>37</c:v>
                </c:pt>
                <c:pt idx="622">
                  <c:v>49</c:v>
                </c:pt>
                <c:pt idx="623">
                  <c:v>18</c:v>
                </c:pt>
                <c:pt idx="624">
                  <c:v>59</c:v>
                </c:pt>
                <c:pt idx="625">
                  <c:v>29</c:v>
                </c:pt>
                <c:pt idx="626">
                  <c:v>36</c:v>
                </c:pt>
                <c:pt idx="627">
                  <c:v>33</c:v>
                </c:pt>
                <c:pt idx="628">
                  <c:v>58</c:v>
                </c:pt>
                <c:pt idx="629">
                  <c:v>44</c:v>
                </c:pt>
                <c:pt idx="630">
                  <c:v>53</c:v>
                </c:pt>
                <c:pt idx="631">
                  <c:v>24</c:v>
                </c:pt>
                <c:pt idx="632">
                  <c:v>29</c:v>
                </c:pt>
                <c:pt idx="633">
                  <c:v>40</c:v>
                </c:pt>
                <c:pt idx="634">
                  <c:v>51</c:v>
                </c:pt>
                <c:pt idx="635">
                  <c:v>64</c:v>
                </c:pt>
                <c:pt idx="636">
                  <c:v>19</c:v>
                </c:pt>
                <c:pt idx="637">
                  <c:v>35</c:v>
                </c:pt>
                <c:pt idx="638">
                  <c:v>39</c:v>
                </c:pt>
                <c:pt idx="639">
                  <c:v>56</c:v>
                </c:pt>
                <c:pt idx="640">
                  <c:v>33</c:v>
                </c:pt>
                <c:pt idx="641">
                  <c:v>42</c:v>
                </c:pt>
                <c:pt idx="642">
                  <c:v>61</c:v>
                </c:pt>
                <c:pt idx="643">
                  <c:v>23</c:v>
                </c:pt>
                <c:pt idx="644">
                  <c:v>43</c:v>
                </c:pt>
                <c:pt idx="645">
                  <c:v>48</c:v>
                </c:pt>
                <c:pt idx="646">
                  <c:v>39</c:v>
                </c:pt>
                <c:pt idx="647">
                  <c:v>40</c:v>
                </c:pt>
                <c:pt idx="648">
                  <c:v>18</c:v>
                </c:pt>
                <c:pt idx="649">
                  <c:v>58</c:v>
                </c:pt>
                <c:pt idx="650">
                  <c:v>49</c:v>
                </c:pt>
                <c:pt idx="651">
                  <c:v>53</c:v>
                </c:pt>
                <c:pt idx="652">
                  <c:v>48</c:v>
                </c:pt>
                <c:pt idx="653">
                  <c:v>45</c:v>
                </c:pt>
                <c:pt idx="654">
                  <c:v>59</c:v>
                </c:pt>
                <c:pt idx="655">
                  <c:v>52</c:v>
                </c:pt>
                <c:pt idx="656">
                  <c:v>26</c:v>
                </c:pt>
                <c:pt idx="657">
                  <c:v>27</c:v>
                </c:pt>
                <c:pt idx="658">
                  <c:v>48</c:v>
                </c:pt>
                <c:pt idx="659">
                  <c:v>57</c:v>
                </c:pt>
                <c:pt idx="660">
                  <c:v>37</c:v>
                </c:pt>
                <c:pt idx="661">
                  <c:v>57</c:v>
                </c:pt>
                <c:pt idx="662">
                  <c:v>32</c:v>
                </c:pt>
                <c:pt idx="663">
                  <c:v>18</c:v>
                </c:pt>
                <c:pt idx="664">
                  <c:v>64</c:v>
                </c:pt>
                <c:pt idx="665">
                  <c:v>43</c:v>
                </c:pt>
                <c:pt idx="666">
                  <c:v>49</c:v>
                </c:pt>
                <c:pt idx="667">
                  <c:v>40</c:v>
                </c:pt>
                <c:pt idx="668">
                  <c:v>62</c:v>
                </c:pt>
                <c:pt idx="669">
                  <c:v>40</c:v>
                </c:pt>
                <c:pt idx="670">
                  <c:v>30</c:v>
                </c:pt>
                <c:pt idx="671">
                  <c:v>29</c:v>
                </c:pt>
                <c:pt idx="672">
                  <c:v>36</c:v>
                </c:pt>
                <c:pt idx="673">
                  <c:v>41</c:v>
                </c:pt>
                <c:pt idx="674">
                  <c:v>44</c:v>
                </c:pt>
                <c:pt idx="675">
                  <c:v>45</c:v>
                </c:pt>
                <c:pt idx="676">
                  <c:v>55</c:v>
                </c:pt>
                <c:pt idx="677">
                  <c:v>60</c:v>
                </c:pt>
                <c:pt idx="678">
                  <c:v>56</c:v>
                </c:pt>
                <c:pt idx="679">
                  <c:v>49</c:v>
                </c:pt>
                <c:pt idx="680">
                  <c:v>21</c:v>
                </c:pt>
                <c:pt idx="681">
                  <c:v>19</c:v>
                </c:pt>
                <c:pt idx="682">
                  <c:v>39</c:v>
                </c:pt>
                <c:pt idx="683">
                  <c:v>53</c:v>
                </c:pt>
                <c:pt idx="684">
                  <c:v>33</c:v>
                </c:pt>
                <c:pt idx="685">
                  <c:v>53</c:v>
                </c:pt>
                <c:pt idx="686">
                  <c:v>42</c:v>
                </c:pt>
                <c:pt idx="687">
                  <c:v>40</c:v>
                </c:pt>
                <c:pt idx="688">
                  <c:v>47</c:v>
                </c:pt>
                <c:pt idx="689">
                  <c:v>27</c:v>
                </c:pt>
                <c:pt idx="690">
                  <c:v>21</c:v>
                </c:pt>
                <c:pt idx="691">
                  <c:v>47</c:v>
                </c:pt>
                <c:pt idx="692">
                  <c:v>20</c:v>
                </c:pt>
                <c:pt idx="693">
                  <c:v>24</c:v>
                </c:pt>
                <c:pt idx="694">
                  <c:v>27</c:v>
                </c:pt>
                <c:pt idx="695">
                  <c:v>26</c:v>
                </c:pt>
                <c:pt idx="696">
                  <c:v>53</c:v>
                </c:pt>
                <c:pt idx="697">
                  <c:v>41</c:v>
                </c:pt>
                <c:pt idx="698">
                  <c:v>56</c:v>
                </c:pt>
                <c:pt idx="699">
                  <c:v>23</c:v>
                </c:pt>
                <c:pt idx="700">
                  <c:v>21</c:v>
                </c:pt>
                <c:pt idx="701">
                  <c:v>50</c:v>
                </c:pt>
                <c:pt idx="702">
                  <c:v>53</c:v>
                </c:pt>
                <c:pt idx="703">
                  <c:v>34</c:v>
                </c:pt>
                <c:pt idx="704">
                  <c:v>47</c:v>
                </c:pt>
                <c:pt idx="705">
                  <c:v>33</c:v>
                </c:pt>
                <c:pt idx="706">
                  <c:v>51</c:v>
                </c:pt>
                <c:pt idx="707">
                  <c:v>49</c:v>
                </c:pt>
                <c:pt idx="708">
                  <c:v>31</c:v>
                </c:pt>
                <c:pt idx="709">
                  <c:v>36</c:v>
                </c:pt>
                <c:pt idx="710">
                  <c:v>18</c:v>
                </c:pt>
                <c:pt idx="711">
                  <c:v>50</c:v>
                </c:pt>
                <c:pt idx="712">
                  <c:v>43</c:v>
                </c:pt>
                <c:pt idx="713">
                  <c:v>20</c:v>
                </c:pt>
                <c:pt idx="714">
                  <c:v>24</c:v>
                </c:pt>
                <c:pt idx="715">
                  <c:v>60</c:v>
                </c:pt>
                <c:pt idx="716">
                  <c:v>49</c:v>
                </c:pt>
                <c:pt idx="717">
                  <c:v>60</c:v>
                </c:pt>
                <c:pt idx="718">
                  <c:v>51</c:v>
                </c:pt>
                <c:pt idx="719">
                  <c:v>58</c:v>
                </c:pt>
                <c:pt idx="720">
                  <c:v>51</c:v>
                </c:pt>
                <c:pt idx="721">
                  <c:v>53</c:v>
                </c:pt>
                <c:pt idx="722">
                  <c:v>62</c:v>
                </c:pt>
                <c:pt idx="723">
                  <c:v>19</c:v>
                </c:pt>
                <c:pt idx="724">
                  <c:v>50</c:v>
                </c:pt>
                <c:pt idx="725">
                  <c:v>30</c:v>
                </c:pt>
                <c:pt idx="726">
                  <c:v>41</c:v>
                </c:pt>
                <c:pt idx="727">
                  <c:v>29</c:v>
                </c:pt>
                <c:pt idx="728">
                  <c:v>18</c:v>
                </c:pt>
                <c:pt idx="729">
                  <c:v>41</c:v>
                </c:pt>
                <c:pt idx="730">
                  <c:v>35</c:v>
                </c:pt>
                <c:pt idx="731">
                  <c:v>53</c:v>
                </c:pt>
                <c:pt idx="732">
                  <c:v>24</c:v>
                </c:pt>
                <c:pt idx="733">
                  <c:v>48</c:v>
                </c:pt>
                <c:pt idx="734">
                  <c:v>59</c:v>
                </c:pt>
                <c:pt idx="735">
                  <c:v>49</c:v>
                </c:pt>
                <c:pt idx="736">
                  <c:v>37</c:v>
                </c:pt>
                <c:pt idx="737">
                  <c:v>26</c:v>
                </c:pt>
                <c:pt idx="738">
                  <c:v>23</c:v>
                </c:pt>
                <c:pt idx="739">
                  <c:v>29</c:v>
                </c:pt>
                <c:pt idx="740">
                  <c:v>45</c:v>
                </c:pt>
                <c:pt idx="741">
                  <c:v>27</c:v>
                </c:pt>
                <c:pt idx="742">
                  <c:v>53</c:v>
                </c:pt>
                <c:pt idx="743">
                  <c:v>31</c:v>
                </c:pt>
                <c:pt idx="744">
                  <c:v>50</c:v>
                </c:pt>
                <c:pt idx="745">
                  <c:v>50</c:v>
                </c:pt>
                <c:pt idx="746">
                  <c:v>34</c:v>
                </c:pt>
                <c:pt idx="747">
                  <c:v>19</c:v>
                </c:pt>
                <c:pt idx="748">
                  <c:v>47</c:v>
                </c:pt>
                <c:pt idx="749">
                  <c:v>28</c:v>
                </c:pt>
                <c:pt idx="750">
                  <c:v>37</c:v>
                </c:pt>
                <c:pt idx="751">
                  <c:v>21</c:v>
                </c:pt>
                <c:pt idx="752">
                  <c:v>64</c:v>
                </c:pt>
                <c:pt idx="753">
                  <c:v>58</c:v>
                </c:pt>
                <c:pt idx="754">
                  <c:v>24</c:v>
                </c:pt>
                <c:pt idx="755">
                  <c:v>31</c:v>
                </c:pt>
                <c:pt idx="756">
                  <c:v>39</c:v>
                </c:pt>
                <c:pt idx="757">
                  <c:v>47</c:v>
                </c:pt>
                <c:pt idx="758">
                  <c:v>30</c:v>
                </c:pt>
                <c:pt idx="759">
                  <c:v>18</c:v>
                </c:pt>
                <c:pt idx="760">
                  <c:v>22</c:v>
                </c:pt>
                <c:pt idx="761">
                  <c:v>23</c:v>
                </c:pt>
                <c:pt idx="762">
                  <c:v>33</c:v>
                </c:pt>
                <c:pt idx="763">
                  <c:v>27</c:v>
                </c:pt>
                <c:pt idx="764">
                  <c:v>45</c:v>
                </c:pt>
                <c:pt idx="765">
                  <c:v>57</c:v>
                </c:pt>
                <c:pt idx="766">
                  <c:v>47</c:v>
                </c:pt>
                <c:pt idx="767">
                  <c:v>42</c:v>
                </c:pt>
                <c:pt idx="768">
                  <c:v>64</c:v>
                </c:pt>
                <c:pt idx="769">
                  <c:v>38</c:v>
                </c:pt>
                <c:pt idx="770">
                  <c:v>61</c:v>
                </c:pt>
                <c:pt idx="771">
                  <c:v>53</c:v>
                </c:pt>
                <c:pt idx="772">
                  <c:v>44</c:v>
                </c:pt>
                <c:pt idx="773">
                  <c:v>19</c:v>
                </c:pt>
                <c:pt idx="774">
                  <c:v>41</c:v>
                </c:pt>
                <c:pt idx="775">
                  <c:v>51</c:v>
                </c:pt>
                <c:pt idx="776">
                  <c:v>40</c:v>
                </c:pt>
                <c:pt idx="777">
                  <c:v>45</c:v>
                </c:pt>
                <c:pt idx="778">
                  <c:v>35</c:v>
                </c:pt>
                <c:pt idx="779">
                  <c:v>53</c:v>
                </c:pt>
                <c:pt idx="780">
                  <c:v>30</c:v>
                </c:pt>
                <c:pt idx="781">
                  <c:v>18</c:v>
                </c:pt>
                <c:pt idx="782">
                  <c:v>51</c:v>
                </c:pt>
                <c:pt idx="783">
                  <c:v>50</c:v>
                </c:pt>
                <c:pt idx="784">
                  <c:v>31</c:v>
                </c:pt>
                <c:pt idx="785">
                  <c:v>35</c:v>
                </c:pt>
                <c:pt idx="786">
                  <c:v>60</c:v>
                </c:pt>
                <c:pt idx="787">
                  <c:v>21</c:v>
                </c:pt>
                <c:pt idx="788">
                  <c:v>29</c:v>
                </c:pt>
                <c:pt idx="789">
                  <c:v>62</c:v>
                </c:pt>
                <c:pt idx="790">
                  <c:v>39</c:v>
                </c:pt>
                <c:pt idx="791">
                  <c:v>19</c:v>
                </c:pt>
                <c:pt idx="792">
                  <c:v>22</c:v>
                </c:pt>
                <c:pt idx="793">
                  <c:v>53</c:v>
                </c:pt>
                <c:pt idx="794">
                  <c:v>39</c:v>
                </c:pt>
                <c:pt idx="795">
                  <c:v>27</c:v>
                </c:pt>
                <c:pt idx="796">
                  <c:v>30</c:v>
                </c:pt>
                <c:pt idx="797">
                  <c:v>30</c:v>
                </c:pt>
                <c:pt idx="798">
                  <c:v>58</c:v>
                </c:pt>
                <c:pt idx="799">
                  <c:v>33</c:v>
                </c:pt>
                <c:pt idx="800">
                  <c:v>42</c:v>
                </c:pt>
                <c:pt idx="801">
                  <c:v>64</c:v>
                </c:pt>
                <c:pt idx="802">
                  <c:v>21</c:v>
                </c:pt>
                <c:pt idx="803">
                  <c:v>18</c:v>
                </c:pt>
                <c:pt idx="804">
                  <c:v>23</c:v>
                </c:pt>
                <c:pt idx="805">
                  <c:v>45</c:v>
                </c:pt>
                <c:pt idx="806">
                  <c:v>40</c:v>
                </c:pt>
                <c:pt idx="807">
                  <c:v>19</c:v>
                </c:pt>
                <c:pt idx="808">
                  <c:v>18</c:v>
                </c:pt>
                <c:pt idx="809">
                  <c:v>25</c:v>
                </c:pt>
                <c:pt idx="810">
                  <c:v>46</c:v>
                </c:pt>
                <c:pt idx="811">
                  <c:v>33</c:v>
                </c:pt>
                <c:pt idx="812">
                  <c:v>54</c:v>
                </c:pt>
                <c:pt idx="813">
                  <c:v>28</c:v>
                </c:pt>
                <c:pt idx="814">
                  <c:v>36</c:v>
                </c:pt>
                <c:pt idx="815">
                  <c:v>20</c:v>
                </c:pt>
                <c:pt idx="816">
                  <c:v>24</c:v>
                </c:pt>
                <c:pt idx="817">
                  <c:v>23</c:v>
                </c:pt>
                <c:pt idx="818">
                  <c:v>47</c:v>
                </c:pt>
                <c:pt idx="819">
                  <c:v>33</c:v>
                </c:pt>
                <c:pt idx="820">
                  <c:v>45</c:v>
                </c:pt>
                <c:pt idx="821">
                  <c:v>26</c:v>
                </c:pt>
                <c:pt idx="822">
                  <c:v>18</c:v>
                </c:pt>
                <c:pt idx="823">
                  <c:v>44</c:v>
                </c:pt>
                <c:pt idx="824">
                  <c:v>60</c:v>
                </c:pt>
                <c:pt idx="825">
                  <c:v>64</c:v>
                </c:pt>
                <c:pt idx="826">
                  <c:v>56</c:v>
                </c:pt>
                <c:pt idx="827">
                  <c:v>36</c:v>
                </c:pt>
                <c:pt idx="828">
                  <c:v>41</c:v>
                </c:pt>
                <c:pt idx="829">
                  <c:v>39</c:v>
                </c:pt>
                <c:pt idx="830">
                  <c:v>63</c:v>
                </c:pt>
                <c:pt idx="831">
                  <c:v>36</c:v>
                </c:pt>
                <c:pt idx="832">
                  <c:v>28</c:v>
                </c:pt>
                <c:pt idx="833">
                  <c:v>58</c:v>
                </c:pt>
                <c:pt idx="834">
                  <c:v>36</c:v>
                </c:pt>
                <c:pt idx="835">
                  <c:v>42</c:v>
                </c:pt>
                <c:pt idx="836">
                  <c:v>36</c:v>
                </c:pt>
                <c:pt idx="837">
                  <c:v>56</c:v>
                </c:pt>
                <c:pt idx="838">
                  <c:v>35</c:v>
                </c:pt>
                <c:pt idx="839">
                  <c:v>59</c:v>
                </c:pt>
                <c:pt idx="840">
                  <c:v>21</c:v>
                </c:pt>
                <c:pt idx="841">
                  <c:v>59</c:v>
                </c:pt>
                <c:pt idx="842">
                  <c:v>23</c:v>
                </c:pt>
                <c:pt idx="843">
                  <c:v>57</c:v>
                </c:pt>
                <c:pt idx="844">
                  <c:v>53</c:v>
                </c:pt>
                <c:pt idx="845">
                  <c:v>60</c:v>
                </c:pt>
                <c:pt idx="846">
                  <c:v>51</c:v>
                </c:pt>
                <c:pt idx="847">
                  <c:v>23</c:v>
                </c:pt>
                <c:pt idx="848">
                  <c:v>27</c:v>
                </c:pt>
                <c:pt idx="849">
                  <c:v>55</c:v>
                </c:pt>
                <c:pt idx="850">
                  <c:v>37</c:v>
                </c:pt>
                <c:pt idx="851">
                  <c:v>61</c:v>
                </c:pt>
                <c:pt idx="852">
                  <c:v>46</c:v>
                </c:pt>
                <c:pt idx="853">
                  <c:v>53</c:v>
                </c:pt>
                <c:pt idx="854">
                  <c:v>49</c:v>
                </c:pt>
                <c:pt idx="855">
                  <c:v>20</c:v>
                </c:pt>
                <c:pt idx="856">
                  <c:v>48</c:v>
                </c:pt>
                <c:pt idx="857">
                  <c:v>25</c:v>
                </c:pt>
                <c:pt idx="858">
                  <c:v>25</c:v>
                </c:pt>
                <c:pt idx="859">
                  <c:v>57</c:v>
                </c:pt>
                <c:pt idx="860">
                  <c:v>37</c:v>
                </c:pt>
                <c:pt idx="861">
                  <c:v>38</c:v>
                </c:pt>
                <c:pt idx="862">
                  <c:v>55</c:v>
                </c:pt>
                <c:pt idx="863">
                  <c:v>36</c:v>
                </c:pt>
                <c:pt idx="864">
                  <c:v>51</c:v>
                </c:pt>
                <c:pt idx="865">
                  <c:v>40</c:v>
                </c:pt>
                <c:pt idx="866">
                  <c:v>18</c:v>
                </c:pt>
                <c:pt idx="867">
                  <c:v>57</c:v>
                </c:pt>
                <c:pt idx="868">
                  <c:v>61</c:v>
                </c:pt>
                <c:pt idx="869">
                  <c:v>25</c:v>
                </c:pt>
                <c:pt idx="870">
                  <c:v>50</c:v>
                </c:pt>
                <c:pt idx="871">
                  <c:v>26</c:v>
                </c:pt>
                <c:pt idx="872">
                  <c:v>42</c:v>
                </c:pt>
                <c:pt idx="873">
                  <c:v>43</c:v>
                </c:pt>
                <c:pt idx="874">
                  <c:v>44</c:v>
                </c:pt>
                <c:pt idx="875">
                  <c:v>23</c:v>
                </c:pt>
                <c:pt idx="876">
                  <c:v>49</c:v>
                </c:pt>
                <c:pt idx="877">
                  <c:v>33</c:v>
                </c:pt>
                <c:pt idx="878">
                  <c:v>41</c:v>
                </c:pt>
                <c:pt idx="879">
                  <c:v>37</c:v>
                </c:pt>
                <c:pt idx="880">
                  <c:v>22</c:v>
                </c:pt>
                <c:pt idx="881">
                  <c:v>23</c:v>
                </c:pt>
                <c:pt idx="882">
                  <c:v>21</c:v>
                </c:pt>
                <c:pt idx="883">
                  <c:v>51</c:v>
                </c:pt>
                <c:pt idx="884">
                  <c:v>25</c:v>
                </c:pt>
                <c:pt idx="885">
                  <c:v>32</c:v>
                </c:pt>
                <c:pt idx="886">
                  <c:v>57</c:v>
                </c:pt>
                <c:pt idx="887">
                  <c:v>36</c:v>
                </c:pt>
                <c:pt idx="888">
                  <c:v>22</c:v>
                </c:pt>
                <c:pt idx="889">
                  <c:v>57</c:v>
                </c:pt>
                <c:pt idx="890">
                  <c:v>64</c:v>
                </c:pt>
                <c:pt idx="891">
                  <c:v>36</c:v>
                </c:pt>
                <c:pt idx="892">
                  <c:v>54</c:v>
                </c:pt>
                <c:pt idx="893">
                  <c:v>47</c:v>
                </c:pt>
                <c:pt idx="894">
                  <c:v>62</c:v>
                </c:pt>
                <c:pt idx="895">
                  <c:v>61</c:v>
                </c:pt>
                <c:pt idx="896">
                  <c:v>43</c:v>
                </c:pt>
                <c:pt idx="897">
                  <c:v>19</c:v>
                </c:pt>
                <c:pt idx="898">
                  <c:v>18</c:v>
                </c:pt>
                <c:pt idx="899">
                  <c:v>19</c:v>
                </c:pt>
                <c:pt idx="900">
                  <c:v>49</c:v>
                </c:pt>
                <c:pt idx="901">
                  <c:v>60</c:v>
                </c:pt>
                <c:pt idx="902">
                  <c:v>26</c:v>
                </c:pt>
                <c:pt idx="903">
                  <c:v>49</c:v>
                </c:pt>
                <c:pt idx="904">
                  <c:v>60</c:v>
                </c:pt>
                <c:pt idx="905">
                  <c:v>26</c:v>
                </c:pt>
                <c:pt idx="906">
                  <c:v>27</c:v>
                </c:pt>
                <c:pt idx="907">
                  <c:v>44</c:v>
                </c:pt>
                <c:pt idx="908">
                  <c:v>63</c:v>
                </c:pt>
                <c:pt idx="909">
                  <c:v>32</c:v>
                </c:pt>
                <c:pt idx="910">
                  <c:v>22</c:v>
                </c:pt>
                <c:pt idx="911">
                  <c:v>18</c:v>
                </c:pt>
                <c:pt idx="912">
                  <c:v>59</c:v>
                </c:pt>
                <c:pt idx="913">
                  <c:v>44</c:v>
                </c:pt>
                <c:pt idx="914">
                  <c:v>33</c:v>
                </c:pt>
                <c:pt idx="915">
                  <c:v>24</c:v>
                </c:pt>
                <c:pt idx="916">
                  <c:v>43</c:v>
                </c:pt>
                <c:pt idx="917">
                  <c:v>45</c:v>
                </c:pt>
                <c:pt idx="918">
                  <c:v>61</c:v>
                </c:pt>
                <c:pt idx="919">
                  <c:v>35</c:v>
                </c:pt>
                <c:pt idx="920">
                  <c:v>62</c:v>
                </c:pt>
                <c:pt idx="921">
                  <c:v>62</c:v>
                </c:pt>
                <c:pt idx="922">
                  <c:v>38</c:v>
                </c:pt>
                <c:pt idx="923">
                  <c:v>34</c:v>
                </c:pt>
                <c:pt idx="924">
                  <c:v>43</c:v>
                </c:pt>
                <c:pt idx="925">
                  <c:v>50</c:v>
                </c:pt>
                <c:pt idx="926">
                  <c:v>19</c:v>
                </c:pt>
                <c:pt idx="927">
                  <c:v>57</c:v>
                </c:pt>
                <c:pt idx="928">
                  <c:v>62</c:v>
                </c:pt>
                <c:pt idx="929">
                  <c:v>41</c:v>
                </c:pt>
                <c:pt idx="930">
                  <c:v>26</c:v>
                </c:pt>
                <c:pt idx="931">
                  <c:v>39</c:v>
                </c:pt>
                <c:pt idx="932">
                  <c:v>46</c:v>
                </c:pt>
                <c:pt idx="933">
                  <c:v>45</c:v>
                </c:pt>
                <c:pt idx="934">
                  <c:v>32</c:v>
                </c:pt>
                <c:pt idx="935">
                  <c:v>59</c:v>
                </c:pt>
                <c:pt idx="936">
                  <c:v>44</c:v>
                </c:pt>
                <c:pt idx="937">
                  <c:v>39</c:v>
                </c:pt>
                <c:pt idx="938">
                  <c:v>18</c:v>
                </c:pt>
                <c:pt idx="939">
                  <c:v>53</c:v>
                </c:pt>
                <c:pt idx="940">
                  <c:v>18</c:v>
                </c:pt>
                <c:pt idx="941">
                  <c:v>50</c:v>
                </c:pt>
                <c:pt idx="942">
                  <c:v>18</c:v>
                </c:pt>
                <c:pt idx="943">
                  <c:v>19</c:v>
                </c:pt>
                <c:pt idx="944">
                  <c:v>62</c:v>
                </c:pt>
                <c:pt idx="945">
                  <c:v>56</c:v>
                </c:pt>
                <c:pt idx="946">
                  <c:v>42</c:v>
                </c:pt>
                <c:pt idx="947">
                  <c:v>37</c:v>
                </c:pt>
                <c:pt idx="948">
                  <c:v>42</c:v>
                </c:pt>
                <c:pt idx="949">
                  <c:v>25</c:v>
                </c:pt>
                <c:pt idx="950">
                  <c:v>57</c:v>
                </c:pt>
                <c:pt idx="951">
                  <c:v>51</c:v>
                </c:pt>
                <c:pt idx="952">
                  <c:v>30</c:v>
                </c:pt>
                <c:pt idx="953">
                  <c:v>44</c:v>
                </c:pt>
                <c:pt idx="954">
                  <c:v>34</c:v>
                </c:pt>
                <c:pt idx="955">
                  <c:v>31</c:v>
                </c:pt>
                <c:pt idx="956">
                  <c:v>54</c:v>
                </c:pt>
                <c:pt idx="957">
                  <c:v>24</c:v>
                </c:pt>
                <c:pt idx="958">
                  <c:v>43</c:v>
                </c:pt>
                <c:pt idx="959">
                  <c:v>48</c:v>
                </c:pt>
                <c:pt idx="960">
                  <c:v>19</c:v>
                </c:pt>
                <c:pt idx="961">
                  <c:v>29</c:v>
                </c:pt>
                <c:pt idx="962">
                  <c:v>63</c:v>
                </c:pt>
                <c:pt idx="963">
                  <c:v>46</c:v>
                </c:pt>
                <c:pt idx="964">
                  <c:v>52</c:v>
                </c:pt>
                <c:pt idx="965">
                  <c:v>35</c:v>
                </c:pt>
                <c:pt idx="966">
                  <c:v>51</c:v>
                </c:pt>
                <c:pt idx="967">
                  <c:v>44</c:v>
                </c:pt>
                <c:pt idx="968">
                  <c:v>21</c:v>
                </c:pt>
                <c:pt idx="969">
                  <c:v>39</c:v>
                </c:pt>
                <c:pt idx="970">
                  <c:v>50</c:v>
                </c:pt>
                <c:pt idx="971">
                  <c:v>34</c:v>
                </c:pt>
                <c:pt idx="972">
                  <c:v>22</c:v>
                </c:pt>
                <c:pt idx="973">
                  <c:v>19</c:v>
                </c:pt>
                <c:pt idx="974">
                  <c:v>26</c:v>
                </c:pt>
                <c:pt idx="975">
                  <c:v>29</c:v>
                </c:pt>
                <c:pt idx="976">
                  <c:v>48</c:v>
                </c:pt>
                <c:pt idx="977">
                  <c:v>26</c:v>
                </c:pt>
                <c:pt idx="978">
                  <c:v>45</c:v>
                </c:pt>
                <c:pt idx="979">
                  <c:v>36</c:v>
                </c:pt>
                <c:pt idx="980">
                  <c:v>54</c:v>
                </c:pt>
                <c:pt idx="981">
                  <c:v>34</c:v>
                </c:pt>
                <c:pt idx="982">
                  <c:v>31</c:v>
                </c:pt>
                <c:pt idx="983">
                  <c:v>27</c:v>
                </c:pt>
                <c:pt idx="984">
                  <c:v>20</c:v>
                </c:pt>
                <c:pt idx="985">
                  <c:v>44</c:v>
                </c:pt>
                <c:pt idx="986">
                  <c:v>43</c:v>
                </c:pt>
                <c:pt idx="987">
                  <c:v>45</c:v>
                </c:pt>
                <c:pt idx="988">
                  <c:v>34</c:v>
                </c:pt>
                <c:pt idx="989">
                  <c:v>24</c:v>
                </c:pt>
                <c:pt idx="990">
                  <c:v>26</c:v>
                </c:pt>
                <c:pt idx="991">
                  <c:v>38</c:v>
                </c:pt>
                <c:pt idx="992">
                  <c:v>50</c:v>
                </c:pt>
                <c:pt idx="993">
                  <c:v>38</c:v>
                </c:pt>
                <c:pt idx="994">
                  <c:v>27</c:v>
                </c:pt>
                <c:pt idx="995">
                  <c:v>39</c:v>
                </c:pt>
                <c:pt idx="996">
                  <c:v>39</c:v>
                </c:pt>
                <c:pt idx="997">
                  <c:v>63</c:v>
                </c:pt>
                <c:pt idx="998">
                  <c:v>33</c:v>
                </c:pt>
                <c:pt idx="999">
                  <c:v>36</c:v>
                </c:pt>
                <c:pt idx="1000">
                  <c:v>30</c:v>
                </c:pt>
                <c:pt idx="1001">
                  <c:v>24</c:v>
                </c:pt>
                <c:pt idx="1002">
                  <c:v>24</c:v>
                </c:pt>
                <c:pt idx="1003">
                  <c:v>48</c:v>
                </c:pt>
                <c:pt idx="1004">
                  <c:v>47</c:v>
                </c:pt>
                <c:pt idx="1005">
                  <c:v>29</c:v>
                </c:pt>
                <c:pt idx="1006">
                  <c:v>28</c:v>
                </c:pt>
                <c:pt idx="1007">
                  <c:v>47</c:v>
                </c:pt>
                <c:pt idx="1008">
                  <c:v>25</c:v>
                </c:pt>
                <c:pt idx="1009">
                  <c:v>51</c:v>
                </c:pt>
                <c:pt idx="1010">
                  <c:v>48</c:v>
                </c:pt>
                <c:pt idx="1011">
                  <c:v>43</c:v>
                </c:pt>
                <c:pt idx="1012">
                  <c:v>61</c:v>
                </c:pt>
                <c:pt idx="1013">
                  <c:v>48</c:v>
                </c:pt>
                <c:pt idx="1014">
                  <c:v>38</c:v>
                </c:pt>
                <c:pt idx="1015">
                  <c:v>59</c:v>
                </c:pt>
                <c:pt idx="1016">
                  <c:v>19</c:v>
                </c:pt>
                <c:pt idx="1017">
                  <c:v>26</c:v>
                </c:pt>
                <c:pt idx="1018">
                  <c:v>54</c:v>
                </c:pt>
                <c:pt idx="1019">
                  <c:v>21</c:v>
                </c:pt>
                <c:pt idx="1020">
                  <c:v>51</c:v>
                </c:pt>
                <c:pt idx="1021">
                  <c:v>22</c:v>
                </c:pt>
                <c:pt idx="1022">
                  <c:v>47</c:v>
                </c:pt>
                <c:pt idx="1023">
                  <c:v>18</c:v>
                </c:pt>
                <c:pt idx="1024">
                  <c:v>47</c:v>
                </c:pt>
                <c:pt idx="1025">
                  <c:v>21</c:v>
                </c:pt>
                <c:pt idx="1026">
                  <c:v>19</c:v>
                </c:pt>
                <c:pt idx="1027">
                  <c:v>23</c:v>
                </c:pt>
                <c:pt idx="1028">
                  <c:v>54</c:v>
                </c:pt>
                <c:pt idx="1029">
                  <c:v>37</c:v>
                </c:pt>
                <c:pt idx="1030">
                  <c:v>46</c:v>
                </c:pt>
                <c:pt idx="1031">
                  <c:v>55</c:v>
                </c:pt>
                <c:pt idx="1032">
                  <c:v>30</c:v>
                </c:pt>
                <c:pt idx="1033">
                  <c:v>18</c:v>
                </c:pt>
                <c:pt idx="1034">
                  <c:v>61</c:v>
                </c:pt>
                <c:pt idx="1035">
                  <c:v>54</c:v>
                </c:pt>
                <c:pt idx="1036">
                  <c:v>22</c:v>
                </c:pt>
                <c:pt idx="1037">
                  <c:v>45</c:v>
                </c:pt>
                <c:pt idx="1038">
                  <c:v>22</c:v>
                </c:pt>
                <c:pt idx="1039">
                  <c:v>19</c:v>
                </c:pt>
                <c:pt idx="1040">
                  <c:v>35</c:v>
                </c:pt>
                <c:pt idx="1041">
                  <c:v>18</c:v>
                </c:pt>
                <c:pt idx="1042">
                  <c:v>20</c:v>
                </c:pt>
                <c:pt idx="1043">
                  <c:v>28</c:v>
                </c:pt>
                <c:pt idx="1044">
                  <c:v>55</c:v>
                </c:pt>
                <c:pt idx="1045">
                  <c:v>43</c:v>
                </c:pt>
                <c:pt idx="1046">
                  <c:v>43</c:v>
                </c:pt>
                <c:pt idx="1047">
                  <c:v>22</c:v>
                </c:pt>
                <c:pt idx="1048">
                  <c:v>25</c:v>
                </c:pt>
                <c:pt idx="1049">
                  <c:v>49</c:v>
                </c:pt>
                <c:pt idx="1050">
                  <c:v>44</c:v>
                </c:pt>
                <c:pt idx="1051">
                  <c:v>64</c:v>
                </c:pt>
                <c:pt idx="1052">
                  <c:v>49</c:v>
                </c:pt>
                <c:pt idx="1053">
                  <c:v>47</c:v>
                </c:pt>
                <c:pt idx="1054">
                  <c:v>27</c:v>
                </c:pt>
                <c:pt idx="1055">
                  <c:v>55</c:v>
                </c:pt>
                <c:pt idx="1056">
                  <c:v>48</c:v>
                </c:pt>
                <c:pt idx="1057">
                  <c:v>45</c:v>
                </c:pt>
                <c:pt idx="1058">
                  <c:v>24</c:v>
                </c:pt>
                <c:pt idx="1059">
                  <c:v>32</c:v>
                </c:pt>
                <c:pt idx="1060">
                  <c:v>24</c:v>
                </c:pt>
                <c:pt idx="1061">
                  <c:v>57</c:v>
                </c:pt>
                <c:pt idx="1062">
                  <c:v>59</c:v>
                </c:pt>
                <c:pt idx="1063">
                  <c:v>36</c:v>
                </c:pt>
                <c:pt idx="1064">
                  <c:v>29</c:v>
                </c:pt>
                <c:pt idx="1065">
                  <c:v>42</c:v>
                </c:pt>
                <c:pt idx="1066">
                  <c:v>48</c:v>
                </c:pt>
                <c:pt idx="1067">
                  <c:v>39</c:v>
                </c:pt>
                <c:pt idx="1068">
                  <c:v>63</c:v>
                </c:pt>
                <c:pt idx="1069">
                  <c:v>54</c:v>
                </c:pt>
                <c:pt idx="1070">
                  <c:v>37</c:v>
                </c:pt>
                <c:pt idx="1071">
                  <c:v>63</c:v>
                </c:pt>
                <c:pt idx="1072">
                  <c:v>21</c:v>
                </c:pt>
                <c:pt idx="1073">
                  <c:v>54</c:v>
                </c:pt>
                <c:pt idx="1074">
                  <c:v>60</c:v>
                </c:pt>
                <c:pt idx="1075">
                  <c:v>32</c:v>
                </c:pt>
                <c:pt idx="1076">
                  <c:v>47</c:v>
                </c:pt>
                <c:pt idx="1077">
                  <c:v>21</c:v>
                </c:pt>
                <c:pt idx="1078">
                  <c:v>28</c:v>
                </c:pt>
                <c:pt idx="1079">
                  <c:v>63</c:v>
                </c:pt>
                <c:pt idx="1080">
                  <c:v>18</c:v>
                </c:pt>
                <c:pt idx="1081">
                  <c:v>32</c:v>
                </c:pt>
                <c:pt idx="1082">
                  <c:v>38</c:v>
                </c:pt>
                <c:pt idx="1083">
                  <c:v>32</c:v>
                </c:pt>
                <c:pt idx="1084">
                  <c:v>62</c:v>
                </c:pt>
                <c:pt idx="1085">
                  <c:v>39</c:v>
                </c:pt>
                <c:pt idx="1086">
                  <c:v>55</c:v>
                </c:pt>
                <c:pt idx="1087">
                  <c:v>57</c:v>
                </c:pt>
                <c:pt idx="1088">
                  <c:v>52</c:v>
                </c:pt>
                <c:pt idx="1089">
                  <c:v>56</c:v>
                </c:pt>
                <c:pt idx="1090">
                  <c:v>47</c:v>
                </c:pt>
                <c:pt idx="1091">
                  <c:v>55</c:v>
                </c:pt>
                <c:pt idx="1092">
                  <c:v>23</c:v>
                </c:pt>
                <c:pt idx="1093">
                  <c:v>22</c:v>
                </c:pt>
                <c:pt idx="1094">
                  <c:v>50</c:v>
                </c:pt>
                <c:pt idx="1095">
                  <c:v>18</c:v>
                </c:pt>
                <c:pt idx="1096">
                  <c:v>51</c:v>
                </c:pt>
                <c:pt idx="1097">
                  <c:v>22</c:v>
                </c:pt>
                <c:pt idx="1098">
                  <c:v>52</c:v>
                </c:pt>
                <c:pt idx="1099">
                  <c:v>25</c:v>
                </c:pt>
                <c:pt idx="1100">
                  <c:v>33</c:v>
                </c:pt>
                <c:pt idx="1101">
                  <c:v>53</c:v>
                </c:pt>
                <c:pt idx="1102">
                  <c:v>29</c:v>
                </c:pt>
                <c:pt idx="1103">
                  <c:v>58</c:v>
                </c:pt>
                <c:pt idx="1104">
                  <c:v>37</c:v>
                </c:pt>
                <c:pt idx="1105">
                  <c:v>54</c:v>
                </c:pt>
                <c:pt idx="1106">
                  <c:v>49</c:v>
                </c:pt>
                <c:pt idx="1107">
                  <c:v>50</c:v>
                </c:pt>
                <c:pt idx="1108">
                  <c:v>26</c:v>
                </c:pt>
                <c:pt idx="1109">
                  <c:v>45</c:v>
                </c:pt>
                <c:pt idx="1110">
                  <c:v>54</c:v>
                </c:pt>
                <c:pt idx="1111">
                  <c:v>38</c:v>
                </c:pt>
                <c:pt idx="1112">
                  <c:v>48</c:v>
                </c:pt>
                <c:pt idx="1113">
                  <c:v>28</c:v>
                </c:pt>
                <c:pt idx="1114">
                  <c:v>23</c:v>
                </c:pt>
                <c:pt idx="1115">
                  <c:v>55</c:v>
                </c:pt>
                <c:pt idx="1116">
                  <c:v>41</c:v>
                </c:pt>
                <c:pt idx="1117">
                  <c:v>25</c:v>
                </c:pt>
                <c:pt idx="1118">
                  <c:v>33</c:v>
                </c:pt>
                <c:pt idx="1119">
                  <c:v>30</c:v>
                </c:pt>
                <c:pt idx="1120">
                  <c:v>23</c:v>
                </c:pt>
                <c:pt idx="1121">
                  <c:v>46</c:v>
                </c:pt>
                <c:pt idx="1122">
                  <c:v>53</c:v>
                </c:pt>
                <c:pt idx="1123">
                  <c:v>27</c:v>
                </c:pt>
                <c:pt idx="1124">
                  <c:v>23</c:v>
                </c:pt>
                <c:pt idx="1125">
                  <c:v>63</c:v>
                </c:pt>
                <c:pt idx="1126">
                  <c:v>55</c:v>
                </c:pt>
                <c:pt idx="1127">
                  <c:v>35</c:v>
                </c:pt>
                <c:pt idx="1128">
                  <c:v>34</c:v>
                </c:pt>
                <c:pt idx="1129">
                  <c:v>19</c:v>
                </c:pt>
                <c:pt idx="1130">
                  <c:v>39</c:v>
                </c:pt>
                <c:pt idx="1131">
                  <c:v>27</c:v>
                </c:pt>
                <c:pt idx="1132">
                  <c:v>57</c:v>
                </c:pt>
                <c:pt idx="1133">
                  <c:v>52</c:v>
                </c:pt>
                <c:pt idx="1134">
                  <c:v>28</c:v>
                </c:pt>
                <c:pt idx="1135">
                  <c:v>50</c:v>
                </c:pt>
                <c:pt idx="1136">
                  <c:v>44</c:v>
                </c:pt>
                <c:pt idx="1137">
                  <c:v>26</c:v>
                </c:pt>
                <c:pt idx="1138">
                  <c:v>33</c:v>
                </c:pt>
                <c:pt idx="1139">
                  <c:v>19</c:v>
                </c:pt>
                <c:pt idx="1140">
                  <c:v>50</c:v>
                </c:pt>
                <c:pt idx="1141">
                  <c:v>41</c:v>
                </c:pt>
                <c:pt idx="1142">
                  <c:v>52</c:v>
                </c:pt>
                <c:pt idx="1143">
                  <c:v>39</c:v>
                </c:pt>
                <c:pt idx="1144">
                  <c:v>50</c:v>
                </c:pt>
                <c:pt idx="1145">
                  <c:v>52</c:v>
                </c:pt>
                <c:pt idx="1146">
                  <c:v>60</c:v>
                </c:pt>
                <c:pt idx="1147">
                  <c:v>20</c:v>
                </c:pt>
                <c:pt idx="1148">
                  <c:v>55</c:v>
                </c:pt>
                <c:pt idx="1149">
                  <c:v>42</c:v>
                </c:pt>
                <c:pt idx="1150">
                  <c:v>18</c:v>
                </c:pt>
                <c:pt idx="1151">
                  <c:v>58</c:v>
                </c:pt>
                <c:pt idx="1152">
                  <c:v>43</c:v>
                </c:pt>
                <c:pt idx="1153">
                  <c:v>35</c:v>
                </c:pt>
                <c:pt idx="1154">
                  <c:v>48</c:v>
                </c:pt>
                <c:pt idx="1155">
                  <c:v>36</c:v>
                </c:pt>
                <c:pt idx="1156">
                  <c:v>19</c:v>
                </c:pt>
                <c:pt idx="1157">
                  <c:v>23</c:v>
                </c:pt>
                <c:pt idx="1158">
                  <c:v>20</c:v>
                </c:pt>
                <c:pt idx="1159">
                  <c:v>32</c:v>
                </c:pt>
                <c:pt idx="1160">
                  <c:v>43</c:v>
                </c:pt>
                <c:pt idx="1161">
                  <c:v>34</c:v>
                </c:pt>
                <c:pt idx="1162">
                  <c:v>30</c:v>
                </c:pt>
                <c:pt idx="1163">
                  <c:v>18</c:v>
                </c:pt>
                <c:pt idx="1164">
                  <c:v>41</c:v>
                </c:pt>
                <c:pt idx="1165">
                  <c:v>35</c:v>
                </c:pt>
                <c:pt idx="1166">
                  <c:v>57</c:v>
                </c:pt>
                <c:pt idx="1167">
                  <c:v>29</c:v>
                </c:pt>
                <c:pt idx="1168">
                  <c:v>32</c:v>
                </c:pt>
                <c:pt idx="1169">
                  <c:v>37</c:v>
                </c:pt>
                <c:pt idx="1170">
                  <c:v>18</c:v>
                </c:pt>
                <c:pt idx="1171">
                  <c:v>43</c:v>
                </c:pt>
                <c:pt idx="1172">
                  <c:v>56</c:v>
                </c:pt>
                <c:pt idx="1173">
                  <c:v>38</c:v>
                </c:pt>
                <c:pt idx="1174">
                  <c:v>29</c:v>
                </c:pt>
                <c:pt idx="1175">
                  <c:v>22</c:v>
                </c:pt>
                <c:pt idx="1176">
                  <c:v>52</c:v>
                </c:pt>
                <c:pt idx="1177">
                  <c:v>40</c:v>
                </c:pt>
                <c:pt idx="1178">
                  <c:v>23</c:v>
                </c:pt>
                <c:pt idx="1179">
                  <c:v>31</c:v>
                </c:pt>
                <c:pt idx="1180">
                  <c:v>42</c:v>
                </c:pt>
                <c:pt idx="1181">
                  <c:v>24</c:v>
                </c:pt>
                <c:pt idx="1182">
                  <c:v>25</c:v>
                </c:pt>
                <c:pt idx="1183">
                  <c:v>48</c:v>
                </c:pt>
                <c:pt idx="1184">
                  <c:v>23</c:v>
                </c:pt>
                <c:pt idx="1185">
                  <c:v>45</c:v>
                </c:pt>
                <c:pt idx="1186">
                  <c:v>20</c:v>
                </c:pt>
                <c:pt idx="1187">
                  <c:v>62</c:v>
                </c:pt>
                <c:pt idx="1188">
                  <c:v>43</c:v>
                </c:pt>
                <c:pt idx="1189">
                  <c:v>23</c:v>
                </c:pt>
                <c:pt idx="1190">
                  <c:v>31</c:v>
                </c:pt>
                <c:pt idx="1191">
                  <c:v>41</c:v>
                </c:pt>
                <c:pt idx="1192">
                  <c:v>58</c:v>
                </c:pt>
                <c:pt idx="1193">
                  <c:v>48</c:v>
                </c:pt>
                <c:pt idx="1194">
                  <c:v>31</c:v>
                </c:pt>
                <c:pt idx="1195">
                  <c:v>19</c:v>
                </c:pt>
                <c:pt idx="1196">
                  <c:v>19</c:v>
                </c:pt>
                <c:pt idx="1197">
                  <c:v>41</c:v>
                </c:pt>
                <c:pt idx="1198">
                  <c:v>40</c:v>
                </c:pt>
                <c:pt idx="1199">
                  <c:v>31</c:v>
                </c:pt>
                <c:pt idx="1200">
                  <c:v>37</c:v>
                </c:pt>
                <c:pt idx="1201">
                  <c:v>46</c:v>
                </c:pt>
                <c:pt idx="1202">
                  <c:v>22</c:v>
                </c:pt>
                <c:pt idx="1203">
                  <c:v>51</c:v>
                </c:pt>
                <c:pt idx="1204">
                  <c:v>18</c:v>
                </c:pt>
                <c:pt idx="1205">
                  <c:v>35</c:v>
                </c:pt>
                <c:pt idx="1206">
                  <c:v>59</c:v>
                </c:pt>
                <c:pt idx="1207">
                  <c:v>36</c:v>
                </c:pt>
                <c:pt idx="1208">
                  <c:v>37</c:v>
                </c:pt>
                <c:pt idx="1209">
                  <c:v>59</c:v>
                </c:pt>
                <c:pt idx="1210">
                  <c:v>36</c:v>
                </c:pt>
                <c:pt idx="1211">
                  <c:v>39</c:v>
                </c:pt>
                <c:pt idx="1212">
                  <c:v>18</c:v>
                </c:pt>
                <c:pt idx="1213">
                  <c:v>52</c:v>
                </c:pt>
                <c:pt idx="1214">
                  <c:v>27</c:v>
                </c:pt>
                <c:pt idx="1215">
                  <c:v>18</c:v>
                </c:pt>
                <c:pt idx="1216">
                  <c:v>40</c:v>
                </c:pt>
                <c:pt idx="1217">
                  <c:v>29</c:v>
                </c:pt>
                <c:pt idx="1218">
                  <c:v>46</c:v>
                </c:pt>
                <c:pt idx="1219">
                  <c:v>38</c:v>
                </c:pt>
                <c:pt idx="1220">
                  <c:v>30</c:v>
                </c:pt>
                <c:pt idx="1221">
                  <c:v>40</c:v>
                </c:pt>
                <c:pt idx="1222">
                  <c:v>50</c:v>
                </c:pt>
                <c:pt idx="1223">
                  <c:v>20</c:v>
                </c:pt>
                <c:pt idx="1224">
                  <c:v>41</c:v>
                </c:pt>
                <c:pt idx="1225">
                  <c:v>33</c:v>
                </c:pt>
                <c:pt idx="1226">
                  <c:v>38</c:v>
                </c:pt>
                <c:pt idx="1227">
                  <c:v>42</c:v>
                </c:pt>
                <c:pt idx="1228">
                  <c:v>56</c:v>
                </c:pt>
                <c:pt idx="1229">
                  <c:v>58</c:v>
                </c:pt>
                <c:pt idx="1230">
                  <c:v>52</c:v>
                </c:pt>
                <c:pt idx="1231">
                  <c:v>20</c:v>
                </c:pt>
                <c:pt idx="1232">
                  <c:v>54</c:v>
                </c:pt>
                <c:pt idx="1233">
                  <c:v>58</c:v>
                </c:pt>
                <c:pt idx="1234">
                  <c:v>45</c:v>
                </c:pt>
                <c:pt idx="1235">
                  <c:v>26</c:v>
                </c:pt>
                <c:pt idx="1236">
                  <c:v>63</c:v>
                </c:pt>
                <c:pt idx="1237">
                  <c:v>58</c:v>
                </c:pt>
                <c:pt idx="1238">
                  <c:v>37</c:v>
                </c:pt>
                <c:pt idx="1239">
                  <c:v>25</c:v>
                </c:pt>
                <c:pt idx="1240">
                  <c:v>52</c:v>
                </c:pt>
                <c:pt idx="1241">
                  <c:v>64</c:v>
                </c:pt>
                <c:pt idx="1242">
                  <c:v>22</c:v>
                </c:pt>
                <c:pt idx="1243">
                  <c:v>28</c:v>
                </c:pt>
                <c:pt idx="1244">
                  <c:v>18</c:v>
                </c:pt>
                <c:pt idx="1245">
                  <c:v>28</c:v>
                </c:pt>
                <c:pt idx="1246">
                  <c:v>45</c:v>
                </c:pt>
                <c:pt idx="1247">
                  <c:v>33</c:v>
                </c:pt>
                <c:pt idx="1248">
                  <c:v>18</c:v>
                </c:pt>
                <c:pt idx="1249">
                  <c:v>32</c:v>
                </c:pt>
                <c:pt idx="1250">
                  <c:v>24</c:v>
                </c:pt>
                <c:pt idx="1251">
                  <c:v>19</c:v>
                </c:pt>
                <c:pt idx="1252">
                  <c:v>20</c:v>
                </c:pt>
                <c:pt idx="1253">
                  <c:v>40</c:v>
                </c:pt>
                <c:pt idx="1254">
                  <c:v>34</c:v>
                </c:pt>
                <c:pt idx="1255">
                  <c:v>42</c:v>
                </c:pt>
                <c:pt idx="1256">
                  <c:v>51</c:v>
                </c:pt>
                <c:pt idx="1257">
                  <c:v>54</c:v>
                </c:pt>
                <c:pt idx="1258">
                  <c:v>55</c:v>
                </c:pt>
                <c:pt idx="1259">
                  <c:v>52</c:v>
                </c:pt>
                <c:pt idx="1260">
                  <c:v>32</c:v>
                </c:pt>
                <c:pt idx="1261">
                  <c:v>28</c:v>
                </c:pt>
                <c:pt idx="1262">
                  <c:v>41</c:v>
                </c:pt>
                <c:pt idx="1263">
                  <c:v>43</c:v>
                </c:pt>
                <c:pt idx="1264">
                  <c:v>49</c:v>
                </c:pt>
                <c:pt idx="1265">
                  <c:v>64</c:v>
                </c:pt>
                <c:pt idx="1266">
                  <c:v>55</c:v>
                </c:pt>
                <c:pt idx="1267">
                  <c:v>24</c:v>
                </c:pt>
                <c:pt idx="1268">
                  <c:v>20</c:v>
                </c:pt>
                <c:pt idx="1269">
                  <c:v>45</c:v>
                </c:pt>
                <c:pt idx="1270">
                  <c:v>26</c:v>
                </c:pt>
                <c:pt idx="1271">
                  <c:v>25</c:v>
                </c:pt>
                <c:pt idx="1272">
                  <c:v>43</c:v>
                </c:pt>
                <c:pt idx="1273">
                  <c:v>35</c:v>
                </c:pt>
                <c:pt idx="1274">
                  <c:v>26</c:v>
                </c:pt>
                <c:pt idx="1275">
                  <c:v>57</c:v>
                </c:pt>
                <c:pt idx="1276">
                  <c:v>22</c:v>
                </c:pt>
                <c:pt idx="1277">
                  <c:v>32</c:v>
                </c:pt>
                <c:pt idx="1278">
                  <c:v>39</c:v>
                </c:pt>
                <c:pt idx="1279">
                  <c:v>25</c:v>
                </c:pt>
                <c:pt idx="1280">
                  <c:v>48</c:v>
                </c:pt>
                <c:pt idx="1281">
                  <c:v>47</c:v>
                </c:pt>
                <c:pt idx="1282">
                  <c:v>18</c:v>
                </c:pt>
                <c:pt idx="1283">
                  <c:v>18</c:v>
                </c:pt>
                <c:pt idx="1284">
                  <c:v>61</c:v>
                </c:pt>
                <c:pt idx="1285">
                  <c:v>47</c:v>
                </c:pt>
                <c:pt idx="1286">
                  <c:v>28</c:v>
                </c:pt>
                <c:pt idx="1287">
                  <c:v>36</c:v>
                </c:pt>
                <c:pt idx="1288">
                  <c:v>20</c:v>
                </c:pt>
                <c:pt idx="1289">
                  <c:v>44</c:v>
                </c:pt>
                <c:pt idx="1290">
                  <c:v>38</c:v>
                </c:pt>
                <c:pt idx="1291">
                  <c:v>19</c:v>
                </c:pt>
                <c:pt idx="1292">
                  <c:v>21</c:v>
                </c:pt>
                <c:pt idx="1293">
                  <c:v>46</c:v>
                </c:pt>
                <c:pt idx="1294">
                  <c:v>58</c:v>
                </c:pt>
                <c:pt idx="1295">
                  <c:v>20</c:v>
                </c:pt>
                <c:pt idx="1296">
                  <c:v>18</c:v>
                </c:pt>
                <c:pt idx="1297">
                  <c:v>28</c:v>
                </c:pt>
                <c:pt idx="1298">
                  <c:v>33</c:v>
                </c:pt>
                <c:pt idx="1299">
                  <c:v>19</c:v>
                </c:pt>
                <c:pt idx="1300">
                  <c:v>45</c:v>
                </c:pt>
                <c:pt idx="1301">
                  <c:v>62</c:v>
                </c:pt>
                <c:pt idx="1302">
                  <c:v>25</c:v>
                </c:pt>
                <c:pt idx="1303">
                  <c:v>43</c:v>
                </c:pt>
                <c:pt idx="1304">
                  <c:v>42</c:v>
                </c:pt>
                <c:pt idx="1305">
                  <c:v>24</c:v>
                </c:pt>
                <c:pt idx="1306">
                  <c:v>29</c:v>
                </c:pt>
                <c:pt idx="1307">
                  <c:v>32</c:v>
                </c:pt>
                <c:pt idx="1308">
                  <c:v>25</c:v>
                </c:pt>
                <c:pt idx="1309">
                  <c:v>41</c:v>
                </c:pt>
                <c:pt idx="1310">
                  <c:v>42</c:v>
                </c:pt>
                <c:pt idx="1311">
                  <c:v>33</c:v>
                </c:pt>
                <c:pt idx="1312">
                  <c:v>34</c:v>
                </c:pt>
                <c:pt idx="1313">
                  <c:v>19</c:v>
                </c:pt>
                <c:pt idx="1314">
                  <c:v>30</c:v>
                </c:pt>
                <c:pt idx="1315">
                  <c:v>18</c:v>
                </c:pt>
                <c:pt idx="1316">
                  <c:v>19</c:v>
                </c:pt>
                <c:pt idx="1317">
                  <c:v>18</c:v>
                </c:pt>
                <c:pt idx="1318">
                  <c:v>35</c:v>
                </c:pt>
                <c:pt idx="1319">
                  <c:v>39</c:v>
                </c:pt>
                <c:pt idx="1320">
                  <c:v>31</c:v>
                </c:pt>
                <c:pt idx="1321">
                  <c:v>62</c:v>
                </c:pt>
                <c:pt idx="1322">
                  <c:v>62</c:v>
                </c:pt>
                <c:pt idx="1323">
                  <c:v>42</c:v>
                </c:pt>
                <c:pt idx="1324">
                  <c:v>31</c:v>
                </c:pt>
                <c:pt idx="1325">
                  <c:v>61</c:v>
                </c:pt>
                <c:pt idx="1326">
                  <c:v>42</c:v>
                </c:pt>
                <c:pt idx="1327">
                  <c:v>51</c:v>
                </c:pt>
                <c:pt idx="1328">
                  <c:v>23</c:v>
                </c:pt>
                <c:pt idx="1329">
                  <c:v>52</c:v>
                </c:pt>
                <c:pt idx="1330">
                  <c:v>57</c:v>
                </c:pt>
                <c:pt idx="1331">
                  <c:v>23</c:v>
                </c:pt>
                <c:pt idx="1332">
                  <c:v>52</c:v>
                </c:pt>
                <c:pt idx="1333">
                  <c:v>50</c:v>
                </c:pt>
                <c:pt idx="1334">
                  <c:v>18</c:v>
                </c:pt>
                <c:pt idx="1335">
                  <c:v>18</c:v>
                </c:pt>
                <c:pt idx="1336">
                  <c:v>21</c:v>
                </c:pt>
                <c:pt idx="1337">
                  <c:v>61</c:v>
                </c:pt>
              </c:numCache>
            </c:numRef>
          </c:xVal>
          <c:yVal>
            <c:numRef>
              <c:f>'insurance (Clean)'!$P$156:$P$1493</c:f>
              <c:numCache>
                <c:formatCode>General</c:formatCode>
                <c:ptCount val="1338"/>
                <c:pt idx="0">
                  <c:v>-8702.5012463713647</c:v>
                </c:pt>
                <c:pt idx="1">
                  <c:v>-2155.3936432492255</c:v>
                </c:pt>
                <c:pt idx="2">
                  <c:v>-2709.1580674566958</c:v>
                </c:pt>
                <c:pt idx="3">
                  <c:v>18270.570134779278</c:v>
                </c:pt>
                <c:pt idx="4">
                  <c:v>-1576.6281704348548</c:v>
                </c:pt>
                <c:pt idx="5">
                  <c:v>-418.39885818309222</c:v>
                </c:pt>
                <c:pt idx="6">
                  <c:v>-2753.9315855615914</c:v>
                </c:pt>
                <c:pt idx="7">
                  <c:v>-504.82165448512023</c:v>
                </c:pt>
                <c:pt idx="8">
                  <c:v>-1579.0836708774323</c:v>
                </c:pt>
                <c:pt idx="9">
                  <c:v>17238.295588952467</c:v>
                </c:pt>
                <c:pt idx="10">
                  <c:v>-61.09128756473774</c:v>
                </c:pt>
                <c:pt idx="11">
                  <c:v>-8348.0482030023159</c:v>
                </c:pt>
                <c:pt idx="12">
                  <c:v>-3072.6145481451449</c:v>
                </c:pt>
                <c:pt idx="13">
                  <c:v>-4062.2080934462629</c:v>
                </c:pt>
                <c:pt idx="14">
                  <c:v>7381.5909325553366</c:v>
                </c:pt>
                <c:pt idx="15">
                  <c:v>649.81891347433839</c:v>
                </c:pt>
                <c:pt idx="16">
                  <c:v>-888.15729798610118</c:v>
                </c:pt>
                <c:pt idx="17">
                  <c:v>892.85560884385404</c:v>
                </c:pt>
                <c:pt idx="18">
                  <c:v>-4705.0295668100443</c:v>
                </c:pt>
                <c:pt idx="19">
                  <c:v>6031.9967919697483</c:v>
                </c:pt>
                <c:pt idx="20">
                  <c:v>-1727.6138209284618</c:v>
                </c:pt>
                <c:pt idx="21">
                  <c:v>-2384.4676093210337</c:v>
                </c:pt>
                <c:pt idx="22">
                  <c:v>-2376.6435906410011</c:v>
                </c:pt>
                <c:pt idx="23">
                  <c:v>6479.3639887058016</c:v>
                </c:pt>
                <c:pt idx="24">
                  <c:v>-1200.6507887490452</c:v>
                </c:pt>
                <c:pt idx="25">
                  <c:v>548.55441230387078</c:v>
                </c:pt>
                <c:pt idx="26">
                  <c:v>2880.1459817889372</c:v>
                </c:pt>
                <c:pt idx="27">
                  <c:v>-1306.0056841912101</c:v>
                </c:pt>
                <c:pt idx="28">
                  <c:v>2878.5339556522622</c:v>
                </c:pt>
                <c:pt idx="29">
                  <c:v>6378.8242507065333</c:v>
                </c:pt>
                <c:pt idx="30">
                  <c:v>6746.3464297602331</c:v>
                </c:pt>
                <c:pt idx="31">
                  <c:v>1190.1483804778381</c:v>
                </c:pt>
                <c:pt idx="32">
                  <c:v>318.96403992619435</c:v>
                </c:pt>
                <c:pt idx="33">
                  <c:v>516.73510194360279</c:v>
                </c:pt>
                <c:pt idx="34">
                  <c:v>20077.249047959303</c:v>
                </c:pt>
                <c:pt idx="35">
                  <c:v>2255.2476358822232</c:v>
                </c:pt>
                <c:pt idx="36">
                  <c:v>-302.04511758935769</c:v>
                </c:pt>
                <c:pt idx="37">
                  <c:v>1006.4730085042775</c:v>
                </c:pt>
                <c:pt idx="38">
                  <c:v>6765.119817879684</c:v>
                </c:pt>
                <c:pt idx="39">
                  <c:v>8151.889118989493</c:v>
                </c:pt>
                <c:pt idx="40">
                  <c:v>399.19588668595679</c:v>
                </c:pt>
                <c:pt idx="41">
                  <c:v>-3677.2281662155438</c:v>
                </c:pt>
                <c:pt idx="42">
                  <c:v>319.99090821872687</c:v>
                </c:pt>
                <c:pt idx="43">
                  <c:v>-1983.931231633409</c:v>
                </c:pt>
                <c:pt idx="44">
                  <c:v>-4013.9371911755188</c:v>
                </c:pt>
                <c:pt idx="45">
                  <c:v>6546.2726490439509</c:v>
                </c:pt>
                <c:pt idx="46">
                  <c:v>-2536.5544757027833</c:v>
                </c:pt>
                <c:pt idx="47">
                  <c:v>-2750.8678038481748</c:v>
                </c:pt>
                <c:pt idx="48">
                  <c:v>1366.6807266744527</c:v>
                </c:pt>
                <c:pt idx="49">
                  <c:v>5915.2915727259096</c:v>
                </c:pt>
                <c:pt idx="50">
                  <c:v>-1793.34717997385</c:v>
                </c:pt>
                <c:pt idx="51">
                  <c:v>-1503.1088843883472</c:v>
                </c:pt>
                <c:pt idx="52">
                  <c:v>-10002.476414781635</c:v>
                </c:pt>
                <c:pt idx="53">
                  <c:v>5670.0191684594683</c:v>
                </c:pt>
                <c:pt idx="54">
                  <c:v>-805.95550917534183</c:v>
                </c:pt>
                <c:pt idx="55">
                  <c:v>7991.5692839259355</c:v>
                </c:pt>
                <c:pt idx="56">
                  <c:v>-435.05877348312606</c:v>
                </c:pt>
                <c:pt idx="57">
                  <c:v>6809.9885271275671</c:v>
                </c:pt>
                <c:pt idx="58">
                  <c:v>-9967.3265688864085</c:v>
                </c:pt>
                <c:pt idx="59">
                  <c:v>-3637.9170272096635</c:v>
                </c:pt>
                <c:pt idx="60">
                  <c:v>-604.90336538759766</c:v>
                </c:pt>
                <c:pt idx="61">
                  <c:v>-2566.3333868866512</c:v>
                </c:pt>
                <c:pt idx="62">
                  <c:v>17343.7871433242</c:v>
                </c:pt>
                <c:pt idx="63">
                  <c:v>195.90632470811624</c:v>
                </c:pt>
                <c:pt idx="64">
                  <c:v>-9369.7852661318757</c:v>
                </c:pt>
                <c:pt idx="65">
                  <c:v>-354.66280319705129</c:v>
                </c:pt>
                <c:pt idx="66">
                  <c:v>-2922.3730511440153</c:v>
                </c:pt>
                <c:pt idx="67">
                  <c:v>-764.85509633581478</c:v>
                </c:pt>
                <c:pt idx="68">
                  <c:v>-3938.9090838469647</c:v>
                </c:pt>
                <c:pt idx="69">
                  <c:v>-10403.776059844484</c:v>
                </c:pt>
                <c:pt idx="70">
                  <c:v>-10058.609886064391</c:v>
                </c:pt>
                <c:pt idx="71">
                  <c:v>-631.3839077539551</c:v>
                </c:pt>
                <c:pt idx="72">
                  <c:v>-286.05987679365353</c:v>
                </c:pt>
                <c:pt idx="73">
                  <c:v>-1681.8418674629283</c:v>
                </c:pt>
                <c:pt idx="74">
                  <c:v>-1281.488013285777</c:v>
                </c:pt>
                <c:pt idx="75">
                  <c:v>-2184.1578502691718</c:v>
                </c:pt>
                <c:pt idx="76">
                  <c:v>-1424.5385600068698</c:v>
                </c:pt>
                <c:pt idx="77">
                  <c:v>-3214.9809186950038</c:v>
                </c:pt>
                <c:pt idx="78">
                  <c:v>-3626.1938731715413</c:v>
                </c:pt>
                <c:pt idx="79">
                  <c:v>-2507.8675170144124</c:v>
                </c:pt>
                <c:pt idx="80">
                  <c:v>-575.82942998210456</c:v>
                </c:pt>
                <c:pt idx="81">
                  <c:v>-3887.248209451087</c:v>
                </c:pt>
                <c:pt idx="82">
                  <c:v>7202.2920804751629</c:v>
                </c:pt>
                <c:pt idx="83">
                  <c:v>-4404.2878749928186</c:v>
                </c:pt>
                <c:pt idx="84">
                  <c:v>6440.0233109862238</c:v>
                </c:pt>
                <c:pt idx="85">
                  <c:v>-10529.096796831996</c:v>
                </c:pt>
                <c:pt idx="86">
                  <c:v>7143.9973018127639</c:v>
                </c:pt>
                <c:pt idx="87">
                  <c:v>-17.985189590161099</c:v>
                </c:pt>
                <c:pt idx="88">
                  <c:v>-659.79927382085498</c:v>
                </c:pt>
                <c:pt idx="89">
                  <c:v>320.07282636526179</c:v>
                </c:pt>
                <c:pt idx="90">
                  <c:v>-3995.008073946206</c:v>
                </c:pt>
                <c:pt idx="91">
                  <c:v>925.06964068819798</c:v>
                </c:pt>
                <c:pt idx="92">
                  <c:v>-7758.1489937066144</c:v>
                </c:pt>
                <c:pt idx="93">
                  <c:v>-3330.7359862523126</c:v>
                </c:pt>
                <c:pt idx="94">
                  <c:v>8059.1025230108498</c:v>
                </c:pt>
                <c:pt idx="95">
                  <c:v>-3931.6851174914514</c:v>
                </c:pt>
                <c:pt idx="96">
                  <c:v>-1049.314171795284</c:v>
                </c:pt>
                <c:pt idx="97">
                  <c:v>-4173.1410257404405</c:v>
                </c:pt>
                <c:pt idx="98">
                  <c:v>-10156.489865006894</c:v>
                </c:pt>
                <c:pt idx="99">
                  <c:v>-11897.944821213699</c:v>
                </c:pt>
                <c:pt idx="100">
                  <c:v>-2453.4377521361566</c:v>
                </c:pt>
                <c:pt idx="101">
                  <c:v>-181.96315805719678</c:v>
                </c:pt>
                <c:pt idx="102">
                  <c:v>19113.769949681227</c:v>
                </c:pt>
                <c:pt idx="103">
                  <c:v>-7545.559534623033</c:v>
                </c:pt>
                <c:pt idx="104">
                  <c:v>-984.67676472051608</c:v>
                </c:pt>
                <c:pt idx="105">
                  <c:v>-8798.6286946026958</c:v>
                </c:pt>
                <c:pt idx="106">
                  <c:v>-78.934417322269837</c:v>
                </c:pt>
                <c:pt idx="107">
                  <c:v>-1608.180306212585</c:v>
                </c:pt>
                <c:pt idx="108">
                  <c:v>-1500.2749297730479</c:v>
                </c:pt>
                <c:pt idx="109">
                  <c:v>7808.6169446646527</c:v>
                </c:pt>
                <c:pt idx="110">
                  <c:v>-2293.21531074427</c:v>
                </c:pt>
                <c:pt idx="111">
                  <c:v>-703.58682045448222</c:v>
                </c:pt>
                <c:pt idx="112">
                  <c:v>-2703.926600541763</c:v>
                </c:pt>
                <c:pt idx="113">
                  <c:v>-2403.8685852348335</c:v>
                </c:pt>
                <c:pt idx="114">
                  <c:v>-1602.8193781264763</c:v>
                </c:pt>
                <c:pt idx="115">
                  <c:v>17688.453674124925</c:v>
                </c:pt>
                <c:pt idx="116">
                  <c:v>-7261.2064703597807</c:v>
                </c:pt>
                <c:pt idx="117">
                  <c:v>-9544.5170913343936</c:v>
                </c:pt>
                <c:pt idx="118">
                  <c:v>-675.22979619243415</c:v>
                </c:pt>
                <c:pt idx="119">
                  <c:v>780.0969914767993</c:v>
                </c:pt>
                <c:pt idx="120">
                  <c:v>-4389.9636208455404</c:v>
                </c:pt>
                <c:pt idx="121">
                  <c:v>1523.1319287655479</c:v>
                </c:pt>
                <c:pt idx="122">
                  <c:v>-122.38996574049906</c:v>
                </c:pt>
                <c:pt idx="123">
                  <c:v>5938.9419150217291</c:v>
                </c:pt>
                <c:pt idx="124">
                  <c:v>-2237.2459403331686</c:v>
                </c:pt>
                <c:pt idx="125">
                  <c:v>-480.41124318280345</c:v>
                </c:pt>
                <c:pt idx="126">
                  <c:v>-8635.0858075078431</c:v>
                </c:pt>
                <c:pt idx="127">
                  <c:v>-3708.1094692491042</c:v>
                </c:pt>
                <c:pt idx="128">
                  <c:v>6109.6767950380527</c:v>
                </c:pt>
                <c:pt idx="129">
                  <c:v>-3728.3552100444949</c:v>
                </c:pt>
                <c:pt idx="130">
                  <c:v>1174.4220133934141</c:v>
                </c:pt>
                <c:pt idx="131">
                  <c:v>2896.703112418716</c:v>
                </c:pt>
                <c:pt idx="132">
                  <c:v>-2901.1565034092891</c:v>
                </c:pt>
                <c:pt idx="133">
                  <c:v>611.28053930680449</c:v>
                </c:pt>
                <c:pt idx="134">
                  <c:v>138.49780079933271</c:v>
                </c:pt>
                <c:pt idx="135">
                  <c:v>-442.17013277308934</c:v>
                </c:pt>
                <c:pt idx="136">
                  <c:v>-2510.0620979713567</c:v>
                </c:pt>
                <c:pt idx="137">
                  <c:v>373.15635039539666</c:v>
                </c:pt>
                <c:pt idx="138">
                  <c:v>13814.063185079383</c:v>
                </c:pt>
                <c:pt idx="139">
                  <c:v>-2989.8382853607282</c:v>
                </c:pt>
                <c:pt idx="140">
                  <c:v>22548.877846167019</c:v>
                </c:pt>
                <c:pt idx="141">
                  <c:v>-2041.2231062553192</c:v>
                </c:pt>
                <c:pt idx="142">
                  <c:v>-10592.863840031197</c:v>
                </c:pt>
                <c:pt idx="143">
                  <c:v>12265.75357103533</c:v>
                </c:pt>
                <c:pt idx="144">
                  <c:v>-9352.5502818873065</c:v>
                </c:pt>
                <c:pt idx="145">
                  <c:v>-4154.6065533513211</c:v>
                </c:pt>
                <c:pt idx="146">
                  <c:v>5915.4777186986103</c:v>
                </c:pt>
                <c:pt idx="147">
                  <c:v>-3786.9035404021706</c:v>
                </c:pt>
                <c:pt idx="148">
                  <c:v>-3123.9601342105216</c:v>
                </c:pt>
                <c:pt idx="149">
                  <c:v>-567.93441732226961</c:v>
                </c:pt>
                <c:pt idx="150">
                  <c:v>-36.524344475986254</c:v>
                </c:pt>
                <c:pt idx="151">
                  <c:v>-2043.3586380503457</c:v>
                </c:pt>
                <c:pt idx="152">
                  <c:v>-3189.7485615549467</c:v>
                </c:pt>
                <c:pt idx="153">
                  <c:v>-10095.230760098861</c:v>
                </c:pt>
                <c:pt idx="154">
                  <c:v>198.13945309342125</c:v>
                </c:pt>
                <c:pt idx="155">
                  <c:v>-5013.4755846296293</c:v>
                </c:pt>
                <c:pt idx="156">
                  <c:v>-10721.342277064265</c:v>
                </c:pt>
                <c:pt idx="157">
                  <c:v>-8934.3504662987016</c:v>
                </c:pt>
                <c:pt idx="158">
                  <c:v>6070.760669316267</c:v>
                </c:pt>
                <c:pt idx="159">
                  <c:v>8582.0459239645406</c:v>
                </c:pt>
                <c:pt idx="160">
                  <c:v>-9750.8510912759775</c:v>
                </c:pt>
                <c:pt idx="161">
                  <c:v>7939.3377055301426</c:v>
                </c:pt>
                <c:pt idx="162">
                  <c:v>-4589.3698857063082</c:v>
                </c:pt>
                <c:pt idx="163">
                  <c:v>-1534.4572921404169</c:v>
                </c:pt>
                <c:pt idx="164">
                  <c:v>-1949.1913732459561</c:v>
                </c:pt>
                <c:pt idx="165">
                  <c:v>-584.11825968408084</c:v>
                </c:pt>
                <c:pt idx="166">
                  <c:v>-2499.6042512703461</c:v>
                </c:pt>
                <c:pt idx="167">
                  <c:v>-2111.107664218508</c:v>
                </c:pt>
                <c:pt idx="168">
                  <c:v>-793.51467205342215</c:v>
                </c:pt>
                <c:pt idx="169">
                  <c:v>2463.6299629205496</c:v>
                </c:pt>
                <c:pt idx="170">
                  <c:v>-4083.5369594467556</c:v>
                </c:pt>
                <c:pt idx="171">
                  <c:v>-2167.2739870854275</c:v>
                </c:pt>
                <c:pt idx="172">
                  <c:v>4019.5262568985936</c:v>
                </c:pt>
                <c:pt idx="173">
                  <c:v>-3349.8475127917236</c:v>
                </c:pt>
                <c:pt idx="174">
                  <c:v>-1962.3162254780209</c:v>
                </c:pt>
                <c:pt idx="175">
                  <c:v>8737.5026832490839</c:v>
                </c:pt>
                <c:pt idx="176">
                  <c:v>-1145.3877295395696</c:v>
                </c:pt>
                <c:pt idx="177">
                  <c:v>-1256.5712961576974</c:v>
                </c:pt>
                <c:pt idx="178">
                  <c:v>-1183.5391322083069</c:v>
                </c:pt>
                <c:pt idx="179">
                  <c:v>-2022.2622301917127</c:v>
                </c:pt>
                <c:pt idx="180">
                  <c:v>-319.96391121436318</c:v>
                </c:pt>
                <c:pt idx="181">
                  <c:v>-3227.1722545172706</c:v>
                </c:pt>
                <c:pt idx="182">
                  <c:v>2594.0602836032626</c:v>
                </c:pt>
                <c:pt idx="183">
                  <c:v>-323.22659338133235</c:v>
                </c:pt>
                <c:pt idx="184">
                  <c:v>-2335.8060286333684</c:v>
                </c:pt>
                <c:pt idx="185">
                  <c:v>7857.6527996123477</c:v>
                </c:pt>
                <c:pt idx="186">
                  <c:v>-1196.139616499227</c:v>
                </c:pt>
                <c:pt idx="187">
                  <c:v>-1672.7801361508618</c:v>
                </c:pt>
                <c:pt idx="188">
                  <c:v>-2530.2169093867096</c:v>
                </c:pt>
                <c:pt idx="189">
                  <c:v>-1733.6036107125501</c:v>
                </c:pt>
                <c:pt idx="190">
                  <c:v>-1229.2940566580401</c:v>
                </c:pt>
                <c:pt idx="191">
                  <c:v>-728.45364014182996</c:v>
                </c:pt>
                <c:pt idx="192">
                  <c:v>-490.26981420095626</c:v>
                </c:pt>
                <c:pt idx="193">
                  <c:v>672.78933656874324</c:v>
                </c:pt>
                <c:pt idx="194">
                  <c:v>-2482.3958535786019</c:v>
                </c:pt>
                <c:pt idx="195">
                  <c:v>-1002.2425739987013</c:v>
                </c:pt>
                <c:pt idx="196">
                  <c:v>-2860.3724208848998</c:v>
                </c:pt>
                <c:pt idx="197">
                  <c:v>-1135.5842040255902</c:v>
                </c:pt>
                <c:pt idx="198">
                  <c:v>2787.2791830587148</c:v>
                </c:pt>
                <c:pt idx="199">
                  <c:v>-2156.4980646969161</c:v>
                </c:pt>
                <c:pt idx="200">
                  <c:v>-1000.3439063173437</c:v>
                </c:pt>
                <c:pt idx="201">
                  <c:v>-2249.6283027844347</c:v>
                </c:pt>
                <c:pt idx="202">
                  <c:v>1908.3090710808538</c:v>
                </c:pt>
                <c:pt idx="203">
                  <c:v>6850.9324197446767</c:v>
                </c:pt>
                <c:pt idx="204">
                  <c:v>211.51075763533936</c:v>
                </c:pt>
                <c:pt idx="205">
                  <c:v>-547.85245665925413</c:v>
                </c:pt>
                <c:pt idx="206">
                  <c:v>136.07041069174193</c:v>
                </c:pt>
                <c:pt idx="207">
                  <c:v>-9624.4321702941088</c:v>
                </c:pt>
                <c:pt idx="208">
                  <c:v>-495.67519397222895</c:v>
                </c:pt>
                <c:pt idx="209">
                  <c:v>-5344.5368697125004</c:v>
                </c:pt>
                <c:pt idx="210">
                  <c:v>-2168.7493777222016</c:v>
                </c:pt>
                <c:pt idx="211">
                  <c:v>-1879.666039929215</c:v>
                </c:pt>
                <c:pt idx="212">
                  <c:v>-667.68540980399348</c:v>
                </c:pt>
                <c:pt idx="213">
                  <c:v>-737.92148453278332</c:v>
                </c:pt>
                <c:pt idx="214">
                  <c:v>-1872.6454305603784</c:v>
                </c:pt>
                <c:pt idx="215">
                  <c:v>-3984.980098854473</c:v>
                </c:pt>
                <c:pt idx="216">
                  <c:v>231.13917410563408</c:v>
                </c:pt>
                <c:pt idx="217">
                  <c:v>189.80127463913323</c:v>
                </c:pt>
                <c:pt idx="218">
                  <c:v>-1311.6373009534032</c:v>
                </c:pt>
                <c:pt idx="219">
                  <c:v>23525.977942317666</c:v>
                </c:pt>
                <c:pt idx="220">
                  <c:v>-2971.5374623360358</c:v>
                </c:pt>
                <c:pt idx="221">
                  <c:v>-1699.9291547884295</c:v>
                </c:pt>
                <c:pt idx="222">
                  <c:v>-2228.4210105274533</c:v>
                </c:pt>
                <c:pt idx="223">
                  <c:v>6971.4150740242694</c:v>
                </c:pt>
                <c:pt idx="224">
                  <c:v>-10953.186741707199</c:v>
                </c:pt>
                <c:pt idx="225">
                  <c:v>-2416.6177998765743</c:v>
                </c:pt>
                <c:pt idx="226">
                  <c:v>-4677.1858191957626</c:v>
                </c:pt>
                <c:pt idx="227">
                  <c:v>7886.0428599548941</c:v>
                </c:pt>
                <c:pt idx="228">
                  <c:v>-1766.1562667814242</c:v>
                </c:pt>
                <c:pt idx="229">
                  <c:v>67.757586235105919</c:v>
                </c:pt>
                <c:pt idx="230">
                  <c:v>-3406.1807710677094</c:v>
                </c:pt>
                <c:pt idx="231">
                  <c:v>513.3036579913387</c:v>
                </c:pt>
                <c:pt idx="232">
                  <c:v>3202.458768340407</c:v>
                </c:pt>
                <c:pt idx="233">
                  <c:v>-100.93944797941731</c:v>
                </c:pt>
                <c:pt idx="234">
                  <c:v>-78.752022422896516</c:v>
                </c:pt>
                <c:pt idx="235">
                  <c:v>-10676.887763262399</c:v>
                </c:pt>
                <c:pt idx="236">
                  <c:v>474.15694829873405</c:v>
                </c:pt>
                <c:pt idx="237">
                  <c:v>-4730.2402352160761</c:v>
                </c:pt>
                <c:pt idx="238">
                  <c:v>-8611.3110876955834</c:v>
                </c:pt>
                <c:pt idx="239">
                  <c:v>-4813.1042520272813</c:v>
                </c:pt>
                <c:pt idx="240">
                  <c:v>8123.1635902981325</c:v>
                </c:pt>
                <c:pt idx="241">
                  <c:v>1350.1271188529431</c:v>
                </c:pt>
                <c:pt idx="242">
                  <c:v>23982.061163330854</c:v>
                </c:pt>
                <c:pt idx="243">
                  <c:v>-3796.205381955755</c:v>
                </c:pt>
                <c:pt idx="244">
                  <c:v>-7358.1417444524341</c:v>
                </c:pt>
                <c:pt idx="245">
                  <c:v>12993.395369058333</c:v>
                </c:pt>
                <c:pt idx="246">
                  <c:v>-2969.1620537671515</c:v>
                </c:pt>
                <c:pt idx="247">
                  <c:v>-3640.276703623671</c:v>
                </c:pt>
                <c:pt idx="248">
                  <c:v>1835.5261039868251</c:v>
                </c:pt>
                <c:pt idx="249">
                  <c:v>-1133.4548472595256</c:v>
                </c:pt>
                <c:pt idx="250">
                  <c:v>-10032.281885987391</c:v>
                </c:pt>
                <c:pt idx="251">
                  <c:v>8041.5357677841166</c:v>
                </c:pt>
                <c:pt idx="252">
                  <c:v>6670.7049140464878</c:v>
                </c:pt>
                <c:pt idx="253">
                  <c:v>-1771.027772455067</c:v>
                </c:pt>
                <c:pt idx="254">
                  <c:v>6253.1350702358468</c:v>
                </c:pt>
                <c:pt idx="255">
                  <c:v>1384.1110953163516</c:v>
                </c:pt>
                <c:pt idx="256">
                  <c:v>6949.1181441253211</c:v>
                </c:pt>
                <c:pt idx="257">
                  <c:v>-5216.8652244374553</c:v>
                </c:pt>
                <c:pt idx="258">
                  <c:v>720.53304179110455</c:v>
                </c:pt>
                <c:pt idx="259">
                  <c:v>6869.0239142069622</c:v>
                </c:pt>
                <c:pt idx="260">
                  <c:v>874.00260143155174</c:v>
                </c:pt>
                <c:pt idx="261">
                  <c:v>-8892.3469822358566</c:v>
                </c:pt>
                <c:pt idx="262">
                  <c:v>-9494.9011127390368</c:v>
                </c:pt>
                <c:pt idx="263">
                  <c:v>7717.6157009014642</c:v>
                </c:pt>
                <c:pt idx="264">
                  <c:v>5229.5718509078688</c:v>
                </c:pt>
                <c:pt idx="265">
                  <c:v>7530.5028380160365</c:v>
                </c:pt>
                <c:pt idx="266">
                  <c:v>-11689.248852840839</c:v>
                </c:pt>
                <c:pt idx="267">
                  <c:v>-366.6026959787996</c:v>
                </c:pt>
                <c:pt idx="268">
                  <c:v>-2252.820133025707</c:v>
                </c:pt>
                <c:pt idx="269">
                  <c:v>-39.518445959442033</c:v>
                </c:pt>
                <c:pt idx="270">
                  <c:v>-745.36347074788932</c:v>
                </c:pt>
                <c:pt idx="271">
                  <c:v>6301.4095573963205</c:v>
                </c:pt>
                <c:pt idx="272">
                  <c:v>-4074.9570287124088</c:v>
                </c:pt>
                <c:pt idx="273">
                  <c:v>-481.97616887835829</c:v>
                </c:pt>
                <c:pt idx="274">
                  <c:v>-687.30495334355055</c:v>
                </c:pt>
                <c:pt idx="275">
                  <c:v>191.43158699612468</c:v>
                </c:pt>
                <c:pt idx="276">
                  <c:v>2425.3552382507469</c:v>
                </c:pt>
                <c:pt idx="277">
                  <c:v>759.56012788145745</c:v>
                </c:pt>
                <c:pt idx="278">
                  <c:v>-1360.2211817140396</c:v>
                </c:pt>
                <c:pt idx="279">
                  <c:v>1394.9573435402363</c:v>
                </c:pt>
                <c:pt idx="280">
                  <c:v>-9215.0077244797285</c:v>
                </c:pt>
                <c:pt idx="281">
                  <c:v>8440.2654334447507</c:v>
                </c:pt>
                <c:pt idx="282">
                  <c:v>-766.67358881106884</c:v>
                </c:pt>
                <c:pt idx="283">
                  <c:v>-1099.7280355657294</c:v>
                </c:pt>
                <c:pt idx="284">
                  <c:v>-1721.2487716335872</c:v>
                </c:pt>
                <c:pt idx="285">
                  <c:v>-1057.3848181845224</c:v>
                </c:pt>
                <c:pt idx="286">
                  <c:v>-6743.7842246743512</c:v>
                </c:pt>
                <c:pt idx="287">
                  <c:v>1675.4994338817378</c:v>
                </c:pt>
                <c:pt idx="288">
                  <c:v>8668.6708586812238</c:v>
                </c:pt>
                <c:pt idx="289">
                  <c:v>14770.032015366764</c:v>
                </c:pt>
                <c:pt idx="290">
                  <c:v>-2694.8356819557112</c:v>
                </c:pt>
                <c:pt idx="291">
                  <c:v>14889.763269851068</c:v>
                </c:pt>
                <c:pt idx="292">
                  <c:v>8353.2499324358723</c:v>
                </c:pt>
                <c:pt idx="293">
                  <c:v>-688.92541296082254</c:v>
                </c:pt>
                <c:pt idx="294">
                  <c:v>-483.465847850111</c:v>
                </c:pt>
                <c:pt idx="295">
                  <c:v>1766.68259492487</c:v>
                </c:pt>
                <c:pt idx="296">
                  <c:v>-9225.20896580312</c:v>
                </c:pt>
                <c:pt idx="297">
                  <c:v>-10500.626874092533</c:v>
                </c:pt>
                <c:pt idx="298">
                  <c:v>6555.4132145874282</c:v>
                </c:pt>
                <c:pt idx="299">
                  <c:v>-793.08260326637537</c:v>
                </c:pt>
                <c:pt idx="300">
                  <c:v>-720.58348061493598</c:v>
                </c:pt>
                <c:pt idx="301">
                  <c:v>-9198.8366212109213</c:v>
                </c:pt>
                <c:pt idx="302">
                  <c:v>-3090.9468839747078</c:v>
                </c:pt>
                <c:pt idx="303">
                  <c:v>-2335.6557519108728</c:v>
                </c:pt>
                <c:pt idx="304">
                  <c:v>-3125.8034786972567</c:v>
                </c:pt>
                <c:pt idx="305">
                  <c:v>12388.347506778555</c:v>
                </c:pt>
                <c:pt idx="306">
                  <c:v>15262.736063715794</c:v>
                </c:pt>
                <c:pt idx="307">
                  <c:v>-2682.4967139633618</c:v>
                </c:pt>
                <c:pt idx="308">
                  <c:v>-2129.2568070287671</c:v>
                </c:pt>
                <c:pt idx="309">
                  <c:v>-2307.3160313759745</c:v>
                </c:pt>
                <c:pt idx="310">
                  <c:v>-906.47930390329748</c:v>
                </c:pt>
                <c:pt idx="311">
                  <c:v>991.27508873604052</c:v>
                </c:pt>
                <c:pt idx="312">
                  <c:v>6330.8541101340379</c:v>
                </c:pt>
                <c:pt idx="313">
                  <c:v>-3949.0393868825686</c:v>
                </c:pt>
                <c:pt idx="314">
                  <c:v>6062.1717850415444</c:v>
                </c:pt>
                <c:pt idx="315">
                  <c:v>-2284.1946474580727</c:v>
                </c:pt>
                <c:pt idx="316">
                  <c:v>-2319.6654168282948</c:v>
                </c:pt>
                <c:pt idx="317">
                  <c:v>-1934.7185457692085</c:v>
                </c:pt>
                <c:pt idx="318">
                  <c:v>-718.9963758902295</c:v>
                </c:pt>
                <c:pt idx="319">
                  <c:v>-3970.6316970031303</c:v>
                </c:pt>
                <c:pt idx="320">
                  <c:v>-376.0478363846114</c:v>
                </c:pt>
                <c:pt idx="321">
                  <c:v>18636.660645204665</c:v>
                </c:pt>
                <c:pt idx="322">
                  <c:v>5103.1030754337844</c:v>
                </c:pt>
                <c:pt idx="323">
                  <c:v>-4206.5576289729815</c:v>
                </c:pt>
                <c:pt idx="324">
                  <c:v>-1263.1334916705496</c:v>
                </c:pt>
                <c:pt idx="325">
                  <c:v>-3061.2493244688594</c:v>
                </c:pt>
                <c:pt idx="326">
                  <c:v>759.0482047807759</c:v>
                </c:pt>
                <c:pt idx="327">
                  <c:v>6760.5000955701398</c:v>
                </c:pt>
                <c:pt idx="328">
                  <c:v>8364.951331453638</c:v>
                </c:pt>
                <c:pt idx="329">
                  <c:v>-3972.7864872602568</c:v>
                </c:pt>
                <c:pt idx="330">
                  <c:v>8896.0471771001685</c:v>
                </c:pt>
                <c:pt idx="331">
                  <c:v>-9529.0368307388562</c:v>
                </c:pt>
                <c:pt idx="332">
                  <c:v>-225.90488149314115</c:v>
                </c:pt>
                <c:pt idx="333">
                  <c:v>57.083536906517111</c:v>
                </c:pt>
                <c:pt idx="334">
                  <c:v>7716.2803224056897</c:v>
                </c:pt>
                <c:pt idx="335">
                  <c:v>-1680.6694889738592</c:v>
                </c:pt>
                <c:pt idx="336">
                  <c:v>489.92242923658705</c:v>
                </c:pt>
                <c:pt idx="337">
                  <c:v>713.25795988745449</c:v>
                </c:pt>
                <c:pt idx="338">
                  <c:v>6448.6885383404442</c:v>
                </c:pt>
                <c:pt idx="339">
                  <c:v>-920.8923613098541</c:v>
                </c:pt>
                <c:pt idx="340">
                  <c:v>15986.502683844743</c:v>
                </c:pt>
                <c:pt idx="341">
                  <c:v>-193.77938958451705</c:v>
                </c:pt>
                <c:pt idx="342">
                  <c:v>981.8872900939914</c:v>
                </c:pt>
                <c:pt idx="343">
                  <c:v>-1992.7660090788504</c:v>
                </c:pt>
                <c:pt idx="344">
                  <c:v>-4795.8371190050657</c:v>
                </c:pt>
                <c:pt idx="345">
                  <c:v>-1317.6934648126971</c:v>
                </c:pt>
                <c:pt idx="346">
                  <c:v>-3969.4571463759876</c:v>
                </c:pt>
                <c:pt idx="347">
                  <c:v>-2629.4877022916753</c:v>
                </c:pt>
                <c:pt idx="348">
                  <c:v>-1805.0723742569635</c:v>
                </c:pt>
                <c:pt idx="349">
                  <c:v>-119.37145917116004</c:v>
                </c:pt>
                <c:pt idx="350">
                  <c:v>1775.4391425011581</c:v>
                </c:pt>
                <c:pt idx="351">
                  <c:v>-97.017901062085002</c:v>
                </c:pt>
                <c:pt idx="352">
                  <c:v>-993.79670042151201</c:v>
                </c:pt>
                <c:pt idx="353">
                  <c:v>4654.9620431504718</c:v>
                </c:pt>
                <c:pt idx="354">
                  <c:v>9274.0443454827291</c:v>
                </c:pt>
                <c:pt idx="355">
                  <c:v>15961.641722576913</c:v>
                </c:pt>
                <c:pt idx="356">
                  <c:v>-6360.7578763439069</c:v>
                </c:pt>
                <c:pt idx="357">
                  <c:v>-1417.1610597268154</c:v>
                </c:pt>
                <c:pt idx="358">
                  <c:v>-5479.2796834826495</c:v>
                </c:pt>
                <c:pt idx="359">
                  <c:v>2377.6976811755371</c:v>
                </c:pt>
                <c:pt idx="360">
                  <c:v>-1573.562916529143</c:v>
                </c:pt>
                <c:pt idx="361">
                  <c:v>-2460.8634805745105</c:v>
                </c:pt>
                <c:pt idx="362">
                  <c:v>-9747.4405487558452</c:v>
                </c:pt>
                <c:pt idx="363">
                  <c:v>315.32937369944375</c:v>
                </c:pt>
                <c:pt idx="364">
                  <c:v>1876.1079849674886</c:v>
                </c:pt>
                <c:pt idx="365">
                  <c:v>-1133.5977759950329</c:v>
                </c:pt>
                <c:pt idx="366">
                  <c:v>-722.84529071781435</c:v>
                </c:pt>
                <c:pt idx="367">
                  <c:v>301.68933923646091</c:v>
                </c:pt>
                <c:pt idx="368">
                  <c:v>-2377.4174373979749</c:v>
                </c:pt>
                <c:pt idx="369">
                  <c:v>-261.44334676598419</c:v>
                </c:pt>
                <c:pt idx="370">
                  <c:v>3001.141445117868</c:v>
                </c:pt>
                <c:pt idx="371">
                  <c:v>2279.8774752003119</c:v>
                </c:pt>
                <c:pt idx="372">
                  <c:v>-2231.9781064304225</c:v>
                </c:pt>
                <c:pt idx="373">
                  <c:v>6136.5855570184322</c:v>
                </c:pt>
                <c:pt idx="374">
                  <c:v>-2389.9993251139795</c:v>
                </c:pt>
                <c:pt idx="375">
                  <c:v>-8716.8144508576843</c:v>
                </c:pt>
                <c:pt idx="376">
                  <c:v>-9536.2195170639025</c:v>
                </c:pt>
                <c:pt idx="377">
                  <c:v>7306.8940321720074</c:v>
                </c:pt>
                <c:pt idx="378">
                  <c:v>943.04676584738809</c:v>
                </c:pt>
                <c:pt idx="379">
                  <c:v>12518.137174778314</c:v>
                </c:pt>
                <c:pt idx="380">
                  <c:v>-10389.83433485</c:v>
                </c:pt>
                <c:pt idx="381">
                  <c:v>6537.3285328230486</c:v>
                </c:pt>
                <c:pt idx="382">
                  <c:v>8081.4390812611637</c:v>
                </c:pt>
                <c:pt idx="383">
                  <c:v>-5971.0902086015039</c:v>
                </c:pt>
                <c:pt idx="384">
                  <c:v>988.74122267320399</c:v>
                </c:pt>
                <c:pt idx="385">
                  <c:v>-2606.2005188237213</c:v>
                </c:pt>
                <c:pt idx="386">
                  <c:v>-3564.3878279192395</c:v>
                </c:pt>
                <c:pt idx="387">
                  <c:v>20384.171447513952</c:v>
                </c:pt>
                <c:pt idx="388">
                  <c:v>1298.4378693616832</c:v>
                </c:pt>
                <c:pt idx="389">
                  <c:v>-611.17672420829058</c:v>
                </c:pt>
                <c:pt idx="390">
                  <c:v>-2897.101662067822</c:v>
                </c:pt>
                <c:pt idx="391">
                  <c:v>-2705.1985694325949</c:v>
                </c:pt>
                <c:pt idx="392">
                  <c:v>-1904.066051554084</c:v>
                </c:pt>
                <c:pt idx="393">
                  <c:v>-1805.2607756145262</c:v>
                </c:pt>
                <c:pt idx="394">
                  <c:v>-1690.1079018684304</c:v>
                </c:pt>
                <c:pt idx="395">
                  <c:v>1378.0388375821049</c:v>
                </c:pt>
                <c:pt idx="396">
                  <c:v>-2954.9516413897327</c:v>
                </c:pt>
                <c:pt idx="397">
                  <c:v>13290.596908118865</c:v>
                </c:pt>
                <c:pt idx="398">
                  <c:v>1402.4323652212861</c:v>
                </c:pt>
                <c:pt idx="399">
                  <c:v>-3191.9215002047358</c:v>
                </c:pt>
                <c:pt idx="400">
                  <c:v>1587.1026058136222</c:v>
                </c:pt>
                <c:pt idx="401">
                  <c:v>-7700.1186448962217</c:v>
                </c:pt>
                <c:pt idx="402">
                  <c:v>-316.76118561259864</c:v>
                </c:pt>
                <c:pt idx="403">
                  <c:v>-2078.7037394053223</c:v>
                </c:pt>
                <c:pt idx="404">
                  <c:v>803.86503298898288</c:v>
                </c:pt>
                <c:pt idx="405">
                  <c:v>-3208.1662751251388</c:v>
                </c:pt>
                <c:pt idx="406">
                  <c:v>-45.374066780870635</c:v>
                </c:pt>
                <c:pt idx="407">
                  <c:v>454.31811106558416</c:v>
                </c:pt>
                <c:pt idx="408">
                  <c:v>739.00832499334865</c:v>
                </c:pt>
                <c:pt idx="409">
                  <c:v>-2212.6610992480719</c:v>
                </c:pt>
                <c:pt idx="410">
                  <c:v>3199.0064172495945</c:v>
                </c:pt>
                <c:pt idx="411">
                  <c:v>-10445.364642398188</c:v>
                </c:pt>
                <c:pt idx="412">
                  <c:v>-10438.313161360322</c:v>
                </c:pt>
                <c:pt idx="413">
                  <c:v>676.86758929775806</c:v>
                </c:pt>
                <c:pt idx="414">
                  <c:v>-1974.5465709546306</c:v>
                </c:pt>
                <c:pt idx="415">
                  <c:v>-3583.3191498211909</c:v>
                </c:pt>
                <c:pt idx="416">
                  <c:v>-3139.5868398731036</c:v>
                </c:pt>
                <c:pt idx="417">
                  <c:v>-10603.797067020634</c:v>
                </c:pt>
                <c:pt idx="418">
                  <c:v>-3058.5219417597327</c:v>
                </c:pt>
                <c:pt idx="419">
                  <c:v>-7686.231078293109</c:v>
                </c:pt>
                <c:pt idx="420">
                  <c:v>7773.9367347721636</c:v>
                </c:pt>
                <c:pt idx="421">
                  <c:v>7620.0666791376352</c:v>
                </c:pt>
                <c:pt idx="422">
                  <c:v>6080.5393952944214</c:v>
                </c:pt>
                <c:pt idx="423">
                  <c:v>-1461.507617980837</c:v>
                </c:pt>
                <c:pt idx="424">
                  <c:v>-1972.593970562597</c:v>
                </c:pt>
                <c:pt idx="425">
                  <c:v>96.688267525742049</c:v>
                </c:pt>
                <c:pt idx="426">
                  <c:v>-389.2223143742558</c:v>
                </c:pt>
                <c:pt idx="427">
                  <c:v>5398.416882380383</c:v>
                </c:pt>
                <c:pt idx="428">
                  <c:v>3969.9518699324653</c:v>
                </c:pt>
                <c:pt idx="429">
                  <c:v>12740.795487260813</c:v>
                </c:pt>
                <c:pt idx="430">
                  <c:v>19633.302604869856</c:v>
                </c:pt>
                <c:pt idx="431">
                  <c:v>2071.8754980268486</c:v>
                </c:pt>
                <c:pt idx="432">
                  <c:v>-1414.9896661128132</c:v>
                </c:pt>
                <c:pt idx="433">
                  <c:v>-546.4738482875855</c:v>
                </c:pt>
                <c:pt idx="434">
                  <c:v>-1323.8185288405766</c:v>
                </c:pt>
                <c:pt idx="435">
                  <c:v>-1525.3850563406195</c:v>
                </c:pt>
                <c:pt idx="436">
                  <c:v>-1527.4680952287508</c:v>
                </c:pt>
                <c:pt idx="437">
                  <c:v>-1717.1298671202167</c:v>
                </c:pt>
                <c:pt idx="438">
                  <c:v>-6126.9351635435578</c:v>
                </c:pt>
                <c:pt idx="439">
                  <c:v>-1182.5181260722097</c:v>
                </c:pt>
                <c:pt idx="440">
                  <c:v>-2143.9033094469287</c:v>
                </c:pt>
                <c:pt idx="441">
                  <c:v>6079.6857950928679</c:v>
                </c:pt>
                <c:pt idx="442">
                  <c:v>-5231.9546899562047</c:v>
                </c:pt>
                <c:pt idx="443">
                  <c:v>12950.030598392847</c:v>
                </c:pt>
                <c:pt idx="444">
                  <c:v>-9104.199392716695</c:v>
                </c:pt>
                <c:pt idx="445">
                  <c:v>-2808.6558857194004</c:v>
                </c:pt>
                <c:pt idx="446">
                  <c:v>-176.8770418441436</c:v>
                </c:pt>
                <c:pt idx="447">
                  <c:v>861.72998481371906</c:v>
                </c:pt>
                <c:pt idx="448">
                  <c:v>-1827.0684391233744</c:v>
                </c:pt>
                <c:pt idx="449">
                  <c:v>-5056.6008435883341</c:v>
                </c:pt>
                <c:pt idx="450">
                  <c:v>-1861.905193976314</c:v>
                </c:pt>
                <c:pt idx="451">
                  <c:v>159.74819217579352</c:v>
                </c:pt>
                <c:pt idx="452">
                  <c:v>352.67237577783681</c:v>
                </c:pt>
                <c:pt idx="453">
                  <c:v>-854.94063189981921</c:v>
                </c:pt>
                <c:pt idx="454">
                  <c:v>-7384.7765616739025</c:v>
                </c:pt>
                <c:pt idx="455">
                  <c:v>6649.4063794384037</c:v>
                </c:pt>
                <c:pt idx="456">
                  <c:v>-844.589837704616</c:v>
                </c:pt>
                <c:pt idx="457">
                  <c:v>-568.73606928231129</c:v>
                </c:pt>
                <c:pt idx="458">
                  <c:v>-4480.7065848211969</c:v>
                </c:pt>
                <c:pt idx="459">
                  <c:v>-2570.1441554209669</c:v>
                </c:pt>
                <c:pt idx="460">
                  <c:v>-3360.3016137077739</c:v>
                </c:pt>
                <c:pt idx="461">
                  <c:v>-10049.819860936099</c:v>
                </c:pt>
                <c:pt idx="462">
                  <c:v>-1861.509898618955</c:v>
                </c:pt>
                <c:pt idx="463">
                  <c:v>481.39843500397365</c:v>
                </c:pt>
                <c:pt idx="464">
                  <c:v>733.05587238646467</c:v>
                </c:pt>
                <c:pt idx="465">
                  <c:v>-9529.792615914881</c:v>
                </c:pt>
                <c:pt idx="466">
                  <c:v>145.85436128077345</c:v>
                </c:pt>
                <c:pt idx="467">
                  <c:v>-1525.4443074906339</c:v>
                </c:pt>
                <c:pt idx="468">
                  <c:v>19870.983140296674</c:v>
                </c:pt>
                <c:pt idx="469">
                  <c:v>1435.6727362537126</c:v>
                </c:pt>
                <c:pt idx="470">
                  <c:v>-2877.0143505512706</c:v>
                </c:pt>
                <c:pt idx="471">
                  <c:v>-27.60495031876917</c:v>
                </c:pt>
                <c:pt idx="472">
                  <c:v>-643.07806575414293</c:v>
                </c:pt>
                <c:pt idx="473">
                  <c:v>10130.491905923793</c:v>
                </c:pt>
                <c:pt idx="474">
                  <c:v>-9749.1840216158962</c:v>
                </c:pt>
                <c:pt idx="475">
                  <c:v>-8153.902044957038</c:v>
                </c:pt>
                <c:pt idx="476">
                  <c:v>8077.744875272132</c:v>
                </c:pt>
                <c:pt idx="477">
                  <c:v>-3275.0307312863415</c:v>
                </c:pt>
                <c:pt idx="478">
                  <c:v>-3637.9899704454037</c:v>
                </c:pt>
                <c:pt idx="479">
                  <c:v>-2482.9655669173144</c:v>
                </c:pt>
                <c:pt idx="480">
                  <c:v>-3307.576952672247</c:v>
                </c:pt>
                <c:pt idx="481">
                  <c:v>-4246.8053326622157</c:v>
                </c:pt>
                <c:pt idx="482">
                  <c:v>-1006.3747328276679</c:v>
                </c:pt>
                <c:pt idx="483">
                  <c:v>-4354.1202234311186</c:v>
                </c:pt>
                <c:pt idx="484">
                  <c:v>-3170.9880377573918</c:v>
                </c:pt>
                <c:pt idx="485">
                  <c:v>-1541.8557783125498</c:v>
                </c:pt>
                <c:pt idx="486">
                  <c:v>2323.59071671323</c:v>
                </c:pt>
                <c:pt idx="487">
                  <c:v>-779.57052262880893</c:v>
                </c:pt>
                <c:pt idx="488">
                  <c:v>13581.462417503019</c:v>
                </c:pt>
                <c:pt idx="489">
                  <c:v>-1603.6671383961184</c:v>
                </c:pt>
                <c:pt idx="490">
                  <c:v>-1636.5084145619026</c:v>
                </c:pt>
                <c:pt idx="491">
                  <c:v>12815.007547781432</c:v>
                </c:pt>
                <c:pt idx="492">
                  <c:v>1585.918262986736</c:v>
                </c:pt>
                <c:pt idx="493">
                  <c:v>-5020.3524522695825</c:v>
                </c:pt>
                <c:pt idx="494">
                  <c:v>-9346.954436964701</c:v>
                </c:pt>
                <c:pt idx="495">
                  <c:v>-76.507749771431463</c:v>
                </c:pt>
                <c:pt idx="496">
                  <c:v>498.38391280545511</c:v>
                </c:pt>
                <c:pt idx="497">
                  <c:v>-1656.6303443097104</c:v>
                </c:pt>
                <c:pt idx="498">
                  <c:v>303.48998443116852</c:v>
                </c:pt>
                <c:pt idx="499">
                  <c:v>-3029.6150676668476</c:v>
                </c:pt>
                <c:pt idx="500">
                  <c:v>5939.7445618571946</c:v>
                </c:pt>
                <c:pt idx="501">
                  <c:v>-525.18275297131459</c:v>
                </c:pt>
                <c:pt idx="502">
                  <c:v>-10584.513817163293</c:v>
                </c:pt>
                <c:pt idx="503">
                  <c:v>6204.5644569517863</c:v>
                </c:pt>
                <c:pt idx="504">
                  <c:v>-1505.7906001048741</c:v>
                </c:pt>
                <c:pt idx="505">
                  <c:v>-1998.4682023923233</c:v>
                </c:pt>
                <c:pt idx="506">
                  <c:v>-1490.1950776949143</c:v>
                </c:pt>
                <c:pt idx="507">
                  <c:v>1174.0497756828333</c:v>
                </c:pt>
                <c:pt idx="508">
                  <c:v>825.4095524647696</c:v>
                </c:pt>
                <c:pt idx="509">
                  <c:v>-376.50780118233342</c:v>
                </c:pt>
                <c:pt idx="510">
                  <c:v>-1381.9529930863391</c:v>
                </c:pt>
                <c:pt idx="511">
                  <c:v>-3194.2711393640698</c:v>
                </c:pt>
                <c:pt idx="512">
                  <c:v>1097.8628526426164</c:v>
                </c:pt>
                <c:pt idx="513">
                  <c:v>-1324.35490745887</c:v>
                </c:pt>
                <c:pt idx="514">
                  <c:v>-10264.498269660791</c:v>
                </c:pt>
                <c:pt idx="515">
                  <c:v>-2979.8421284011802</c:v>
                </c:pt>
                <c:pt idx="516">
                  <c:v>22831.992681714593</c:v>
                </c:pt>
                <c:pt idx="517">
                  <c:v>-1848.8586124096873</c:v>
                </c:pt>
                <c:pt idx="518">
                  <c:v>-2132.0941819951167</c:v>
                </c:pt>
                <c:pt idx="519">
                  <c:v>-1969.9682117727184</c:v>
                </c:pt>
                <c:pt idx="520">
                  <c:v>16061.014929937381</c:v>
                </c:pt>
                <c:pt idx="521">
                  <c:v>-6386.5060900190547</c:v>
                </c:pt>
                <c:pt idx="522">
                  <c:v>-2096.8410230171212</c:v>
                </c:pt>
                <c:pt idx="523">
                  <c:v>-4441.3486295617213</c:v>
                </c:pt>
                <c:pt idx="524">
                  <c:v>6843.1151366840459</c:v>
                </c:pt>
                <c:pt idx="525">
                  <c:v>8039.7875179840648</c:v>
                </c:pt>
                <c:pt idx="526">
                  <c:v>20470.869894909651</c:v>
                </c:pt>
                <c:pt idx="527">
                  <c:v>36.200995493492883</c:v>
                </c:pt>
                <c:pt idx="528">
                  <c:v>-4577.8930315662474</c:v>
                </c:pt>
                <c:pt idx="529">
                  <c:v>975.14292990707418</c:v>
                </c:pt>
                <c:pt idx="530">
                  <c:v>8236.3633970988303</c:v>
                </c:pt>
                <c:pt idx="531">
                  <c:v>-52.768388442989817</c:v>
                </c:pt>
                <c:pt idx="532">
                  <c:v>-690.45684977590645</c:v>
                </c:pt>
                <c:pt idx="533">
                  <c:v>10129.240838144104</c:v>
                </c:pt>
                <c:pt idx="534">
                  <c:v>-3597.0286779643102</c:v>
                </c:pt>
                <c:pt idx="535">
                  <c:v>-1121.7729805335775</c:v>
                </c:pt>
                <c:pt idx="536">
                  <c:v>-4374.4128808716314</c:v>
                </c:pt>
                <c:pt idx="537">
                  <c:v>-1600.1389559018844</c:v>
                </c:pt>
                <c:pt idx="538">
                  <c:v>-1026.6446242474558</c:v>
                </c:pt>
                <c:pt idx="539">
                  <c:v>15692.746110609873</c:v>
                </c:pt>
                <c:pt idx="540">
                  <c:v>-4118.5261256448939</c:v>
                </c:pt>
                <c:pt idx="541">
                  <c:v>-1176.4933958301581</c:v>
                </c:pt>
                <c:pt idx="542">
                  <c:v>-1937.7515067576842</c:v>
                </c:pt>
                <c:pt idx="543">
                  <c:v>22878.949127634129</c:v>
                </c:pt>
                <c:pt idx="544">
                  <c:v>-1312.734997481497</c:v>
                </c:pt>
                <c:pt idx="545">
                  <c:v>-9799.6606075207856</c:v>
                </c:pt>
                <c:pt idx="546">
                  <c:v>-3252.9746867375798</c:v>
                </c:pt>
                <c:pt idx="547">
                  <c:v>-6260.1481614247405</c:v>
                </c:pt>
                <c:pt idx="548">
                  <c:v>-333.18716931261815</c:v>
                </c:pt>
                <c:pt idx="549">
                  <c:v>8197.510905705909</c:v>
                </c:pt>
                <c:pt idx="550">
                  <c:v>-664.2137911310183</c:v>
                </c:pt>
                <c:pt idx="551">
                  <c:v>-1486.6512405769149</c:v>
                </c:pt>
                <c:pt idx="552">
                  <c:v>2185.5979029067366</c:v>
                </c:pt>
                <c:pt idx="553">
                  <c:v>-1277.0979462310752</c:v>
                </c:pt>
                <c:pt idx="554">
                  <c:v>10234.923172518746</c:v>
                </c:pt>
                <c:pt idx="555">
                  <c:v>123.58915422828068</c:v>
                </c:pt>
                <c:pt idx="556">
                  <c:v>-2659.9315855615914</c:v>
                </c:pt>
                <c:pt idx="557">
                  <c:v>-3739.4704622392301</c:v>
                </c:pt>
                <c:pt idx="558">
                  <c:v>6852.8137350757534</c:v>
                </c:pt>
                <c:pt idx="559">
                  <c:v>-2585.3219040342919</c:v>
                </c:pt>
                <c:pt idx="560">
                  <c:v>2067.590423220543</c:v>
                </c:pt>
                <c:pt idx="561">
                  <c:v>-1415.2746624992924</c:v>
                </c:pt>
                <c:pt idx="562">
                  <c:v>-2181.6131063858393</c:v>
                </c:pt>
                <c:pt idx="563">
                  <c:v>-6613.765309073955</c:v>
                </c:pt>
                <c:pt idx="564">
                  <c:v>-1022.1346441070459</c:v>
                </c:pt>
                <c:pt idx="565">
                  <c:v>-482.79879072878566</c:v>
                </c:pt>
                <c:pt idx="566">
                  <c:v>-4851.358972162383</c:v>
                </c:pt>
                <c:pt idx="567">
                  <c:v>-2004.7763663581782</c:v>
                </c:pt>
                <c:pt idx="568">
                  <c:v>-1613.5238093604839</c:v>
                </c:pt>
                <c:pt idx="569">
                  <c:v>7613.7087929727204</c:v>
                </c:pt>
                <c:pt idx="570">
                  <c:v>-1495.1491717295671</c:v>
                </c:pt>
                <c:pt idx="571">
                  <c:v>-2794.417781250293</c:v>
                </c:pt>
                <c:pt idx="572">
                  <c:v>-5704.3161633246546</c:v>
                </c:pt>
                <c:pt idx="573">
                  <c:v>15399.155999435769</c:v>
                </c:pt>
                <c:pt idx="574">
                  <c:v>-1355.494031170565</c:v>
                </c:pt>
                <c:pt idx="575">
                  <c:v>625.69363783436347</c:v>
                </c:pt>
                <c:pt idx="576">
                  <c:v>-543.41183533522235</c:v>
                </c:pt>
                <c:pt idx="577">
                  <c:v>26134.677798152385</c:v>
                </c:pt>
                <c:pt idx="578">
                  <c:v>-1774.2896843381968</c:v>
                </c:pt>
                <c:pt idx="579">
                  <c:v>1310.7799272628017</c:v>
                </c:pt>
                <c:pt idx="580">
                  <c:v>1135.8018138166553</c:v>
                </c:pt>
                <c:pt idx="581">
                  <c:v>-1002.2425739987013</c:v>
                </c:pt>
                <c:pt idx="582">
                  <c:v>-7165.8045698610613</c:v>
                </c:pt>
                <c:pt idx="583">
                  <c:v>13392.536650878865</c:v>
                </c:pt>
                <c:pt idx="584">
                  <c:v>1784.1207001008909</c:v>
                </c:pt>
                <c:pt idx="585">
                  <c:v>-1198.9035375778949</c:v>
                </c:pt>
                <c:pt idx="586">
                  <c:v>2615.969241123873</c:v>
                </c:pt>
                <c:pt idx="587">
                  <c:v>13271.72918756428</c:v>
                </c:pt>
                <c:pt idx="588">
                  <c:v>-1548.0965449889009</c:v>
                </c:pt>
                <c:pt idx="589">
                  <c:v>-2069.8026691054092</c:v>
                </c:pt>
                <c:pt idx="590">
                  <c:v>-343.75072936505603</c:v>
                </c:pt>
                <c:pt idx="591">
                  <c:v>1639.7775645156698</c:v>
                </c:pt>
                <c:pt idx="592">
                  <c:v>-1453.9888699549583</c:v>
                </c:pt>
                <c:pt idx="593">
                  <c:v>-9270.3210893885607</c:v>
                </c:pt>
                <c:pt idx="594">
                  <c:v>-5717.6335007410562</c:v>
                </c:pt>
                <c:pt idx="595">
                  <c:v>-2262.2630353713357</c:v>
                </c:pt>
                <c:pt idx="596">
                  <c:v>-1521.7847165347885</c:v>
                </c:pt>
                <c:pt idx="597">
                  <c:v>-2244.3298310574883</c:v>
                </c:pt>
                <c:pt idx="598">
                  <c:v>-2982.618800729726</c:v>
                </c:pt>
                <c:pt idx="599">
                  <c:v>19142.088374304098</c:v>
                </c:pt>
                <c:pt idx="600">
                  <c:v>-3509.1782890175355</c:v>
                </c:pt>
                <c:pt idx="601">
                  <c:v>-2055.1890245391587</c:v>
                </c:pt>
                <c:pt idx="602">
                  <c:v>590.89147580814097</c:v>
                </c:pt>
                <c:pt idx="603">
                  <c:v>-2303.2758185388466</c:v>
                </c:pt>
                <c:pt idx="604">
                  <c:v>-8250.4004215362584</c:v>
                </c:pt>
                <c:pt idx="605">
                  <c:v>-2739.1263325427462</c:v>
                </c:pt>
                <c:pt idx="606">
                  <c:v>596.84381374361737</c:v>
                </c:pt>
                <c:pt idx="607">
                  <c:v>-8856.3679345246528</c:v>
                </c:pt>
                <c:pt idx="608">
                  <c:v>-312.47810680677503</c:v>
                </c:pt>
                <c:pt idx="609">
                  <c:v>6684.3386537750739</c:v>
                </c:pt>
                <c:pt idx="610">
                  <c:v>-1394.7441833282119</c:v>
                </c:pt>
                <c:pt idx="611">
                  <c:v>-3271.4013503286133</c:v>
                </c:pt>
                <c:pt idx="612">
                  <c:v>-1001.8076149560557</c:v>
                </c:pt>
                <c:pt idx="613">
                  <c:v>2553.2405283381431</c:v>
                </c:pt>
                <c:pt idx="614">
                  <c:v>-1795.2470621763784</c:v>
                </c:pt>
                <c:pt idx="615">
                  <c:v>6879.3761860290615</c:v>
                </c:pt>
                <c:pt idx="616">
                  <c:v>117.97110344634712</c:v>
                </c:pt>
                <c:pt idx="617">
                  <c:v>-10223.109870838896</c:v>
                </c:pt>
                <c:pt idx="618">
                  <c:v>7175.5848448259239</c:v>
                </c:pt>
                <c:pt idx="619">
                  <c:v>-3305.9965703878097</c:v>
                </c:pt>
                <c:pt idx="620">
                  <c:v>-2553.0062064798217</c:v>
                </c:pt>
                <c:pt idx="621">
                  <c:v>6064.0416618834206</c:v>
                </c:pt>
                <c:pt idx="622">
                  <c:v>1321.3763229396618</c:v>
                </c:pt>
                <c:pt idx="623">
                  <c:v>7474.6322059487647</c:v>
                </c:pt>
                <c:pt idx="624">
                  <c:v>-245.22998508455021</c:v>
                </c:pt>
                <c:pt idx="625">
                  <c:v>-16.193650346331651</c:v>
                </c:pt>
                <c:pt idx="626">
                  <c:v>-1146.7971463937492</c:v>
                </c:pt>
                <c:pt idx="627">
                  <c:v>781.13765610529845</c:v>
                </c:pt>
                <c:pt idx="628">
                  <c:v>-3716.9033549359683</c:v>
                </c:pt>
                <c:pt idx="629">
                  <c:v>7393.3375689743407</c:v>
                </c:pt>
                <c:pt idx="630">
                  <c:v>-3569.7464684317092</c:v>
                </c:pt>
                <c:pt idx="631">
                  <c:v>-1538.0499009853179</c:v>
                </c:pt>
                <c:pt idx="632">
                  <c:v>-3443.5769773378511</c:v>
                </c:pt>
                <c:pt idx="633">
                  <c:v>707.5083523751382</c:v>
                </c:pt>
                <c:pt idx="634">
                  <c:v>-4907.2125039993625</c:v>
                </c:pt>
                <c:pt idx="635">
                  <c:v>-2280.1720654579312</c:v>
                </c:pt>
                <c:pt idx="636">
                  <c:v>1550.6604397300466</c:v>
                </c:pt>
                <c:pt idx="637">
                  <c:v>14785.149099300659</c:v>
                </c:pt>
                <c:pt idx="638">
                  <c:v>-10115.533902745075</c:v>
                </c:pt>
                <c:pt idx="639">
                  <c:v>-2115.1751141276873</c:v>
                </c:pt>
                <c:pt idx="640">
                  <c:v>-5754.032421907521</c:v>
                </c:pt>
                <c:pt idx="641">
                  <c:v>-282.97133677192323</c:v>
                </c:pt>
                <c:pt idx="642">
                  <c:v>-1397.776096320682</c:v>
                </c:pt>
                <c:pt idx="643">
                  <c:v>-2033.5798803736943</c:v>
                </c:pt>
                <c:pt idx="644">
                  <c:v>7509.8083975705849</c:v>
                </c:pt>
                <c:pt idx="645">
                  <c:v>-1459.9638997563234</c:v>
                </c:pt>
                <c:pt idx="646">
                  <c:v>-742.2387057355445</c:v>
                </c:pt>
                <c:pt idx="647">
                  <c:v>1098.8991539399076</c:v>
                </c:pt>
                <c:pt idx="648">
                  <c:v>0.94026526978927905</c:v>
                </c:pt>
                <c:pt idx="649">
                  <c:v>-1031.3801416304632</c:v>
                </c:pt>
                <c:pt idx="650">
                  <c:v>-5414.5907853512854</c:v>
                </c:pt>
                <c:pt idx="651">
                  <c:v>-4202.3613783759538</c:v>
                </c:pt>
                <c:pt idx="652">
                  <c:v>-2012.6184441132791</c:v>
                </c:pt>
                <c:pt idx="653">
                  <c:v>-3603.137005902925</c:v>
                </c:pt>
                <c:pt idx="654">
                  <c:v>-2194.98993431093</c:v>
                </c:pt>
                <c:pt idx="655">
                  <c:v>-9539.2309719776022</c:v>
                </c:pt>
                <c:pt idx="656">
                  <c:v>-5310.9956084117348</c:v>
                </c:pt>
                <c:pt idx="657">
                  <c:v>-2418.4428120209054</c:v>
                </c:pt>
                <c:pt idx="658">
                  <c:v>14087.067134759904</c:v>
                </c:pt>
                <c:pt idx="659">
                  <c:v>641.2437673928689</c:v>
                </c:pt>
                <c:pt idx="660">
                  <c:v>-7398.2914138715059</c:v>
                </c:pt>
                <c:pt idx="661">
                  <c:v>11406.285604682364</c:v>
                </c:pt>
                <c:pt idx="662">
                  <c:v>-1624.5578175383034</c:v>
                </c:pt>
                <c:pt idx="663">
                  <c:v>-2235.6405733908668</c:v>
                </c:pt>
                <c:pt idx="664">
                  <c:v>-8572.4485882870285</c:v>
                </c:pt>
                <c:pt idx="665">
                  <c:v>6567.602093741727</c:v>
                </c:pt>
                <c:pt idx="666">
                  <c:v>-1539.0380580853107</c:v>
                </c:pt>
                <c:pt idx="667">
                  <c:v>6485.037079748603</c:v>
                </c:pt>
                <c:pt idx="668">
                  <c:v>7710.8352157317349</c:v>
                </c:pt>
                <c:pt idx="669">
                  <c:v>-1778.8676492658542</c:v>
                </c:pt>
                <c:pt idx="670">
                  <c:v>-2376.4892760544744</c:v>
                </c:pt>
                <c:pt idx="671">
                  <c:v>-1460.1606469217513</c:v>
                </c:pt>
                <c:pt idx="672">
                  <c:v>-2339.0685500860745</c:v>
                </c:pt>
                <c:pt idx="673">
                  <c:v>-2267.5701384882532</c:v>
                </c:pt>
                <c:pt idx="674">
                  <c:v>8073.9136078471056</c:v>
                </c:pt>
                <c:pt idx="675">
                  <c:v>842.7540125938167</c:v>
                </c:pt>
                <c:pt idx="676">
                  <c:v>-4148.4153215661772</c:v>
                </c:pt>
                <c:pt idx="677">
                  <c:v>7440.3771666443863</c:v>
                </c:pt>
                <c:pt idx="678">
                  <c:v>-3012.5986215144221</c:v>
                </c:pt>
                <c:pt idx="679">
                  <c:v>1217.4065700523588</c:v>
                </c:pt>
                <c:pt idx="680">
                  <c:v>3199.4819992703569</c:v>
                </c:pt>
                <c:pt idx="681">
                  <c:v>1912.3052612373756</c:v>
                </c:pt>
                <c:pt idx="682">
                  <c:v>6030.7695949049012</c:v>
                </c:pt>
                <c:pt idx="683">
                  <c:v>472.79117258359838</c:v>
                </c:pt>
                <c:pt idx="684">
                  <c:v>1932.0043681807506</c:v>
                </c:pt>
                <c:pt idx="685">
                  <c:v>234.02220955381745</c:v>
                </c:pt>
                <c:pt idx="686">
                  <c:v>-352.63666000252215</c:v>
                </c:pt>
                <c:pt idx="687">
                  <c:v>-6190.4467994736342</c:v>
                </c:pt>
                <c:pt idx="688">
                  <c:v>17990.301409644977</c:v>
                </c:pt>
                <c:pt idx="689">
                  <c:v>5643.1640482628536</c:v>
                </c:pt>
                <c:pt idx="690">
                  <c:v>-13.811257482297151</c:v>
                </c:pt>
                <c:pt idx="691">
                  <c:v>-4072.4955647336947</c:v>
                </c:pt>
                <c:pt idx="692">
                  <c:v>-1591.8702790032703</c:v>
                </c:pt>
                <c:pt idx="693">
                  <c:v>653.95466805332717</c:v>
                </c:pt>
                <c:pt idx="694">
                  <c:v>-2955.0994541488744</c:v>
                </c:pt>
                <c:pt idx="695">
                  <c:v>-4333.6712355726286</c:v>
                </c:pt>
                <c:pt idx="696">
                  <c:v>16280.422946819079</c:v>
                </c:pt>
                <c:pt idx="697">
                  <c:v>6013.4952645114608</c:v>
                </c:pt>
                <c:pt idx="698">
                  <c:v>-2214.9957931290719</c:v>
                </c:pt>
                <c:pt idx="699">
                  <c:v>-3913.2662110734982</c:v>
                </c:pt>
                <c:pt idx="700">
                  <c:v>-2514.4763928198017</c:v>
                </c:pt>
                <c:pt idx="701">
                  <c:v>-5649.2514084570994</c:v>
                </c:pt>
                <c:pt idx="702">
                  <c:v>-5406.1218861431971</c:v>
                </c:pt>
                <c:pt idx="703">
                  <c:v>-252.37383562359446</c:v>
                </c:pt>
                <c:pt idx="704">
                  <c:v>-1067.8248788254241</c:v>
                </c:pt>
                <c:pt idx="705">
                  <c:v>-2567.1421482785336</c:v>
                </c:pt>
                <c:pt idx="706">
                  <c:v>7291.7866661905282</c:v>
                </c:pt>
                <c:pt idx="707">
                  <c:v>-921.83807514854561</c:v>
                </c:pt>
                <c:pt idx="708">
                  <c:v>-1012.6998253305273</c:v>
                </c:pt>
                <c:pt idx="709">
                  <c:v>-638.96420051729638</c:v>
                </c:pt>
                <c:pt idx="710">
                  <c:v>-2613.6534493121599</c:v>
                </c:pt>
                <c:pt idx="711">
                  <c:v>794.12795769916738</c:v>
                </c:pt>
                <c:pt idx="712">
                  <c:v>-1496.9351642888032</c:v>
                </c:pt>
                <c:pt idx="713">
                  <c:v>-4095.0937414002356</c:v>
                </c:pt>
                <c:pt idx="714">
                  <c:v>1098.0414980508062</c:v>
                </c:pt>
                <c:pt idx="715">
                  <c:v>-522.73560374164481</c:v>
                </c:pt>
                <c:pt idx="716">
                  <c:v>1284.5718852176742</c:v>
                </c:pt>
                <c:pt idx="717">
                  <c:v>1443.4753057252838</c:v>
                </c:pt>
                <c:pt idx="718">
                  <c:v>-2948.7167689363087</c:v>
                </c:pt>
                <c:pt idx="719">
                  <c:v>-1383.5993579800379</c:v>
                </c:pt>
                <c:pt idx="720">
                  <c:v>-4258.3531351810998</c:v>
                </c:pt>
                <c:pt idx="721">
                  <c:v>-3498.9818009439623</c:v>
                </c:pt>
                <c:pt idx="722">
                  <c:v>-2941.7845425526648</c:v>
                </c:pt>
                <c:pt idx="723">
                  <c:v>-2926.6619216649333</c:v>
                </c:pt>
                <c:pt idx="724">
                  <c:v>128.79916420130212</c:v>
                </c:pt>
                <c:pt idx="725">
                  <c:v>7499.5095846777331</c:v>
                </c:pt>
                <c:pt idx="726">
                  <c:v>-1420.0658356043068</c:v>
                </c:pt>
                <c:pt idx="727">
                  <c:v>-10003.928364761494</c:v>
                </c:pt>
                <c:pt idx="728">
                  <c:v>-3285.0950601996947</c:v>
                </c:pt>
                <c:pt idx="729">
                  <c:v>-3773.6071524106119</c:v>
                </c:pt>
                <c:pt idx="730">
                  <c:v>-10651.482628407106</c:v>
                </c:pt>
                <c:pt idx="731">
                  <c:v>1141.0361533341165</c:v>
                </c:pt>
                <c:pt idx="732">
                  <c:v>-958.92596989575759</c:v>
                </c:pt>
                <c:pt idx="733">
                  <c:v>-75.537387677815786</c:v>
                </c:pt>
                <c:pt idx="734">
                  <c:v>-855.06653214064136</c:v>
                </c:pt>
                <c:pt idx="735">
                  <c:v>-2612.2387733314736</c:v>
                </c:pt>
                <c:pt idx="736">
                  <c:v>6814.0815058779044</c:v>
                </c:pt>
                <c:pt idx="737">
                  <c:v>308.13030917311517</c:v>
                </c:pt>
                <c:pt idx="738">
                  <c:v>6917.0806047879014</c:v>
                </c:pt>
                <c:pt idx="739">
                  <c:v>13026.460287640213</c:v>
                </c:pt>
                <c:pt idx="740">
                  <c:v>421.32204994454423</c:v>
                </c:pt>
                <c:pt idx="741">
                  <c:v>-9806.0400585657262</c:v>
                </c:pt>
                <c:pt idx="742">
                  <c:v>6903.0215497668105</c:v>
                </c:pt>
                <c:pt idx="743">
                  <c:v>-700.40489268336023</c:v>
                </c:pt>
                <c:pt idx="744">
                  <c:v>-462.59163736346818</c:v>
                </c:pt>
                <c:pt idx="745">
                  <c:v>-1045.403500435983</c:v>
                </c:pt>
                <c:pt idx="746">
                  <c:v>5436.7424211542666</c:v>
                </c:pt>
                <c:pt idx="747">
                  <c:v>1829.0338701034116</c:v>
                </c:pt>
                <c:pt idx="748">
                  <c:v>-3519.4032841654516</c:v>
                </c:pt>
                <c:pt idx="749">
                  <c:v>-1991.6706897816503</c:v>
                </c:pt>
                <c:pt idx="750">
                  <c:v>-10206.69627405595</c:v>
                </c:pt>
                <c:pt idx="751">
                  <c:v>-731.3564730708556</c:v>
                </c:pt>
                <c:pt idx="752">
                  <c:v>-2388.8405156481895</c:v>
                </c:pt>
                <c:pt idx="753">
                  <c:v>1652.7238103356995</c:v>
                </c:pt>
                <c:pt idx="754">
                  <c:v>10324.935362528939</c:v>
                </c:pt>
                <c:pt idx="755">
                  <c:v>-703.88241168724926</c:v>
                </c:pt>
                <c:pt idx="756">
                  <c:v>1273.7346608897542</c:v>
                </c:pt>
                <c:pt idx="757">
                  <c:v>-9719.2611534224452</c:v>
                </c:pt>
                <c:pt idx="758">
                  <c:v>-3671.3930967039805</c:v>
                </c:pt>
                <c:pt idx="759">
                  <c:v>7672.8086537797426</c:v>
                </c:pt>
                <c:pt idx="760">
                  <c:v>-1720.7877244178526</c:v>
                </c:pt>
                <c:pt idx="761">
                  <c:v>-3213.4859859639391</c:v>
                </c:pt>
                <c:pt idx="762">
                  <c:v>-10372.463542269201</c:v>
                </c:pt>
                <c:pt idx="763">
                  <c:v>-166.15063568561936</c:v>
                </c:pt>
                <c:pt idx="764">
                  <c:v>544.99605070556208</c:v>
                </c:pt>
                <c:pt idx="765">
                  <c:v>-994.94963506112435</c:v>
                </c:pt>
                <c:pt idx="766">
                  <c:v>-2822.696093652964</c:v>
                </c:pt>
                <c:pt idx="767">
                  <c:v>-1483.4609276251849</c:v>
                </c:pt>
                <c:pt idx="768">
                  <c:v>-2858.0687837481655</c:v>
                </c:pt>
                <c:pt idx="769">
                  <c:v>2022.669598212965</c:v>
                </c:pt>
                <c:pt idx="770">
                  <c:v>11275.894441833796</c:v>
                </c:pt>
                <c:pt idx="771">
                  <c:v>47.088402729867084</c:v>
                </c:pt>
                <c:pt idx="772">
                  <c:v>1813.4614800076597</c:v>
                </c:pt>
                <c:pt idx="773">
                  <c:v>-8154.3334211557485</c:v>
                </c:pt>
                <c:pt idx="774">
                  <c:v>-3161.6420306149557</c:v>
                </c:pt>
                <c:pt idx="775">
                  <c:v>-2634.8779989924824</c:v>
                </c:pt>
                <c:pt idx="776">
                  <c:v>-2567.3188578862937</c:v>
                </c:pt>
                <c:pt idx="777">
                  <c:v>-4863.3495417697286</c:v>
                </c:pt>
                <c:pt idx="778">
                  <c:v>-3454.0306705195899</c:v>
                </c:pt>
                <c:pt idx="779">
                  <c:v>-988.51282437233021</c:v>
                </c:pt>
                <c:pt idx="780">
                  <c:v>-10458.580863698502</c:v>
                </c:pt>
                <c:pt idx="781">
                  <c:v>-4632.6918666431375</c:v>
                </c:pt>
                <c:pt idx="782">
                  <c:v>-3711.8914714016373</c:v>
                </c:pt>
                <c:pt idx="783">
                  <c:v>-9437.4428683058613</c:v>
                </c:pt>
                <c:pt idx="784">
                  <c:v>-1430.9253117299832</c:v>
                </c:pt>
                <c:pt idx="785">
                  <c:v>-843.57618371076205</c:v>
                </c:pt>
                <c:pt idx="786">
                  <c:v>-2521.0522536276112</c:v>
                </c:pt>
                <c:pt idx="787">
                  <c:v>-3258.1945844738148</c:v>
                </c:pt>
                <c:pt idx="788">
                  <c:v>1167.7211840030604</c:v>
                </c:pt>
                <c:pt idx="789">
                  <c:v>-55.733249300394164</c:v>
                </c:pt>
                <c:pt idx="790">
                  <c:v>-5744.5250464558121</c:v>
                </c:pt>
                <c:pt idx="791">
                  <c:v>-427.06297950347675</c:v>
                </c:pt>
                <c:pt idx="792">
                  <c:v>1701.4768990636162</c:v>
                </c:pt>
                <c:pt idx="793">
                  <c:v>-10905.530675714981</c:v>
                </c:pt>
                <c:pt idx="794">
                  <c:v>-1964.37101747628</c:v>
                </c:pt>
                <c:pt idx="795">
                  <c:v>-9532.5901467189396</c:v>
                </c:pt>
                <c:pt idx="796">
                  <c:v>-6545.823706449989</c:v>
                </c:pt>
                <c:pt idx="797">
                  <c:v>1244.5179746846911</c:v>
                </c:pt>
                <c:pt idx="798">
                  <c:v>-1657.642481014027</c:v>
                </c:pt>
                <c:pt idx="799">
                  <c:v>-10293.442743174386</c:v>
                </c:pt>
                <c:pt idx="800">
                  <c:v>-579.75977161296487</c:v>
                </c:pt>
                <c:pt idx="801">
                  <c:v>-1662.7477511504421</c:v>
                </c:pt>
                <c:pt idx="802">
                  <c:v>1140.2211253484143</c:v>
                </c:pt>
                <c:pt idx="803">
                  <c:v>8847.7607442160006</c:v>
                </c:pt>
                <c:pt idx="804">
                  <c:v>-544.17407972797901</c:v>
                </c:pt>
                <c:pt idx="805">
                  <c:v>-3295.7086444332908</c:v>
                </c:pt>
                <c:pt idx="806">
                  <c:v>16460.936663747671</c:v>
                </c:pt>
                <c:pt idx="807">
                  <c:v>-2431.2041200033591</c:v>
                </c:pt>
                <c:pt idx="808">
                  <c:v>-1107.6164353898009</c:v>
                </c:pt>
                <c:pt idx="809">
                  <c:v>176.18172996910016</c:v>
                </c:pt>
                <c:pt idx="810">
                  <c:v>-1676.9181131524365</c:v>
                </c:pt>
                <c:pt idx="811">
                  <c:v>-5286.0769483501281</c:v>
                </c:pt>
                <c:pt idx="812">
                  <c:v>1483.5052775660115</c:v>
                </c:pt>
                <c:pt idx="813">
                  <c:v>1118.3820068792393</c:v>
                </c:pt>
                <c:pt idx="814">
                  <c:v>-3623.8556166166554</c:v>
                </c:pt>
                <c:pt idx="815">
                  <c:v>-1301.7365018009123</c:v>
                </c:pt>
                <c:pt idx="816">
                  <c:v>960.2917684338363</c:v>
                </c:pt>
                <c:pt idx="817">
                  <c:v>-3591.3672824538894</c:v>
                </c:pt>
                <c:pt idx="818">
                  <c:v>-9308.1217271240021</c:v>
                </c:pt>
                <c:pt idx="819">
                  <c:v>23482.357547325199</c:v>
                </c:pt>
                <c:pt idx="820">
                  <c:v>-3374.4350429699534</c:v>
                </c:pt>
                <c:pt idx="821">
                  <c:v>2392.5171993972726</c:v>
                </c:pt>
                <c:pt idx="822">
                  <c:v>-935.87322420259989</c:v>
                </c:pt>
                <c:pt idx="823">
                  <c:v>-1564.7999941331</c:v>
                </c:pt>
                <c:pt idx="824">
                  <c:v>1327.9776212711076</c:v>
                </c:pt>
                <c:pt idx="825">
                  <c:v>479.56018253473849</c:v>
                </c:pt>
                <c:pt idx="826">
                  <c:v>6487.0024942615055</c:v>
                </c:pt>
                <c:pt idx="827">
                  <c:v>-9710.9728118883868</c:v>
                </c:pt>
                <c:pt idx="828">
                  <c:v>5989.8538055406461</c:v>
                </c:pt>
                <c:pt idx="829">
                  <c:v>658.17762468055298</c:v>
                </c:pt>
                <c:pt idx="830">
                  <c:v>-1401.2750176658064</c:v>
                </c:pt>
                <c:pt idx="831">
                  <c:v>-230.08753511899249</c:v>
                </c:pt>
                <c:pt idx="832">
                  <c:v>981.16844110042712</c:v>
                </c:pt>
                <c:pt idx="833">
                  <c:v>-2177.0376906791898</c:v>
                </c:pt>
                <c:pt idx="834">
                  <c:v>-3160.8718453376932</c:v>
                </c:pt>
                <c:pt idx="835">
                  <c:v>-4090.5792209742576</c:v>
                </c:pt>
                <c:pt idx="836">
                  <c:v>-2915.8990752002555</c:v>
                </c:pt>
                <c:pt idx="837">
                  <c:v>209.30265325609253</c:v>
                </c:pt>
                <c:pt idx="838">
                  <c:v>981.08022286759569</c:v>
                </c:pt>
                <c:pt idx="839">
                  <c:v>-578.21353337226174</c:v>
                </c:pt>
                <c:pt idx="840">
                  <c:v>-1795.3369041084316</c:v>
                </c:pt>
                <c:pt idx="841">
                  <c:v>1263.8547955218019</c:v>
                </c:pt>
                <c:pt idx="842">
                  <c:v>6884.5484473504512</c:v>
                </c:pt>
                <c:pt idx="843">
                  <c:v>-8466.529804351605</c:v>
                </c:pt>
                <c:pt idx="844">
                  <c:v>-1306.058039960888</c:v>
                </c:pt>
                <c:pt idx="845">
                  <c:v>7385.2765701565222</c:v>
                </c:pt>
                <c:pt idx="846">
                  <c:v>-2655.674788372693</c:v>
                </c:pt>
                <c:pt idx="847">
                  <c:v>-8078.0900810935445</c:v>
                </c:pt>
                <c:pt idx="848">
                  <c:v>358.33987179792075</c:v>
                </c:pt>
                <c:pt idx="849">
                  <c:v>-2026.0010530995642</c:v>
                </c:pt>
                <c:pt idx="850">
                  <c:v>6114.502781499541</c:v>
                </c:pt>
                <c:pt idx="851">
                  <c:v>-849.23551182376832</c:v>
                </c:pt>
                <c:pt idx="852">
                  <c:v>7106.5765520305795</c:v>
                </c:pt>
                <c:pt idx="853">
                  <c:v>1575.449541111444</c:v>
                </c:pt>
                <c:pt idx="854">
                  <c:v>-9331.3973743983915</c:v>
                </c:pt>
                <c:pt idx="855">
                  <c:v>-705.67829251625608</c:v>
                </c:pt>
                <c:pt idx="856">
                  <c:v>6232.2581322456026</c:v>
                </c:pt>
                <c:pt idx="857">
                  <c:v>-10103.156801642128</c:v>
                </c:pt>
                <c:pt idx="858">
                  <c:v>13027.920065813754</c:v>
                </c:pt>
                <c:pt idx="859">
                  <c:v>-673.23095947760703</c:v>
                </c:pt>
                <c:pt idx="860">
                  <c:v>8597.3173546186954</c:v>
                </c:pt>
                <c:pt idx="861">
                  <c:v>-976.76612655419467</c:v>
                </c:pt>
                <c:pt idx="862">
                  <c:v>-1549.5563503505309</c:v>
                </c:pt>
                <c:pt idx="863">
                  <c:v>1887.8739108856635</c:v>
                </c:pt>
                <c:pt idx="864">
                  <c:v>-440.11212782419716</c:v>
                </c:pt>
                <c:pt idx="865">
                  <c:v>-2181.2114910673854</c:v>
                </c:pt>
                <c:pt idx="866">
                  <c:v>-3398.9154657044701</c:v>
                </c:pt>
                <c:pt idx="867">
                  <c:v>-5556.9311593463444</c:v>
                </c:pt>
                <c:pt idx="868">
                  <c:v>1890.1578968301583</c:v>
                </c:pt>
                <c:pt idx="869">
                  <c:v>806.68765925291973</c:v>
                </c:pt>
                <c:pt idx="870">
                  <c:v>-3982.9087711789398</c:v>
                </c:pt>
                <c:pt idx="871">
                  <c:v>-1170.6342837032689</c:v>
                </c:pt>
                <c:pt idx="872">
                  <c:v>-761.24840431674147</c:v>
                </c:pt>
                <c:pt idx="873">
                  <c:v>-2296.9629780808737</c:v>
                </c:pt>
                <c:pt idx="874">
                  <c:v>1195.5704569371264</c:v>
                </c:pt>
                <c:pt idx="875">
                  <c:v>-188.11693830233071</c:v>
                </c:pt>
                <c:pt idx="876">
                  <c:v>16412.828486460628</c:v>
                </c:pt>
                <c:pt idx="877">
                  <c:v>-2882.6982524502564</c:v>
                </c:pt>
                <c:pt idx="878">
                  <c:v>-1929.6481397265861</c:v>
                </c:pt>
                <c:pt idx="879">
                  <c:v>-1567.3314079398333</c:v>
                </c:pt>
                <c:pt idx="880">
                  <c:v>-2747.791548588742</c:v>
                </c:pt>
                <c:pt idx="881">
                  <c:v>-318.06858768883194</c:v>
                </c:pt>
                <c:pt idx="882">
                  <c:v>2149.5995223630384</c:v>
                </c:pt>
                <c:pt idx="883">
                  <c:v>8051.0557364226843</c:v>
                </c:pt>
                <c:pt idx="884">
                  <c:v>48.680233902392501</c:v>
                </c:pt>
                <c:pt idx="885">
                  <c:v>-10024.783402138262</c:v>
                </c:pt>
                <c:pt idx="886">
                  <c:v>-8513.2595829791899</c:v>
                </c:pt>
                <c:pt idx="887">
                  <c:v>-1569.6161989952625</c:v>
                </c:pt>
                <c:pt idx="888">
                  <c:v>-4600.4531953049727</c:v>
                </c:pt>
                <c:pt idx="889">
                  <c:v>-1946.8848327353371</c:v>
                </c:pt>
                <c:pt idx="890">
                  <c:v>-7532.9907023535525</c:v>
                </c:pt>
                <c:pt idx="891">
                  <c:v>-1176.5732863941657</c:v>
                </c:pt>
                <c:pt idx="892">
                  <c:v>866.11411506299009</c:v>
                </c:pt>
                <c:pt idx="893">
                  <c:v>6895.1980299200368</c:v>
                </c:pt>
                <c:pt idx="894">
                  <c:v>-663.54372152265023</c:v>
                </c:pt>
                <c:pt idx="895">
                  <c:v>-4723.6292939743089</c:v>
                </c:pt>
                <c:pt idx="896">
                  <c:v>-10396.62068407383</c:v>
                </c:pt>
                <c:pt idx="897">
                  <c:v>726.77822376098129</c:v>
                </c:pt>
                <c:pt idx="898">
                  <c:v>-3861.685832142869</c:v>
                </c:pt>
                <c:pt idx="899">
                  <c:v>2074.4832039440894</c:v>
                </c:pt>
                <c:pt idx="900">
                  <c:v>910.51798403341127</c:v>
                </c:pt>
                <c:pt idx="901">
                  <c:v>8323.7984880914591</c:v>
                </c:pt>
                <c:pt idx="902">
                  <c:v>-135.81685750163069</c:v>
                </c:pt>
                <c:pt idx="903">
                  <c:v>-4266.29617569537</c:v>
                </c:pt>
                <c:pt idx="904">
                  <c:v>-2020.5963013571636</c:v>
                </c:pt>
                <c:pt idx="905">
                  <c:v>-432.07897389394293</c:v>
                </c:pt>
                <c:pt idx="906">
                  <c:v>-1920.282027947238</c:v>
                </c:pt>
                <c:pt idx="907">
                  <c:v>-2491.0650277755476</c:v>
                </c:pt>
                <c:pt idx="908">
                  <c:v>-3201.8733633393967</c:v>
                </c:pt>
                <c:pt idx="909">
                  <c:v>-10381.053212289989</c:v>
                </c:pt>
                <c:pt idx="910">
                  <c:v>-515.99241305762826</c:v>
                </c:pt>
                <c:pt idx="911">
                  <c:v>7170.4200880771459</c:v>
                </c:pt>
                <c:pt idx="912">
                  <c:v>1260.0273002161139</c:v>
                </c:pt>
                <c:pt idx="913">
                  <c:v>-940.03183802407693</c:v>
                </c:pt>
                <c:pt idx="914">
                  <c:v>-14.914761710675521</c:v>
                </c:pt>
                <c:pt idx="915">
                  <c:v>-2552.0138803106038</c:v>
                </c:pt>
                <c:pt idx="916">
                  <c:v>-9674.8120484160791</c:v>
                </c:pt>
                <c:pt idx="917">
                  <c:v>4388.7283342596493</c:v>
                </c:pt>
                <c:pt idx="918">
                  <c:v>339.66087091684676</c:v>
                </c:pt>
                <c:pt idx="919">
                  <c:v>-3160.775285115411</c:v>
                </c:pt>
                <c:pt idx="920">
                  <c:v>1520.9368526783692</c:v>
                </c:pt>
                <c:pt idx="921">
                  <c:v>-1106.8466506195728</c:v>
                </c:pt>
                <c:pt idx="922">
                  <c:v>-2658.1457039861853</c:v>
                </c:pt>
                <c:pt idx="923">
                  <c:v>-3870.8110637993741</c:v>
                </c:pt>
                <c:pt idx="924">
                  <c:v>-201.27698293068261</c:v>
                </c:pt>
                <c:pt idx="925">
                  <c:v>13261.973635349976</c:v>
                </c:pt>
                <c:pt idx="926">
                  <c:v>1638.8702813379703</c:v>
                </c:pt>
                <c:pt idx="927">
                  <c:v>2494.9579477062689</c:v>
                </c:pt>
                <c:pt idx="928">
                  <c:v>-3016.7966115531963</c:v>
                </c:pt>
                <c:pt idx="929">
                  <c:v>-3663.3443290975465</c:v>
                </c:pt>
                <c:pt idx="930">
                  <c:v>-7123.5012021459452</c:v>
                </c:pt>
                <c:pt idx="931">
                  <c:v>-2648.7363155783614</c:v>
                </c:pt>
                <c:pt idx="932">
                  <c:v>-332.61573003802005</c:v>
                </c:pt>
                <c:pt idx="933">
                  <c:v>-3513.6709719700666</c:v>
                </c:pt>
                <c:pt idx="934">
                  <c:v>-4388.4624451085638</c:v>
                </c:pt>
                <c:pt idx="935">
                  <c:v>272.56286756640657</c:v>
                </c:pt>
                <c:pt idx="936">
                  <c:v>22348.79776107999</c:v>
                </c:pt>
                <c:pt idx="937">
                  <c:v>848.07258074937999</c:v>
                </c:pt>
                <c:pt idx="938">
                  <c:v>392.40608876975443</c:v>
                </c:pt>
                <c:pt idx="939">
                  <c:v>-1563.7896660770566</c:v>
                </c:pt>
                <c:pt idx="940">
                  <c:v>1113.1810862998022</c:v>
                </c:pt>
                <c:pt idx="941">
                  <c:v>-6547.7743608243545</c:v>
                </c:pt>
                <c:pt idx="942">
                  <c:v>-3254.6511769297808</c:v>
                </c:pt>
                <c:pt idx="943">
                  <c:v>1555.0394206741746</c:v>
                </c:pt>
                <c:pt idx="944">
                  <c:v>-3752.5518917409318</c:v>
                </c:pt>
                <c:pt idx="945">
                  <c:v>-2658.455569570413</c:v>
                </c:pt>
                <c:pt idx="946">
                  <c:v>-4036.1007824912513</c:v>
                </c:pt>
                <c:pt idx="947">
                  <c:v>6317.4024682367708</c:v>
                </c:pt>
                <c:pt idx="948">
                  <c:v>-2427.5991254862956</c:v>
                </c:pt>
                <c:pt idx="949">
                  <c:v>-9200.9037621051539</c:v>
                </c:pt>
                <c:pt idx="950">
                  <c:v>3039.0745892668328</c:v>
                </c:pt>
                <c:pt idx="951">
                  <c:v>7849.5088453474164</c:v>
                </c:pt>
                <c:pt idx="952">
                  <c:v>-721.22425497039058</c:v>
                </c:pt>
                <c:pt idx="953">
                  <c:v>5277.6202127433062</c:v>
                </c:pt>
                <c:pt idx="954">
                  <c:v>-9898.1162306878432</c:v>
                </c:pt>
                <c:pt idx="955">
                  <c:v>-5198.2454627955885</c:v>
                </c:pt>
                <c:pt idx="956">
                  <c:v>5980.4906132808319</c:v>
                </c:pt>
                <c:pt idx="957">
                  <c:v>9428.366804600304</c:v>
                </c:pt>
                <c:pt idx="958">
                  <c:v>6512.6347580953079</c:v>
                </c:pt>
                <c:pt idx="959">
                  <c:v>15919.118768600581</c:v>
                </c:pt>
                <c:pt idx="960">
                  <c:v>-3289.9091001864667</c:v>
                </c:pt>
                <c:pt idx="961">
                  <c:v>-357.53366797697299</c:v>
                </c:pt>
                <c:pt idx="962">
                  <c:v>-1469.7462791781782</c:v>
                </c:pt>
                <c:pt idx="963">
                  <c:v>341.45256090904513</c:v>
                </c:pt>
                <c:pt idx="964">
                  <c:v>12381.820940463418</c:v>
                </c:pt>
                <c:pt idx="965">
                  <c:v>-1371.2947109143879</c:v>
                </c:pt>
                <c:pt idx="966">
                  <c:v>-9818.8825062124306</c:v>
                </c:pt>
                <c:pt idx="967">
                  <c:v>-361.84669295808635</c:v>
                </c:pt>
                <c:pt idx="968">
                  <c:v>734.72932701461377</c:v>
                </c:pt>
                <c:pt idx="969">
                  <c:v>-2769.9853309326609</c:v>
                </c:pt>
                <c:pt idx="970">
                  <c:v>-570.90603897305846</c:v>
                </c:pt>
                <c:pt idx="971">
                  <c:v>745.44347801968433</c:v>
                </c:pt>
                <c:pt idx="972">
                  <c:v>2445.235680430987</c:v>
                </c:pt>
                <c:pt idx="973">
                  <c:v>-4072.0150761551167</c:v>
                </c:pt>
                <c:pt idx="974">
                  <c:v>-3678.6727010342502</c:v>
                </c:pt>
                <c:pt idx="975">
                  <c:v>-10416.292048454654</c:v>
                </c:pt>
                <c:pt idx="976">
                  <c:v>-5392.1802977410152</c:v>
                </c:pt>
                <c:pt idx="977">
                  <c:v>-1553.8820207656699</c:v>
                </c:pt>
                <c:pt idx="978">
                  <c:v>-4088.7442549470288</c:v>
                </c:pt>
                <c:pt idx="979">
                  <c:v>-1920.5700587111405</c:v>
                </c:pt>
                <c:pt idx="980">
                  <c:v>15028.170550468438</c:v>
                </c:pt>
                <c:pt idx="981">
                  <c:v>956.65159322773434</c:v>
                </c:pt>
                <c:pt idx="982">
                  <c:v>-10258.479475290678</c:v>
                </c:pt>
                <c:pt idx="983">
                  <c:v>11618.307851812628</c:v>
                </c:pt>
                <c:pt idx="984">
                  <c:v>-199.22754270859696</c:v>
                </c:pt>
                <c:pt idx="985">
                  <c:v>-395.24745319401518</c:v>
                </c:pt>
                <c:pt idx="986">
                  <c:v>-1687.7745802151367</c:v>
                </c:pt>
                <c:pt idx="987">
                  <c:v>19468.646001233588</c:v>
                </c:pt>
                <c:pt idx="988">
                  <c:v>-3305.4850645603919</c:v>
                </c:pt>
                <c:pt idx="989">
                  <c:v>-9929.5186300549922</c:v>
                </c:pt>
                <c:pt idx="990">
                  <c:v>1931.4320957996665</c:v>
                </c:pt>
                <c:pt idx="991">
                  <c:v>-456.38772953956959</c:v>
                </c:pt>
                <c:pt idx="992">
                  <c:v>-1788.7909492010058</c:v>
                </c:pt>
                <c:pt idx="993">
                  <c:v>-1783.2860742296734</c:v>
                </c:pt>
                <c:pt idx="994">
                  <c:v>-10122.090882333956</c:v>
                </c:pt>
                <c:pt idx="995">
                  <c:v>1121.5154445401795</c:v>
                </c:pt>
                <c:pt idx="996">
                  <c:v>-2930.4791912159462</c:v>
                </c:pt>
                <c:pt idx="997">
                  <c:v>-2114.0052783203519</c:v>
                </c:pt>
                <c:pt idx="998">
                  <c:v>-2955.0086194560654</c:v>
                </c:pt>
                <c:pt idx="999">
                  <c:v>-564.96965108806216</c:v>
                </c:pt>
                <c:pt idx="1000">
                  <c:v>-10428.717970146568</c:v>
                </c:pt>
                <c:pt idx="1001">
                  <c:v>6051.2814833390366</c:v>
                </c:pt>
                <c:pt idx="1002">
                  <c:v>-416.43499104107354</c:v>
                </c:pt>
                <c:pt idx="1003">
                  <c:v>11431.373802233777</c:v>
                </c:pt>
                <c:pt idx="1004">
                  <c:v>1961.5528975953321</c:v>
                </c:pt>
                <c:pt idx="1005">
                  <c:v>-2100.8282776328888</c:v>
                </c:pt>
                <c:pt idx="1006">
                  <c:v>-1043.1301052847393</c:v>
                </c:pt>
                <c:pt idx="1007">
                  <c:v>-9413.8807901537766</c:v>
                </c:pt>
                <c:pt idx="1008">
                  <c:v>19909.544263852513</c:v>
                </c:pt>
                <c:pt idx="1009">
                  <c:v>-491.49412601845688</c:v>
                </c:pt>
                <c:pt idx="1010">
                  <c:v>656.82504155402057</c:v>
                </c:pt>
                <c:pt idx="1011">
                  <c:v>-11454.29495331533</c:v>
                </c:pt>
                <c:pt idx="1012">
                  <c:v>20332.915112158134</c:v>
                </c:pt>
                <c:pt idx="1013">
                  <c:v>-2378.0606009833209</c:v>
                </c:pt>
                <c:pt idx="1014">
                  <c:v>-1195.0746187802397</c:v>
                </c:pt>
                <c:pt idx="1015">
                  <c:v>820.30412936247922</c:v>
                </c:pt>
                <c:pt idx="1016">
                  <c:v>1520.2166564601321</c:v>
                </c:pt>
                <c:pt idx="1017">
                  <c:v>-2567.7144206596172</c:v>
                </c:pt>
                <c:pt idx="1018">
                  <c:v>-2273.4281570439616</c:v>
                </c:pt>
                <c:pt idx="1019">
                  <c:v>21241.771748310806</c:v>
                </c:pt>
                <c:pt idx="1020">
                  <c:v>-4157.4644007822626</c:v>
                </c:pt>
                <c:pt idx="1021">
                  <c:v>6809.932708135515</c:v>
                </c:pt>
                <c:pt idx="1022">
                  <c:v>6297.6799575917321</c:v>
                </c:pt>
                <c:pt idx="1023">
                  <c:v>1193.4280164414458</c:v>
                </c:pt>
                <c:pt idx="1024">
                  <c:v>-6506.1035586455509</c:v>
                </c:pt>
                <c:pt idx="1025">
                  <c:v>-2427.9518140526761</c:v>
                </c:pt>
                <c:pt idx="1026">
                  <c:v>-9008.1707386041162</c:v>
                </c:pt>
                <c:pt idx="1027">
                  <c:v>21744.164005419276</c:v>
                </c:pt>
                <c:pt idx="1028">
                  <c:v>-2141.1763474307827</c:v>
                </c:pt>
                <c:pt idx="1029">
                  <c:v>2928.5023207513723</c:v>
                </c:pt>
                <c:pt idx="1030">
                  <c:v>-9979.3216547758457</c:v>
                </c:pt>
                <c:pt idx="1031">
                  <c:v>7204.2802489949681</c:v>
                </c:pt>
                <c:pt idx="1032">
                  <c:v>-484.50282307499037</c:v>
                </c:pt>
                <c:pt idx="1033">
                  <c:v>-9542.7747020419265</c:v>
                </c:pt>
                <c:pt idx="1034">
                  <c:v>-3028.6362100066963</c:v>
                </c:pt>
                <c:pt idx="1035">
                  <c:v>1450.2847703661737</c:v>
                </c:pt>
                <c:pt idx="1036">
                  <c:v>7225.0935364920042</c:v>
                </c:pt>
                <c:pt idx="1037">
                  <c:v>6125.2988571206079</c:v>
                </c:pt>
                <c:pt idx="1038">
                  <c:v>-614.15309713129545</c:v>
                </c:pt>
                <c:pt idx="1039">
                  <c:v>19975.005209356685</c:v>
                </c:pt>
                <c:pt idx="1040">
                  <c:v>-9518.3939890122056</c:v>
                </c:pt>
                <c:pt idx="1041">
                  <c:v>1736.2388116549544</c:v>
                </c:pt>
                <c:pt idx="1042">
                  <c:v>6734.1862893855032</c:v>
                </c:pt>
                <c:pt idx="1043">
                  <c:v>-259.32902036249698</c:v>
                </c:pt>
                <c:pt idx="1044">
                  <c:v>-2502.0429336631823</c:v>
                </c:pt>
                <c:pt idx="1045">
                  <c:v>-9812.0735642996733</c:v>
                </c:pt>
                <c:pt idx="1046">
                  <c:v>268.25557972783827</c:v>
                </c:pt>
                <c:pt idx="1047">
                  <c:v>9723.6294939706204</c:v>
                </c:pt>
                <c:pt idx="1048">
                  <c:v>1530.71584441613</c:v>
                </c:pt>
                <c:pt idx="1049">
                  <c:v>5439.1493251943248</c:v>
                </c:pt>
                <c:pt idx="1050">
                  <c:v>-3586.994451887741</c:v>
                </c:pt>
                <c:pt idx="1051">
                  <c:v>1494.8632600115488</c:v>
                </c:pt>
                <c:pt idx="1052">
                  <c:v>-1318.1594432958809</c:v>
                </c:pt>
                <c:pt idx="1053">
                  <c:v>-9529.7470636571015</c:v>
                </c:pt>
                <c:pt idx="1054">
                  <c:v>1584.1533612703106</c:v>
                </c:pt>
                <c:pt idx="1055">
                  <c:v>-382.03395652414474</c:v>
                </c:pt>
                <c:pt idx="1056">
                  <c:v>-1297.9895157773753</c:v>
                </c:pt>
                <c:pt idx="1057">
                  <c:v>8197.1888520025896</c:v>
                </c:pt>
                <c:pt idx="1058">
                  <c:v>-4314.5515959372733</c:v>
                </c:pt>
                <c:pt idx="1059">
                  <c:v>-3044.2098160162677</c:v>
                </c:pt>
                <c:pt idx="1060">
                  <c:v>-2406.5003026850018</c:v>
                </c:pt>
                <c:pt idx="1061">
                  <c:v>-506.45945056883829</c:v>
                </c:pt>
                <c:pt idx="1062">
                  <c:v>8334.0271712509202</c:v>
                </c:pt>
                <c:pt idx="1063">
                  <c:v>-1255.465696584004</c:v>
                </c:pt>
                <c:pt idx="1064">
                  <c:v>200.59549069209606</c:v>
                </c:pt>
                <c:pt idx="1065">
                  <c:v>-297.75373711269822</c:v>
                </c:pt>
                <c:pt idx="1066">
                  <c:v>-4244.6653167067943</c:v>
                </c:pt>
                <c:pt idx="1067">
                  <c:v>-5924.51959588505</c:v>
                </c:pt>
                <c:pt idx="1068">
                  <c:v>2763.3011152918425</c:v>
                </c:pt>
                <c:pt idx="1069">
                  <c:v>-1632.8170838289698</c:v>
                </c:pt>
                <c:pt idx="1070">
                  <c:v>6218.1082420824823</c:v>
                </c:pt>
                <c:pt idx="1071">
                  <c:v>-287.91134596359916</c:v>
                </c:pt>
                <c:pt idx="1072">
                  <c:v>-1462.0084715488201</c:v>
                </c:pt>
                <c:pt idx="1073">
                  <c:v>33.474037205669447</c:v>
                </c:pt>
                <c:pt idx="1074">
                  <c:v>3934.9390672757654</c:v>
                </c:pt>
                <c:pt idx="1075">
                  <c:v>-1582.6580819979381</c:v>
                </c:pt>
                <c:pt idx="1076">
                  <c:v>-2237.5576728006017</c:v>
                </c:pt>
                <c:pt idx="1077">
                  <c:v>412.40240829651566</c:v>
                </c:pt>
                <c:pt idx="1078">
                  <c:v>5547.4780849156487</c:v>
                </c:pt>
                <c:pt idx="1079">
                  <c:v>-1234.2403498943531</c:v>
                </c:pt>
                <c:pt idx="1080">
                  <c:v>11388.598661271089</c:v>
                </c:pt>
                <c:pt idx="1081">
                  <c:v>-1126.2483700116099</c:v>
                </c:pt>
                <c:pt idx="1082">
                  <c:v>1265.9527974092143</c:v>
                </c:pt>
                <c:pt idx="1083">
                  <c:v>-2683.7393614246544</c:v>
                </c:pt>
                <c:pt idx="1084">
                  <c:v>373.99676297426231</c:v>
                </c:pt>
                <c:pt idx="1085">
                  <c:v>-10998.893503431962</c:v>
                </c:pt>
                <c:pt idx="1086">
                  <c:v>-608.24772230295639</c:v>
                </c:pt>
                <c:pt idx="1087">
                  <c:v>-1392.6181852513782</c:v>
                </c:pt>
                <c:pt idx="1088">
                  <c:v>-7395.1826901730674</c:v>
                </c:pt>
                <c:pt idx="1089">
                  <c:v>1127.3679649000223</c:v>
                </c:pt>
                <c:pt idx="1090">
                  <c:v>6200.7215188250266</c:v>
                </c:pt>
                <c:pt idx="1091">
                  <c:v>-393.24217173219404</c:v>
                </c:pt>
                <c:pt idx="1092">
                  <c:v>-2181.3371099525534</c:v>
                </c:pt>
                <c:pt idx="1093">
                  <c:v>6741.9457245345402</c:v>
                </c:pt>
                <c:pt idx="1094">
                  <c:v>-2230.7645262592014</c:v>
                </c:pt>
                <c:pt idx="1095">
                  <c:v>38.616004989038629</c:v>
                </c:pt>
                <c:pt idx="1096">
                  <c:v>7583.3123839066393</c:v>
                </c:pt>
                <c:pt idx="1097">
                  <c:v>-2764.2093570248253</c:v>
                </c:pt>
                <c:pt idx="1098">
                  <c:v>11802.999134289808</c:v>
                </c:pt>
                <c:pt idx="1099">
                  <c:v>-2529.5787031867826</c:v>
                </c:pt>
                <c:pt idx="1100">
                  <c:v>-10534.117378071118</c:v>
                </c:pt>
                <c:pt idx="1101">
                  <c:v>-935.29057821426068</c:v>
                </c:pt>
                <c:pt idx="1102">
                  <c:v>-4909.8526765722081</c:v>
                </c:pt>
                <c:pt idx="1103">
                  <c:v>-3101.6174614808388</c:v>
                </c:pt>
                <c:pt idx="1104">
                  <c:v>13391.770402299449</c:v>
                </c:pt>
                <c:pt idx="1105">
                  <c:v>-1536.8102424079461</c:v>
                </c:pt>
                <c:pt idx="1106">
                  <c:v>-1175.1009110199739</c:v>
                </c:pt>
                <c:pt idx="1107">
                  <c:v>318.291398084717</c:v>
                </c:pt>
                <c:pt idx="1108">
                  <c:v>-1826.2742131806995</c:v>
                </c:pt>
                <c:pt idx="1109">
                  <c:v>1134.7200538685902</c:v>
                </c:pt>
                <c:pt idx="1110">
                  <c:v>-1178.001644965454</c:v>
                </c:pt>
                <c:pt idx="1111">
                  <c:v>6665.9500519100911</c:v>
                </c:pt>
                <c:pt idx="1112">
                  <c:v>-9644.8390297646692</c:v>
                </c:pt>
                <c:pt idx="1113">
                  <c:v>305.12636053680853</c:v>
                </c:pt>
                <c:pt idx="1114">
                  <c:v>679.7487259544464</c:v>
                </c:pt>
                <c:pt idx="1115">
                  <c:v>-2259.8548713470609</c:v>
                </c:pt>
                <c:pt idx="1116">
                  <c:v>-1153.8449802964988</c:v>
                </c:pt>
                <c:pt idx="1117">
                  <c:v>6295.3936611270728</c:v>
                </c:pt>
                <c:pt idx="1118">
                  <c:v>6085.3953231543092</c:v>
                </c:pt>
                <c:pt idx="1119">
                  <c:v>2219.2722249604158</c:v>
                </c:pt>
                <c:pt idx="1120">
                  <c:v>6420.9698143629721</c:v>
                </c:pt>
                <c:pt idx="1121">
                  <c:v>-4643.2163365463475</c:v>
                </c:pt>
                <c:pt idx="1122">
                  <c:v>8002.8383883017959</c:v>
                </c:pt>
                <c:pt idx="1123">
                  <c:v>13144.445569684238</c:v>
                </c:pt>
                <c:pt idx="1124">
                  <c:v>9032.3805765693905</c:v>
                </c:pt>
                <c:pt idx="1125">
                  <c:v>2040.825433120719</c:v>
                </c:pt>
                <c:pt idx="1126">
                  <c:v>-1487.6744699310784</c:v>
                </c:pt>
                <c:pt idx="1127">
                  <c:v>-3574.0389153492315</c:v>
                </c:pt>
                <c:pt idx="1128">
                  <c:v>6664.0222002210585</c:v>
                </c:pt>
                <c:pt idx="1129">
                  <c:v>2946.0896460674367</c:v>
                </c:pt>
                <c:pt idx="1130">
                  <c:v>578.83632875800959</c:v>
                </c:pt>
                <c:pt idx="1131">
                  <c:v>-6885.7233412321566</c:v>
                </c:pt>
                <c:pt idx="1132">
                  <c:v>5150.1932539164245</c:v>
                </c:pt>
                <c:pt idx="1133">
                  <c:v>2784.487125918612</c:v>
                </c:pt>
                <c:pt idx="1134">
                  <c:v>13671.304428850977</c:v>
                </c:pt>
                <c:pt idx="1135">
                  <c:v>-175.08758285941258</c:v>
                </c:pt>
                <c:pt idx="1136">
                  <c:v>-138.87833092104484</c:v>
                </c:pt>
                <c:pt idx="1137">
                  <c:v>1420.213202441344</c:v>
                </c:pt>
                <c:pt idx="1138">
                  <c:v>-2437.9147996576735</c:v>
                </c:pt>
                <c:pt idx="1139">
                  <c:v>9834.0099145874701</c:v>
                </c:pt>
                <c:pt idx="1140">
                  <c:v>-4146.2125071966166</c:v>
                </c:pt>
                <c:pt idx="1141">
                  <c:v>-2427.4061016148389</c:v>
                </c:pt>
                <c:pt idx="1142">
                  <c:v>17811.3629223797</c:v>
                </c:pt>
                <c:pt idx="1143">
                  <c:v>-2970.96480666959</c:v>
                </c:pt>
                <c:pt idx="1144">
                  <c:v>-2502.1139311898532</c:v>
                </c:pt>
                <c:pt idx="1145">
                  <c:v>-1985.4824777459653</c:v>
                </c:pt>
                <c:pt idx="1146">
                  <c:v>14854.502479162104</c:v>
                </c:pt>
                <c:pt idx="1147">
                  <c:v>-1066.1487471078699</c:v>
                </c:pt>
                <c:pt idx="1148">
                  <c:v>1319.6989983892818</c:v>
                </c:pt>
                <c:pt idx="1149">
                  <c:v>-3722.3117665695445</c:v>
                </c:pt>
                <c:pt idx="1150">
                  <c:v>-88.492516858600538</c:v>
                </c:pt>
                <c:pt idx="1151">
                  <c:v>-2357.802022617323</c:v>
                </c:pt>
                <c:pt idx="1152">
                  <c:v>6245.1374938225708</c:v>
                </c:pt>
                <c:pt idx="1153">
                  <c:v>-3292.1158866755541</c:v>
                </c:pt>
                <c:pt idx="1154">
                  <c:v>-142.15121720469324</c:v>
                </c:pt>
                <c:pt idx="1155">
                  <c:v>1503.7149657702294</c:v>
                </c:pt>
                <c:pt idx="1156">
                  <c:v>8670.2841333848482</c:v>
                </c:pt>
                <c:pt idx="1157">
                  <c:v>12190.784360641614</c:v>
                </c:pt>
                <c:pt idx="1158">
                  <c:v>-439.93508132905708</c:v>
                </c:pt>
                <c:pt idx="1159">
                  <c:v>-5386.6665131544723</c:v>
                </c:pt>
                <c:pt idx="1160">
                  <c:v>-2860.6300628095041</c:v>
                </c:pt>
                <c:pt idx="1161">
                  <c:v>-6046.5294038332786</c:v>
                </c:pt>
                <c:pt idx="1162">
                  <c:v>10359.463770409971</c:v>
                </c:pt>
                <c:pt idx="1163">
                  <c:v>581.27171507953472</c:v>
                </c:pt>
                <c:pt idx="1164">
                  <c:v>-900.6220523343909</c:v>
                </c:pt>
                <c:pt idx="1165">
                  <c:v>-102.34247759838308</c:v>
                </c:pt>
                <c:pt idx="1166">
                  <c:v>-4605.2923723392832</c:v>
                </c:pt>
                <c:pt idx="1167">
                  <c:v>290.06152462495538</c:v>
                </c:pt>
                <c:pt idx="1168">
                  <c:v>-3753.9488674829654</c:v>
                </c:pt>
                <c:pt idx="1169">
                  <c:v>-2775.5538024777916</c:v>
                </c:pt>
                <c:pt idx="1170">
                  <c:v>-8450.5958970525753</c:v>
                </c:pt>
                <c:pt idx="1171">
                  <c:v>-9857.9963699820983</c:v>
                </c:pt>
                <c:pt idx="1172">
                  <c:v>-4731.972425384396</c:v>
                </c:pt>
                <c:pt idx="1173">
                  <c:v>-1602.0451785882988</c:v>
                </c:pt>
                <c:pt idx="1174">
                  <c:v>-2222.6036107125501</c:v>
                </c:pt>
                <c:pt idx="1175">
                  <c:v>-137.73180007393785</c:v>
                </c:pt>
                <c:pt idx="1176">
                  <c:v>-9468.918815107565</c:v>
                </c:pt>
                <c:pt idx="1177">
                  <c:v>-1006.5556684185294</c:v>
                </c:pt>
                <c:pt idx="1178">
                  <c:v>-2149.6290504663089</c:v>
                </c:pt>
                <c:pt idx="1179">
                  <c:v>-9945.9866137623467</c:v>
                </c:pt>
                <c:pt idx="1180">
                  <c:v>-4850.1476676431294</c:v>
                </c:pt>
                <c:pt idx="1181">
                  <c:v>-866.33822776107536</c:v>
                </c:pt>
                <c:pt idx="1182">
                  <c:v>-1462.5738111568853</c:v>
                </c:pt>
                <c:pt idx="1183">
                  <c:v>-105.9812709477319</c:v>
                </c:pt>
                <c:pt idx="1184">
                  <c:v>-8953.9798189149224</c:v>
                </c:pt>
                <c:pt idx="1185">
                  <c:v>573.54126629411985</c:v>
                </c:pt>
                <c:pt idx="1186">
                  <c:v>7713.260012712446</c:v>
                </c:pt>
                <c:pt idx="1187">
                  <c:v>-557.20672114213994</c:v>
                </c:pt>
                <c:pt idx="1188">
                  <c:v>-9631.5042483733378</c:v>
                </c:pt>
                <c:pt idx="1189">
                  <c:v>10287.068830038615</c:v>
                </c:pt>
                <c:pt idx="1190">
                  <c:v>-2058.8495082626687</c:v>
                </c:pt>
                <c:pt idx="1191">
                  <c:v>7781.0317932897569</c:v>
                </c:pt>
                <c:pt idx="1192">
                  <c:v>-733.21955755679664</c:v>
                </c:pt>
                <c:pt idx="1193">
                  <c:v>-3374.5308325836832</c:v>
                </c:pt>
                <c:pt idx="1194">
                  <c:v>1241.6397821391402</c:v>
                </c:pt>
                <c:pt idx="1195">
                  <c:v>15632.515810921454</c:v>
                </c:pt>
                <c:pt idx="1196">
                  <c:v>7037.8005796052639</c:v>
                </c:pt>
                <c:pt idx="1197">
                  <c:v>-3567.3374876765211</c:v>
                </c:pt>
                <c:pt idx="1198">
                  <c:v>-1739.0577609731017</c:v>
                </c:pt>
                <c:pt idx="1199">
                  <c:v>-206.63117344521197</c:v>
                </c:pt>
                <c:pt idx="1200">
                  <c:v>-13.34134122235173</c:v>
                </c:pt>
                <c:pt idx="1201">
                  <c:v>-4966.8337798112225</c:v>
                </c:pt>
                <c:pt idx="1202">
                  <c:v>-1849.2434283084117</c:v>
                </c:pt>
                <c:pt idx="1203">
                  <c:v>-1952.7981229743873</c:v>
                </c:pt>
                <c:pt idx="1204">
                  <c:v>-8327.0836159169266</c:v>
                </c:pt>
                <c:pt idx="1205">
                  <c:v>1972.7686513384156</c:v>
                </c:pt>
                <c:pt idx="1206">
                  <c:v>21652.822995733914</c:v>
                </c:pt>
                <c:pt idx="1207">
                  <c:v>5727.4197822942733</c:v>
                </c:pt>
                <c:pt idx="1208">
                  <c:v>-9650.6137542009492</c:v>
                </c:pt>
                <c:pt idx="1209">
                  <c:v>-3177.3689152550578</c:v>
                </c:pt>
                <c:pt idx="1210">
                  <c:v>-2217.1130639703215</c:v>
                </c:pt>
                <c:pt idx="1211">
                  <c:v>13687.517324329876</c:v>
                </c:pt>
                <c:pt idx="1212">
                  <c:v>2253.7839272435135</c:v>
                </c:pt>
                <c:pt idx="1213">
                  <c:v>-2163.2223486917774</c:v>
                </c:pt>
                <c:pt idx="1214">
                  <c:v>-1436.0638310767781</c:v>
                </c:pt>
                <c:pt idx="1215">
                  <c:v>7754.2719390392867</c:v>
                </c:pt>
                <c:pt idx="1216">
                  <c:v>-867.58289828109446</c:v>
                </c:pt>
                <c:pt idx="1217">
                  <c:v>-4265.5936774300308</c:v>
                </c:pt>
                <c:pt idx="1218">
                  <c:v>6482.3333411270796</c:v>
                </c:pt>
                <c:pt idx="1219">
                  <c:v>-1301.9858268332737</c:v>
                </c:pt>
                <c:pt idx="1220">
                  <c:v>1548.9564073838424</c:v>
                </c:pt>
                <c:pt idx="1221">
                  <c:v>-601.3367750602074</c:v>
                </c:pt>
                <c:pt idx="1222">
                  <c:v>-489.87948020972362</c:v>
                </c:pt>
                <c:pt idx="1223">
                  <c:v>1400.442928185701</c:v>
                </c:pt>
                <c:pt idx="1224">
                  <c:v>210.79427808170749</c:v>
                </c:pt>
                <c:pt idx="1225">
                  <c:v>-4900.2327403939007</c:v>
                </c:pt>
                <c:pt idx="1226">
                  <c:v>2586.0969297705906</c:v>
                </c:pt>
                <c:pt idx="1227">
                  <c:v>-4478.3375184121242</c:v>
                </c:pt>
                <c:pt idx="1228">
                  <c:v>-2823.9211321321272</c:v>
                </c:pt>
                <c:pt idx="1229">
                  <c:v>-667.95281007283847</c:v>
                </c:pt>
                <c:pt idx="1230">
                  <c:v>22385.041577380034</c:v>
                </c:pt>
                <c:pt idx="1231">
                  <c:v>-3714.6451963703221</c:v>
                </c:pt>
                <c:pt idx="1232">
                  <c:v>1318.944268806028</c:v>
                </c:pt>
                <c:pt idx="1233">
                  <c:v>993.87926682985562</c:v>
                </c:pt>
                <c:pt idx="1234">
                  <c:v>-888.82892383785475</c:v>
                </c:pt>
                <c:pt idx="1235">
                  <c:v>-1900.0632416607696</c:v>
                </c:pt>
                <c:pt idx="1236">
                  <c:v>3336.8034308376664</c:v>
                </c:pt>
                <c:pt idx="1237">
                  <c:v>290.81142186529723</c:v>
                </c:pt>
                <c:pt idx="1238">
                  <c:v>819.70155882038307</c:v>
                </c:pt>
                <c:pt idx="1239">
                  <c:v>-5138.1345223142525</c:v>
                </c:pt>
                <c:pt idx="1240">
                  <c:v>7752.6558811423893</c:v>
                </c:pt>
                <c:pt idx="1241">
                  <c:v>8524.0309829295875</c:v>
                </c:pt>
                <c:pt idx="1242">
                  <c:v>2456.8466178244498</c:v>
                </c:pt>
                <c:pt idx="1243">
                  <c:v>-2601.9018751317594</c:v>
                </c:pt>
                <c:pt idx="1244">
                  <c:v>-2129.8883104532679</c:v>
                </c:pt>
                <c:pt idx="1245">
                  <c:v>309.85150617020463</c:v>
                </c:pt>
                <c:pt idx="1246">
                  <c:v>-90.748451331895922</c:v>
                </c:pt>
                <c:pt idx="1247">
                  <c:v>-1703.5318694259358</c:v>
                </c:pt>
                <c:pt idx="1248">
                  <c:v>-3720.682814892737</c:v>
                </c:pt>
                <c:pt idx="1249">
                  <c:v>6350.3480045080396</c:v>
                </c:pt>
                <c:pt idx="1250">
                  <c:v>-8849.4242905066822</c:v>
                </c:pt>
                <c:pt idx="1251">
                  <c:v>2072.5359626579816</c:v>
                </c:pt>
                <c:pt idx="1252">
                  <c:v>-9419.3169119969916</c:v>
                </c:pt>
                <c:pt idx="1253">
                  <c:v>6293.3554195456945</c:v>
                </c:pt>
                <c:pt idx="1254">
                  <c:v>-1170.6759577997591</c:v>
                </c:pt>
                <c:pt idx="1255">
                  <c:v>-4451.0650973661513</c:v>
                </c:pt>
                <c:pt idx="1256">
                  <c:v>-2741.8875346723871</c:v>
                </c:pt>
                <c:pt idx="1257">
                  <c:v>113.74623526038886</c:v>
                </c:pt>
                <c:pt idx="1258">
                  <c:v>14425.494470227375</c:v>
                </c:pt>
                <c:pt idx="1259">
                  <c:v>1431.8516791529364</c:v>
                </c:pt>
                <c:pt idx="1260">
                  <c:v>1791.4291573176815</c:v>
                </c:pt>
                <c:pt idx="1261">
                  <c:v>-4254.0451880140226</c:v>
                </c:pt>
                <c:pt idx="1262">
                  <c:v>-1200.3020875956754</c:v>
                </c:pt>
                <c:pt idx="1263">
                  <c:v>-1743.8706975126315</c:v>
                </c:pt>
                <c:pt idx="1264">
                  <c:v>-1840.0835398285653</c:v>
                </c:pt>
                <c:pt idx="1265">
                  <c:v>-8931.6738684747615</c:v>
                </c:pt>
                <c:pt idx="1266">
                  <c:v>-1190.9513116358066</c:v>
                </c:pt>
                <c:pt idx="1267">
                  <c:v>6358.720926984417</c:v>
                </c:pt>
                <c:pt idx="1268">
                  <c:v>-1891.385483028741</c:v>
                </c:pt>
                <c:pt idx="1269">
                  <c:v>-1156.5789764460806</c:v>
                </c:pt>
                <c:pt idx="1270">
                  <c:v>-2697.8806553040463</c:v>
                </c:pt>
                <c:pt idx="1271">
                  <c:v>-2420.7047320473598</c:v>
                </c:pt>
                <c:pt idx="1272">
                  <c:v>4912.4113847485896</c:v>
                </c:pt>
                <c:pt idx="1273">
                  <c:v>-1534.7300263634061</c:v>
                </c:pt>
                <c:pt idx="1274">
                  <c:v>-10078.675219297234</c:v>
                </c:pt>
                <c:pt idx="1275">
                  <c:v>736.79921302372713</c:v>
                </c:pt>
                <c:pt idx="1276">
                  <c:v>-612.25442944993802</c:v>
                </c:pt>
                <c:pt idx="1277">
                  <c:v>-1361.6227198640909</c:v>
                </c:pt>
                <c:pt idx="1278">
                  <c:v>-9407.6229992777626</c:v>
                </c:pt>
                <c:pt idx="1279">
                  <c:v>276.24108172412434</c:v>
                </c:pt>
                <c:pt idx="1280">
                  <c:v>-2717.6335303639462</c:v>
                </c:pt>
                <c:pt idx="1281">
                  <c:v>-9136.4453749884669</c:v>
                </c:pt>
                <c:pt idx="1282">
                  <c:v>-9037.7635853118409</c:v>
                </c:pt>
                <c:pt idx="1283">
                  <c:v>-956.86799662308954</c:v>
                </c:pt>
                <c:pt idx="1284">
                  <c:v>7809.7213463416774</c:v>
                </c:pt>
                <c:pt idx="1285">
                  <c:v>691.08821656573491</c:v>
                </c:pt>
                <c:pt idx="1286">
                  <c:v>3050.7975178162224</c:v>
                </c:pt>
                <c:pt idx="1287">
                  <c:v>-516.81753483528882</c:v>
                </c:pt>
                <c:pt idx="1288">
                  <c:v>7850.9954825326895</c:v>
                </c:pt>
                <c:pt idx="1289">
                  <c:v>-3614.5786054011478</c:v>
                </c:pt>
                <c:pt idx="1290">
                  <c:v>2070.4504818633905</c:v>
                </c:pt>
                <c:pt idx="1291">
                  <c:v>6988.2689337401534</c:v>
                </c:pt>
                <c:pt idx="1292">
                  <c:v>733.10356430873435</c:v>
                </c:pt>
                <c:pt idx="1293">
                  <c:v>-162.98567179010752</c:v>
                </c:pt>
                <c:pt idx="1294">
                  <c:v>976.01408650258418</c:v>
                </c:pt>
                <c:pt idx="1295">
                  <c:v>1356.3260535311356</c:v>
                </c:pt>
                <c:pt idx="1296">
                  <c:v>762.03614701766764</c:v>
                </c:pt>
                <c:pt idx="1297">
                  <c:v>-255.86124747140639</c:v>
                </c:pt>
                <c:pt idx="1298">
                  <c:v>-928.22985980812973</c:v>
                </c:pt>
                <c:pt idx="1299">
                  <c:v>1154.8906572211495</c:v>
                </c:pt>
                <c:pt idx="1300">
                  <c:v>29509.606212049999</c:v>
                </c:pt>
                <c:pt idx="1301">
                  <c:v>7665.1942683332527</c:v>
                </c:pt>
                <c:pt idx="1302">
                  <c:v>1697.3072002888093</c:v>
                </c:pt>
                <c:pt idx="1303">
                  <c:v>6086.0959179842102</c:v>
                </c:pt>
                <c:pt idx="1304">
                  <c:v>-10145.090173699406</c:v>
                </c:pt>
                <c:pt idx="1305">
                  <c:v>-542.7208844962006</c:v>
                </c:pt>
                <c:pt idx="1306">
                  <c:v>-10103.414832485591</c:v>
                </c:pt>
                <c:pt idx="1307">
                  <c:v>-9431.8066124743491</c:v>
                </c:pt>
                <c:pt idx="1308">
                  <c:v>6025.8724831117142</c:v>
                </c:pt>
                <c:pt idx="1309">
                  <c:v>-2903.7192249325317</c:v>
                </c:pt>
                <c:pt idx="1310">
                  <c:v>-729.02211099652777</c:v>
                </c:pt>
                <c:pt idx="1311">
                  <c:v>-426.67456255716297</c:v>
                </c:pt>
                <c:pt idx="1312">
                  <c:v>-6408.7823684751893</c:v>
                </c:pt>
                <c:pt idx="1313">
                  <c:v>7674.5565832167449</c:v>
                </c:pt>
                <c:pt idx="1314">
                  <c:v>-9712.1421685817986</c:v>
                </c:pt>
                <c:pt idx="1315">
                  <c:v>9148.6941162637941</c:v>
                </c:pt>
                <c:pt idx="1316">
                  <c:v>2305.1668403850108</c:v>
                </c:pt>
                <c:pt idx="1317">
                  <c:v>-8475.024086709278</c:v>
                </c:pt>
                <c:pt idx="1318">
                  <c:v>7900.027352620451</c:v>
                </c:pt>
                <c:pt idx="1319">
                  <c:v>-168.18490455128449</c:v>
                </c:pt>
                <c:pt idx="1320">
                  <c:v>-1884.3627249500196</c:v>
                </c:pt>
                <c:pt idx="1321">
                  <c:v>-8185.7901211530116</c:v>
                </c:pt>
                <c:pt idx="1322">
                  <c:v>-3400.0443486155982</c:v>
                </c:pt>
                <c:pt idx="1323">
                  <c:v>7417.9207605088886</c:v>
                </c:pt>
                <c:pt idx="1324">
                  <c:v>-471.391197282951</c:v>
                </c:pt>
                <c:pt idx="1325">
                  <c:v>-1276.0007632410197</c:v>
                </c:pt>
                <c:pt idx="1326">
                  <c:v>-2256.1442410748514</c:v>
                </c:pt>
                <c:pt idx="1327">
                  <c:v>-1808.3507385248358</c:v>
                </c:pt>
                <c:pt idx="1328">
                  <c:v>19824.120044672549</c:v>
                </c:pt>
                <c:pt idx="1329">
                  <c:v>-4350.6677837502066</c:v>
                </c:pt>
                <c:pt idx="1330">
                  <c:v>803.05332013600855</c:v>
                </c:pt>
                <c:pt idx="1331">
                  <c:v>6218.3311546960686</c:v>
                </c:pt>
                <c:pt idx="1332">
                  <c:v>-5700.9846566274264</c:v>
                </c:pt>
                <c:pt idx="1333">
                  <c:v>-1577.4025809568648</c:v>
                </c:pt>
                <c:pt idx="1334">
                  <c:v>-606.03773244715876</c:v>
                </c:pt>
                <c:pt idx="1335">
                  <c:v>-2768.9124484543363</c:v>
                </c:pt>
                <c:pt idx="1336">
                  <c:v>392.10853094999425</c:v>
                </c:pt>
                <c:pt idx="1337">
                  <c:v>-7652.3103955705301</c:v>
                </c:pt>
              </c:numCache>
            </c:numRef>
          </c:yVal>
          <c:smooth val="0"/>
          <c:extLst>
            <c:ext xmlns:c16="http://schemas.microsoft.com/office/drawing/2014/chart" uri="{C3380CC4-5D6E-409C-BE32-E72D297353CC}">
              <c16:uniqueId val="{00000000-8E91-423C-AE58-A1106024EBA5}"/>
            </c:ext>
          </c:extLst>
        </c:ser>
        <c:dLbls>
          <c:showLegendKey val="0"/>
          <c:showVal val="0"/>
          <c:showCatName val="0"/>
          <c:showSerName val="0"/>
          <c:showPercent val="0"/>
          <c:showBubbleSize val="0"/>
        </c:dLbls>
        <c:axId val="672579296"/>
        <c:axId val="672586016"/>
      </c:scatterChart>
      <c:valAx>
        <c:axId val="672579296"/>
        <c:scaling>
          <c:orientation val="minMax"/>
        </c:scaling>
        <c:delete val="0"/>
        <c:axPos val="b"/>
        <c:title>
          <c:tx>
            <c:rich>
              <a:bodyPr/>
              <a:lstStyle/>
              <a:p>
                <a:pPr>
                  <a:defRPr/>
                </a:pPr>
                <a:r>
                  <a:rPr lang="en-GB"/>
                  <a:t>age</a:t>
                </a:r>
              </a:p>
            </c:rich>
          </c:tx>
          <c:overlay val="0"/>
        </c:title>
        <c:numFmt formatCode="General" sourceLinked="1"/>
        <c:majorTickMark val="out"/>
        <c:minorTickMark val="none"/>
        <c:tickLblPos val="nextTo"/>
        <c:crossAx val="672586016"/>
        <c:crosses val="autoZero"/>
        <c:crossBetween val="midCat"/>
      </c:valAx>
      <c:valAx>
        <c:axId val="672586016"/>
        <c:scaling>
          <c:orientation val="minMax"/>
        </c:scaling>
        <c:delete val="0"/>
        <c:axPos val="l"/>
        <c:title>
          <c:tx>
            <c:rich>
              <a:bodyPr/>
              <a:lstStyle/>
              <a:p>
                <a:pPr>
                  <a:defRPr/>
                </a:pPr>
                <a:r>
                  <a:rPr lang="en-GB"/>
                  <a:t>Residuals</a:t>
                </a:r>
              </a:p>
            </c:rich>
          </c:tx>
          <c:overlay val="0"/>
        </c:title>
        <c:numFmt formatCode="General" sourceLinked="1"/>
        <c:majorTickMark val="out"/>
        <c:minorTickMark val="none"/>
        <c:tickLblPos val="nextTo"/>
        <c:crossAx val="672579296"/>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smoker2  Residual Plot</a:t>
            </a:r>
          </a:p>
        </c:rich>
      </c:tx>
      <c:overlay val="0"/>
    </c:title>
    <c:autoTitleDeleted val="0"/>
    <c:plotArea>
      <c:layout/>
      <c:scatterChart>
        <c:scatterStyle val="lineMarker"/>
        <c:varyColors val="0"/>
        <c:ser>
          <c:idx val="0"/>
          <c:order val="0"/>
          <c:spPr>
            <a:ln w="38100">
              <a:noFill/>
            </a:ln>
          </c:spPr>
          <c:xVal>
            <c:numRef>
              <c:f>'insurance (Clean)'!$H$2:$H$1339</c:f>
              <c:numCache>
                <c:formatCode>General</c:formatCode>
                <c:ptCount val="1338"/>
                <c:pt idx="0">
                  <c:v>1</c:v>
                </c:pt>
                <c:pt idx="1">
                  <c:v>0</c:v>
                </c:pt>
                <c:pt idx="2">
                  <c:v>0</c:v>
                </c:pt>
                <c:pt idx="3">
                  <c:v>0</c:v>
                </c:pt>
                <c:pt idx="4">
                  <c:v>0</c:v>
                </c:pt>
                <c:pt idx="5">
                  <c:v>0</c:v>
                </c:pt>
                <c:pt idx="6">
                  <c:v>0</c:v>
                </c:pt>
                <c:pt idx="7">
                  <c:v>0</c:v>
                </c:pt>
                <c:pt idx="8">
                  <c:v>0</c:v>
                </c:pt>
                <c:pt idx="9">
                  <c:v>0</c:v>
                </c:pt>
                <c:pt idx="10">
                  <c:v>0</c:v>
                </c:pt>
                <c:pt idx="11">
                  <c:v>1</c:v>
                </c:pt>
                <c:pt idx="12">
                  <c:v>0</c:v>
                </c:pt>
                <c:pt idx="13">
                  <c:v>0</c:v>
                </c:pt>
                <c:pt idx="14">
                  <c:v>1</c:v>
                </c:pt>
                <c:pt idx="15">
                  <c:v>0</c:v>
                </c:pt>
                <c:pt idx="16">
                  <c:v>0</c:v>
                </c:pt>
                <c:pt idx="17">
                  <c:v>0</c:v>
                </c:pt>
                <c:pt idx="18">
                  <c:v>0</c:v>
                </c:pt>
                <c:pt idx="19">
                  <c:v>1</c:v>
                </c:pt>
                <c:pt idx="20">
                  <c:v>0</c:v>
                </c:pt>
                <c:pt idx="21">
                  <c:v>0</c:v>
                </c:pt>
                <c:pt idx="22">
                  <c:v>0</c:v>
                </c:pt>
                <c:pt idx="23">
                  <c:v>1</c:v>
                </c:pt>
                <c:pt idx="24">
                  <c:v>0</c:v>
                </c:pt>
                <c:pt idx="25">
                  <c:v>0</c:v>
                </c:pt>
                <c:pt idx="26">
                  <c:v>0</c:v>
                </c:pt>
                <c:pt idx="27">
                  <c:v>0</c:v>
                </c:pt>
                <c:pt idx="28">
                  <c:v>0</c:v>
                </c:pt>
                <c:pt idx="29">
                  <c:v>1</c:v>
                </c:pt>
                <c:pt idx="30">
                  <c:v>1</c:v>
                </c:pt>
                <c:pt idx="31">
                  <c:v>0</c:v>
                </c:pt>
                <c:pt idx="32">
                  <c:v>0</c:v>
                </c:pt>
                <c:pt idx="33">
                  <c:v>0</c:v>
                </c:pt>
                <c:pt idx="34">
                  <c:v>1</c:v>
                </c:pt>
                <c:pt idx="35">
                  <c:v>0</c:v>
                </c:pt>
                <c:pt idx="36">
                  <c:v>0</c:v>
                </c:pt>
                <c:pt idx="37">
                  <c:v>0</c:v>
                </c:pt>
                <c:pt idx="38">
                  <c:v>1</c:v>
                </c:pt>
                <c:pt idx="39">
                  <c:v>1</c:v>
                </c:pt>
                <c:pt idx="40">
                  <c:v>0</c:v>
                </c:pt>
                <c:pt idx="41">
                  <c:v>0</c:v>
                </c:pt>
                <c:pt idx="42">
                  <c:v>0</c:v>
                </c:pt>
                <c:pt idx="43">
                  <c:v>0</c:v>
                </c:pt>
                <c:pt idx="44">
                  <c:v>0</c:v>
                </c:pt>
                <c:pt idx="45">
                  <c:v>0</c:v>
                </c:pt>
                <c:pt idx="46">
                  <c:v>0</c:v>
                </c:pt>
                <c:pt idx="47">
                  <c:v>0</c:v>
                </c:pt>
                <c:pt idx="48">
                  <c:v>0</c:v>
                </c:pt>
                <c:pt idx="49">
                  <c:v>1</c:v>
                </c:pt>
                <c:pt idx="50">
                  <c:v>0</c:v>
                </c:pt>
                <c:pt idx="51">
                  <c:v>0</c:v>
                </c:pt>
                <c:pt idx="52">
                  <c:v>1</c:v>
                </c:pt>
                <c:pt idx="53">
                  <c:v>1</c:v>
                </c:pt>
                <c:pt idx="54">
                  <c:v>0</c:v>
                </c:pt>
                <c:pt idx="55">
                  <c:v>1</c:v>
                </c:pt>
                <c:pt idx="56">
                  <c:v>0</c:v>
                </c:pt>
                <c:pt idx="57">
                  <c:v>1</c:v>
                </c:pt>
                <c:pt idx="58">
                  <c:v>1</c:v>
                </c:pt>
                <c:pt idx="59">
                  <c:v>0</c:v>
                </c:pt>
                <c:pt idx="60">
                  <c:v>0</c:v>
                </c:pt>
                <c:pt idx="61">
                  <c:v>0</c:v>
                </c:pt>
                <c:pt idx="62">
                  <c:v>0</c:v>
                </c:pt>
                <c:pt idx="63">
                  <c:v>0</c:v>
                </c:pt>
                <c:pt idx="64">
                  <c:v>1</c:v>
                </c:pt>
                <c:pt idx="65">
                  <c:v>0</c:v>
                </c:pt>
                <c:pt idx="66">
                  <c:v>0</c:v>
                </c:pt>
                <c:pt idx="67">
                  <c:v>0</c:v>
                </c:pt>
                <c:pt idx="68">
                  <c:v>0</c:v>
                </c:pt>
                <c:pt idx="69">
                  <c:v>1</c:v>
                </c:pt>
                <c:pt idx="70">
                  <c:v>1</c:v>
                </c:pt>
                <c:pt idx="71">
                  <c:v>0</c:v>
                </c:pt>
                <c:pt idx="72">
                  <c:v>0</c:v>
                </c:pt>
                <c:pt idx="73">
                  <c:v>0</c:v>
                </c:pt>
                <c:pt idx="74">
                  <c:v>0</c:v>
                </c:pt>
                <c:pt idx="75">
                  <c:v>0</c:v>
                </c:pt>
                <c:pt idx="76">
                  <c:v>0</c:v>
                </c:pt>
                <c:pt idx="77">
                  <c:v>0</c:v>
                </c:pt>
                <c:pt idx="78">
                  <c:v>0</c:v>
                </c:pt>
                <c:pt idx="79">
                  <c:v>0</c:v>
                </c:pt>
                <c:pt idx="80">
                  <c:v>0</c:v>
                </c:pt>
                <c:pt idx="81">
                  <c:v>0</c:v>
                </c:pt>
                <c:pt idx="82">
                  <c:v>1</c:v>
                </c:pt>
                <c:pt idx="83">
                  <c:v>0</c:v>
                </c:pt>
                <c:pt idx="84">
                  <c:v>1</c:v>
                </c:pt>
                <c:pt idx="85">
                  <c:v>1</c:v>
                </c:pt>
                <c:pt idx="86">
                  <c:v>1</c:v>
                </c:pt>
                <c:pt idx="87">
                  <c:v>0</c:v>
                </c:pt>
                <c:pt idx="88">
                  <c:v>0</c:v>
                </c:pt>
                <c:pt idx="89">
                  <c:v>0</c:v>
                </c:pt>
                <c:pt idx="90">
                  <c:v>0</c:v>
                </c:pt>
                <c:pt idx="91">
                  <c:v>0</c:v>
                </c:pt>
                <c:pt idx="92">
                  <c:v>1</c:v>
                </c:pt>
                <c:pt idx="93">
                  <c:v>0</c:v>
                </c:pt>
                <c:pt idx="94">
                  <c:v>1</c:v>
                </c:pt>
                <c:pt idx="95">
                  <c:v>0</c:v>
                </c:pt>
                <c:pt idx="96">
                  <c:v>0</c:v>
                </c:pt>
                <c:pt idx="97">
                  <c:v>0</c:v>
                </c:pt>
                <c:pt idx="98">
                  <c:v>1</c:v>
                </c:pt>
                <c:pt idx="99">
                  <c:v>1</c:v>
                </c:pt>
                <c:pt idx="100">
                  <c:v>0</c:v>
                </c:pt>
                <c:pt idx="101">
                  <c:v>0</c:v>
                </c:pt>
                <c:pt idx="102">
                  <c:v>0</c:v>
                </c:pt>
                <c:pt idx="103">
                  <c:v>1</c:v>
                </c:pt>
                <c:pt idx="104">
                  <c:v>0</c:v>
                </c:pt>
                <c:pt idx="105">
                  <c:v>1</c:v>
                </c:pt>
                <c:pt idx="106">
                  <c:v>0</c:v>
                </c:pt>
                <c:pt idx="107">
                  <c:v>0</c:v>
                </c:pt>
                <c:pt idx="108">
                  <c:v>0</c:v>
                </c:pt>
                <c:pt idx="109">
                  <c:v>1</c:v>
                </c:pt>
                <c:pt idx="110">
                  <c:v>0</c:v>
                </c:pt>
                <c:pt idx="111">
                  <c:v>0</c:v>
                </c:pt>
                <c:pt idx="112">
                  <c:v>0</c:v>
                </c:pt>
                <c:pt idx="113">
                  <c:v>0</c:v>
                </c:pt>
                <c:pt idx="114">
                  <c:v>0</c:v>
                </c:pt>
                <c:pt idx="115">
                  <c:v>0</c:v>
                </c:pt>
                <c:pt idx="116">
                  <c:v>0</c:v>
                </c:pt>
                <c:pt idx="117">
                  <c:v>1</c:v>
                </c:pt>
                <c:pt idx="118">
                  <c:v>0</c:v>
                </c:pt>
                <c:pt idx="119">
                  <c:v>0</c:v>
                </c:pt>
                <c:pt idx="120">
                  <c:v>0</c:v>
                </c:pt>
                <c:pt idx="121">
                  <c:v>0</c:v>
                </c:pt>
                <c:pt idx="122">
                  <c:v>0</c:v>
                </c:pt>
                <c:pt idx="123">
                  <c:v>1</c:v>
                </c:pt>
                <c:pt idx="124">
                  <c:v>0</c:v>
                </c:pt>
                <c:pt idx="125">
                  <c:v>0</c:v>
                </c:pt>
                <c:pt idx="126">
                  <c:v>1</c:v>
                </c:pt>
                <c:pt idx="127">
                  <c:v>0</c:v>
                </c:pt>
                <c:pt idx="128">
                  <c:v>1</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1</c:v>
                </c:pt>
                <c:pt idx="143">
                  <c:v>0</c:v>
                </c:pt>
                <c:pt idx="144">
                  <c:v>1</c:v>
                </c:pt>
                <c:pt idx="145">
                  <c:v>0</c:v>
                </c:pt>
                <c:pt idx="146">
                  <c:v>1</c:v>
                </c:pt>
                <c:pt idx="147">
                  <c:v>0</c:v>
                </c:pt>
                <c:pt idx="148">
                  <c:v>0</c:v>
                </c:pt>
                <c:pt idx="149">
                  <c:v>0</c:v>
                </c:pt>
                <c:pt idx="150">
                  <c:v>0</c:v>
                </c:pt>
                <c:pt idx="151">
                  <c:v>0</c:v>
                </c:pt>
                <c:pt idx="152">
                  <c:v>0</c:v>
                </c:pt>
                <c:pt idx="153">
                  <c:v>1</c:v>
                </c:pt>
                <c:pt idx="154">
                  <c:v>0</c:v>
                </c:pt>
                <c:pt idx="155">
                  <c:v>0</c:v>
                </c:pt>
                <c:pt idx="156">
                  <c:v>1</c:v>
                </c:pt>
                <c:pt idx="157">
                  <c:v>1</c:v>
                </c:pt>
                <c:pt idx="158">
                  <c:v>1</c:v>
                </c:pt>
                <c:pt idx="159">
                  <c:v>0</c:v>
                </c:pt>
                <c:pt idx="160">
                  <c:v>1</c:v>
                </c:pt>
                <c:pt idx="161">
                  <c:v>1</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1</c:v>
                </c:pt>
                <c:pt idx="176">
                  <c:v>0</c:v>
                </c:pt>
                <c:pt idx="177">
                  <c:v>0</c:v>
                </c:pt>
                <c:pt idx="178">
                  <c:v>0</c:v>
                </c:pt>
                <c:pt idx="179">
                  <c:v>0</c:v>
                </c:pt>
                <c:pt idx="180">
                  <c:v>0</c:v>
                </c:pt>
                <c:pt idx="181">
                  <c:v>0</c:v>
                </c:pt>
                <c:pt idx="182">
                  <c:v>0</c:v>
                </c:pt>
                <c:pt idx="183">
                  <c:v>0</c:v>
                </c:pt>
                <c:pt idx="184">
                  <c:v>0</c:v>
                </c:pt>
                <c:pt idx="185">
                  <c:v>1</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1</c:v>
                </c:pt>
                <c:pt idx="204">
                  <c:v>0</c:v>
                </c:pt>
                <c:pt idx="205">
                  <c:v>0</c:v>
                </c:pt>
                <c:pt idx="206">
                  <c:v>0</c:v>
                </c:pt>
                <c:pt idx="207">
                  <c:v>1</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1</c:v>
                </c:pt>
                <c:pt idx="224">
                  <c:v>1</c:v>
                </c:pt>
                <c:pt idx="225">
                  <c:v>0</c:v>
                </c:pt>
                <c:pt idx="226">
                  <c:v>0</c:v>
                </c:pt>
                <c:pt idx="227">
                  <c:v>0</c:v>
                </c:pt>
                <c:pt idx="228">
                  <c:v>0</c:v>
                </c:pt>
                <c:pt idx="229">
                  <c:v>0</c:v>
                </c:pt>
                <c:pt idx="230">
                  <c:v>0</c:v>
                </c:pt>
                <c:pt idx="231">
                  <c:v>0</c:v>
                </c:pt>
                <c:pt idx="232">
                  <c:v>0</c:v>
                </c:pt>
                <c:pt idx="233">
                  <c:v>0</c:v>
                </c:pt>
                <c:pt idx="234">
                  <c:v>0</c:v>
                </c:pt>
                <c:pt idx="235">
                  <c:v>1</c:v>
                </c:pt>
                <c:pt idx="236">
                  <c:v>0</c:v>
                </c:pt>
                <c:pt idx="237">
                  <c:v>0</c:v>
                </c:pt>
                <c:pt idx="238">
                  <c:v>1</c:v>
                </c:pt>
                <c:pt idx="239">
                  <c:v>0</c:v>
                </c:pt>
                <c:pt idx="240">
                  <c:v>1</c:v>
                </c:pt>
                <c:pt idx="241">
                  <c:v>0</c:v>
                </c:pt>
                <c:pt idx="242">
                  <c:v>0</c:v>
                </c:pt>
                <c:pt idx="243">
                  <c:v>0</c:v>
                </c:pt>
                <c:pt idx="244">
                  <c:v>1</c:v>
                </c:pt>
                <c:pt idx="245">
                  <c:v>0</c:v>
                </c:pt>
                <c:pt idx="246">
                  <c:v>0</c:v>
                </c:pt>
                <c:pt idx="247">
                  <c:v>0</c:v>
                </c:pt>
                <c:pt idx="248">
                  <c:v>0</c:v>
                </c:pt>
                <c:pt idx="249">
                  <c:v>0</c:v>
                </c:pt>
                <c:pt idx="250">
                  <c:v>1</c:v>
                </c:pt>
                <c:pt idx="251">
                  <c:v>1</c:v>
                </c:pt>
                <c:pt idx="252">
                  <c:v>1</c:v>
                </c:pt>
                <c:pt idx="253">
                  <c:v>0</c:v>
                </c:pt>
                <c:pt idx="254">
                  <c:v>1</c:v>
                </c:pt>
                <c:pt idx="255">
                  <c:v>0</c:v>
                </c:pt>
                <c:pt idx="256">
                  <c:v>1</c:v>
                </c:pt>
                <c:pt idx="257">
                  <c:v>0</c:v>
                </c:pt>
                <c:pt idx="258">
                  <c:v>0</c:v>
                </c:pt>
                <c:pt idx="259">
                  <c:v>1</c:v>
                </c:pt>
                <c:pt idx="260">
                  <c:v>0</c:v>
                </c:pt>
                <c:pt idx="261">
                  <c:v>1</c:v>
                </c:pt>
                <c:pt idx="262">
                  <c:v>1</c:v>
                </c:pt>
                <c:pt idx="263">
                  <c:v>1</c:v>
                </c:pt>
                <c:pt idx="264">
                  <c:v>0</c:v>
                </c:pt>
                <c:pt idx="265">
                  <c:v>1</c:v>
                </c:pt>
                <c:pt idx="266">
                  <c:v>1</c:v>
                </c:pt>
                <c:pt idx="267">
                  <c:v>0</c:v>
                </c:pt>
                <c:pt idx="268">
                  <c:v>0</c:v>
                </c:pt>
                <c:pt idx="269">
                  <c:v>0</c:v>
                </c:pt>
                <c:pt idx="270">
                  <c:v>0</c:v>
                </c:pt>
                <c:pt idx="271">
                  <c:v>1</c:v>
                </c:pt>
                <c:pt idx="272">
                  <c:v>0</c:v>
                </c:pt>
                <c:pt idx="273">
                  <c:v>0</c:v>
                </c:pt>
                <c:pt idx="274">
                  <c:v>0</c:v>
                </c:pt>
                <c:pt idx="275">
                  <c:v>0</c:v>
                </c:pt>
                <c:pt idx="276">
                  <c:v>0</c:v>
                </c:pt>
                <c:pt idx="277">
                  <c:v>0</c:v>
                </c:pt>
                <c:pt idx="278">
                  <c:v>0</c:v>
                </c:pt>
                <c:pt idx="279">
                  <c:v>0</c:v>
                </c:pt>
                <c:pt idx="280">
                  <c:v>1</c:v>
                </c:pt>
                <c:pt idx="281">
                  <c:v>1</c:v>
                </c:pt>
                <c:pt idx="282">
                  <c:v>0</c:v>
                </c:pt>
                <c:pt idx="283">
                  <c:v>0</c:v>
                </c:pt>
                <c:pt idx="284">
                  <c:v>0</c:v>
                </c:pt>
                <c:pt idx="285">
                  <c:v>0</c:v>
                </c:pt>
                <c:pt idx="286">
                  <c:v>0</c:v>
                </c:pt>
                <c:pt idx="287">
                  <c:v>0</c:v>
                </c:pt>
                <c:pt idx="288">
                  <c:v>1</c:v>
                </c:pt>
                <c:pt idx="289">
                  <c:v>0</c:v>
                </c:pt>
                <c:pt idx="290">
                  <c:v>0</c:v>
                </c:pt>
                <c:pt idx="291">
                  <c:v>0</c:v>
                </c:pt>
                <c:pt idx="292">
                  <c:v>1</c:v>
                </c:pt>
                <c:pt idx="293">
                  <c:v>0</c:v>
                </c:pt>
                <c:pt idx="294">
                  <c:v>0</c:v>
                </c:pt>
                <c:pt idx="295">
                  <c:v>0</c:v>
                </c:pt>
                <c:pt idx="296">
                  <c:v>1</c:v>
                </c:pt>
                <c:pt idx="297">
                  <c:v>1</c:v>
                </c:pt>
                <c:pt idx="298">
                  <c:v>1</c:v>
                </c:pt>
                <c:pt idx="299">
                  <c:v>0</c:v>
                </c:pt>
                <c:pt idx="300">
                  <c:v>0</c:v>
                </c:pt>
                <c:pt idx="301">
                  <c:v>1</c:v>
                </c:pt>
                <c:pt idx="302">
                  <c:v>0</c:v>
                </c:pt>
                <c:pt idx="303">
                  <c:v>0</c:v>
                </c:pt>
                <c:pt idx="304">
                  <c:v>0</c:v>
                </c:pt>
                <c:pt idx="305">
                  <c:v>0</c:v>
                </c:pt>
                <c:pt idx="306">
                  <c:v>0</c:v>
                </c:pt>
                <c:pt idx="307">
                  <c:v>0</c:v>
                </c:pt>
                <c:pt idx="308">
                  <c:v>0</c:v>
                </c:pt>
                <c:pt idx="309">
                  <c:v>0</c:v>
                </c:pt>
                <c:pt idx="310">
                  <c:v>0</c:v>
                </c:pt>
                <c:pt idx="311">
                  <c:v>0</c:v>
                </c:pt>
                <c:pt idx="312">
                  <c:v>1</c:v>
                </c:pt>
                <c:pt idx="313">
                  <c:v>0</c:v>
                </c:pt>
                <c:pt idx="314">
                  <c:v>1</c:v>
                </c:pt>
                <c:pt idx="315">
                  <c:v>0</c:v>
                </c:pt>
                <c:pt idx="316">
                  <c:v>0</c:v>
                </c:pt>
                <c:pt idx="317">
                  <c:v>0</c:v>
                </c:pt>
                <c:pt idx="318">
                  <c:v>0</c:v>
                </c:pt>
                <c:pt idx="319">
                  <c:v>0</c:v>
                </c:pt>
                <c:pt idx="320">
                  <c:v>0</c:v>
                </c:pt>
                <c:pt idx="321">
                  <c:v>0</c:v>
                </c:pt>
                <c:pt idx="322">
                  <c:v>1</c:v>
                </c:pt>
                <c:pt idx="323">
                  <c:v>0</c:v>
                </c:pt>
                <c:pt idx="324">
                  <c:v>0</c:v>
                </c:pt>
                <c:pt idx="325">
                  <c:v>0</c:v>
                </c:pt>
                <c:pt idx="326">
                  <c:v>0</c:v>
                </c:pt>
                <c:pt idx="327">
                  <c:v>1</c:v>
                </c:pt>
                <c:pt idx="328">
                  <c:v>1</c:v>
                </c:pt>
                <c:pt idx="329">
                  <c:v>0</c:v>
                </c:pt>
                <c:pt idx="330">
                  <c:v>1</c:v>
                </c:pt>
                <c:pt idx="331">
                  <c:v>1</c:v>
                </c:pt>
                <c:pt idx="332">
                  <c:v>0</c:v>
                </c:pt>
                <c:pt idx="333">
                  <c:v>0</c:v>
                </c:pt>
                <c:pt idx="334">
                  <c:v>0</c:v>
                </c:pt>
                <c:pt idx="335">
                  <c:v>0</c:v>
                </c:pt>
                <c:pt idx="336">
                  <c:v>0</c:v>
                </c:pt>
                <c:pt idx="337">
                  <c:v>0</c:v>
                </c:pt>
                <c:pt idx="338">
                  <c:v>1</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1</c:v>
                </c:pt>
                <c:pt idx="363">
                  <c:v>0</c:v>
                </c:pt>
                <c:pt idx="364">
                  <c:v>0</c:v>
                </c:pt>
                <c:pt idx="365">
                  <c:v>0</c:v>
                </c:pt>
                <c:pt idx="366">
                  <c:v>0</c:v>
                </c:pt>
                <c:pt idx="367">
                  <c:v>0</c:v>
                </c:pt>
                <c:pt idx="368">
                  <c:v>0</c:v>
                </c:pt>
                <c:pt idx="369">
                  <c:v>0</c:v>
                </c:pt>
                <c:pt idx="370">
                  <c:v>0</c:v>
                </c:pt>
                <c:pt idx="371">
                  <c:v>0</c:v>
                </c:pt>
                <c:pt idx="372">
                  <c:v>0</c:v>
                </c:pt>
                <c:pt idx="373">
                  <c:v>1</c:v>
                </c:pt>
                <c:pt idx="374">
                  <c:v>0</c:v>
                </c:pt>
                <c:pt idx="375">
                  <c:v>1</c:v>
                </c:pt>
                <c:pt idx="376">
                  <c:v>1</c:v>
                </c:pt>
                <c:pt idx="377">
                  <c:v>1</c:v>
                </c:pt>
                <c:pt idx="378">
                  <c:v>0</c:v>
                </c:pt>
                <c:pt idx="379">
                  <c:v>0</c:v>
                </c:pt>
                <c:pt idx="380">
                  <c:v>1</c:v>
                </c:pt>
                <c:pt idx="381">
                  <c:v>1</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1</c:v>
                </c:pt>
                <c:pt idx="412">
                  <c:v>1</c:v>
                </c:pt>
                <c:pt idx="413">
                  <c:v>0</c:v>
                </c:pt>
                <c:pt idx="414">
                  <c:v>0</c:v>
                </c:pt>
                <c:pt idx="415">
                  <c:v>0</c:v>
                </c:pt>
                <c:pt idx="416">
                  <c:v>0</c:v>
                </c:pt>
                <c:pt idx="417">
                  <c:v>1</c:v>
                </c:pt>
                <c:pt idx="418">
                  <c:v>0</c:v>
                </c:pt>
                <c:pt idx="419">
                  <c:v>1</c:v>
                </c:pt>
                <c:pt idx="420">
                  <c:v>1</c:v>
                </c:pt>
                <c:pt idx="421">
                  <c:v>1</c:v>
                </c:pt>
                <c:pt idx="422">
                  <c:v>1</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1</c:v>
                </c:pt>
                <c:pt idx="442">
                  <c:v>0</c:v>
                </c:pt>
                <c:pt idx="443">
                  <c:v>0</c:v>
                </c:pt>
                <c:pt idx="444">
                  <c:v>1</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1</c:v>
                </c:pt>
                <c:pt idx="462">
                  <c:v>0</c:v>
                </c:pt>
                <c:pt idx="463">
                  <c:v>0</c:v>
                </c:pt>
                <c:pt idx="464">
                  <c:v>0</c:v>
                </c:pt>
                <c:pt idx="465">
                  <c:v>1</c:v>
                </c:pt>
                <c:pt idx="466">
                  <c:v>0</c:v>
                </c:pt>
                <c:pt idx="467">
                  <c:v>0</c:v>
                </c:pt>
                <c:pt idx="468">
                  <c:v>0</c:v>
                </c:pt>
                <c:pt idx="469">
                  <c:v>0</c:v>
                </c:pt>
                <c:pt idx="470">
                  <c:v>0</c:v>
                </c:pt>
                <c:pt idx="471">
                  <c:v>0</c:v>
                </c:pt>
                <c:pt idx="472">
                  <c:v>0</c:v>
                </c:pt>
                <c:pt idx="473">
                  <c:v>0</c:v>
                </c:pt>
                <c:pt idx="474">
                  <c:v>1</c:v>
                </c:pt>
                <c:pt idx="475">
                  <c:v>1</c:v>
                </c:pt>
                <c:pt idx="476">
                  <c:v>1</c:v>
                </c:pt>
                <c:pt idx="477">
                  <c:v>0</c:v>
                </c:pt>
                <c:pt idx="478">
                  <c:v>0</c:v>
                </c:pt>
                <c:pt idx="479">
                  <c:v>0</c:v>
                </c:pt>
                <c:pt idx="480">
                  <c:v>0</c:v>
                </c:pt>
                <c:pt idx="481">
                  <c:v>0</c:v>
                </c:pt>
                <c:pt idx="482">
                  <c:v>0</c:v>
                </c:pt>
                <c:pt idx="483">
                  <c:v>0</c:v>
                </c:pt>
                <c:pt idx="484">
                  <c:v>0</c:v>
                </c:pt>
                <c:pt idx="485">
                  <c:v>0</c:v>
                </c:pt>
                <c:pt idx="486">
                  <c:v>0</c:v>
                </c:pt>
                <c:pt idx="487">
                  <c:v>0</c:v>
                </c:pt>
                <c:pt idx="488">
                  <c:v>1</c:v>
                </c:pt>
                <c:pt idx="489">
                  <c:v>0</c:v>
                </c:pt>
                <c:pt idx="490">
                  <c:v>0</c:v>
                </c:pt>
                <c:pt idx="491">
                  <c:v>0</c:v>
                </c:pt>
                <c:pt idx="492">
                  <c:v>0</c:v>
                </c:pt>
                <c:pt idx="493">
                  <c:v>0</c:v>
                </c:pt>
                <c:pt idx="494">
                  <c:v>1</c:v>
                </c:pt>
                <c:pt idx="495">
                  <c:v>0</c:v>
                </c:pt>
                <c:pt idx="496">
                  <c:v>0</c:v>
                </c:pt>
                <c:pt idx="497">
                  <c:v>0</c:v>
                </c:pt>
                <c:pt idx="498">
                  <c:v>0</c:v>
                </c:pt>
                <c:pt idx="499">
                  <c:v>0</c:v>
                </c:pt>
                <c:pt idx="500">
                  <c:v>1</c:v>
                </c:pt>
                <c:pt idx="501">
                  <c:v>0</c:v>
                </c:pt>
                <c:pt idx="502">
                  <c:v>1</c:v>
                </c:pt>
                <c:pt idx="503">
                  <c:v>1</c:v>
                </c:pt>
                <c:pt idx="504">
                  <c:v>0</c:v>
                </c:pt>
                <c:pt idx="505">
                  <c:v>0</c:v>
                </c:pt>
                <c:pt idx="506">
                  <c:v>0</c:v>
                </c:pt>
                <c:pt idx="507">
                  <c:v>0</c:v>
                </c:pt>
                <c:pt idx="508">
                  <c:v>0</c:v>
                </c:pt>
                <c:pt idx="509">
                  <c:v>0</c:v>
                </c:pt>
                <c:pt idx="510">
                  <c:v>0</c:v>
                </c:pt>
                <c:pt idx="511">
                  <c:v>0</c:v>
                </c:pt>
                <c:pt idx="512">
                  <c:v>0</c:v>
                </c:pt>
                <c:pt idx="513">
                  <c:v>0</c:v>
                </c:pt>
                <c:pt idx="514">
                  <c:v>1</c:v>
                </c:pt>
                <c:pt idx="515">
                  <c:v>0</c:v>
                </c:pt>
                <c:pt idx="516">
                  <c:v>0</c:v>
                </c:pt>
                <c:pt idx="517">
                  <c:v>0</c:v>
                </c:pt>
                <c:pt idx="518">
                  <c:v>0</c:v>
                </c:pt>
                <c:pt idx="519">
                  <c:v>0</c:v>
                </c:pt>
                <c:pt idx="520">
                  <c:v>0</c:v>
                </c:pt>
                <c:pt idx="521">
                  <c:v>0</c:v>
                </c:pt>
                <c:pt idx="522">
                  <c:v>0</c:v>
                </c:pt>
                <c:pt idx="523">
                  <c:v>0</c:v>
                </c:pt>
                <c:pt idx="524">
                  <c:v>1</c:v>
                </c:pt>
                <c:pt idx="525">
                  <c:v>0</c:v>
                </c:pt>
                <c:pt idx="526">
                  <c:v>0</c:v>
                </c:pt>
                <c:pt idx="527">
                  <c:v>0</c:v>
                </c:pt>
                <c:pt idx="528">
                  <c:v>0</c:v>
                </c:pt>
                <c:pt idx="529">
                  <c:v>0</c:v>
                </c:pt>
                <c:pt idx="530">
                  <c:v>1</c:v>
                </c:pt>
                <c:pt idx="531">
                  <c:v>0</c:v>
                </c:pt>
                <c:pt idx="532">
                  <c:v>0</c:v>
                </c:pt>
                <c:pt idx="533">
                  <c:v>0</c:v>
                </c:pt>
                <c:pt idx="534">
                  <c:v>0</c:v>
                </c:pt>
                <c:pt idx="535">
                  <c:v>0</c:v>
                </c:pt>
                <c:pt idx="536">
                  <c:v>0</c:v>
                </c:pt>
                <c:pt idx="537">
                  <c:v>0</c:v>
                </c:pt>
                <c:pt idx="538">
                  <c:v>0</c:v>
                </c:pt>
                <c:pt idx="539">
                  <c:v>0</c:v>
                </c:pt>
                <c:pt idx="540">
                  <c:v>0</c:v>
                </c:pt>
                <c:pt idx="541">
                  <c:v>0</c:v>
                </c:pt>
                <c:pt idx="542">
                  <c:v>0</c:v>
                </c:pt>
                <c:pt idx="543">
                  <c:v>1</c:v>
                </c:pt>
                <c:pt idx="544">
                  <c:v>0</c:v>
                </c:pt>
                <c:pt idx="545">
                  <c:v>1</c:v>
                </c:pt>
                <c:pt idx="546">
                  <c:v>0</c:v>
                </c:pt>
                <c:pt idx="547">
                  <c:v>0</c:v>
                </c:pt>
                <c:pt idx="548">
                  <c:v>0</c:v>
                </c:pt>
                <c:pt idx="549">
                  <c:v>1</c:v>
                </c:pt>
                <c:pt idx="550">
                  <c:v>0</c:v>
                </c:pt>
                <c:pt idx="551">
                  <c:v>0</c:v>
                </c:pt>
                <c:pt idx="552">
                  <c:v>0</c:v>
                </c:pt>
                <c:pt idx="553">
                  <c:v>0</c:v>
                </c:pt>
                <c:pt idx="554">
                  <c:v>0</c:v>
                </c:pt>
                <c:pt idx="555">
                  <c:v>0</c:v>
                </c:pt>
                <c:pt idx="556">
                  <c:v>0</c:v>
                </c:pt>
                <c:pt idx="557">
                  <c:v>0</c:v>
                </c:pt>
                <c:pt idx="558">
                  <c:v>1</c:v>
                </c:pt>
                <c:pt idx="559">
                  <c:v>0</c:v>
                </c:pt>
                <c:pt idx="560">
                  <c:v>0</c:v>
                </c:pt>
                <c:pt idx="561">
                  <c:v>0</c:v>
                </c:pt>
                <c:pt idx="562">
                  <c:v>0</c:v>
                </c:pt>
                <c:pt idx="563">
                  <c:v>0</c:v>
                </c:pt>
                <c:pt idx="564">
                  <c:v>0</c:v>
                </c:pt>
                <c:pt idx="565">
                  <c:v>0</c:v>
                </c:pt>
                <c:pt idx="566">
                  <c:v>0</c:v>
                </c:pt>
                <c:pt idx="567">
                  <c:v>0</c:v>
                </c:pt>
                <c:pt idx="568">
                  <c:v>0</c:v>
                </c:pt>
                <c:pt idx="569">
                  <c:v>1</c:v>
                </c:pt>
                <c:pt idx="570">
                  <c:v>0</c:v>
                </c:pt>
                <c:pt idx="571">
                  <c:v>0</c:v>
                </c:pt>
                <c:pt idx="572">
                  <c:v>0</c:v>
                </c:pt>
                <c:pt idx="573">
                  <c:v>0</c:v>
                </c:pt>
                <c:pt idx="574">
                  <c:v>0</c:v>
                </c:pt>
                <c:pt idx="575">
                  <c:v>0</c:v>
                </c:pt>
                <c:pt idx="576">
                  <c:v>0</c:v>
                </c:pt>
                <c:pt idx="577">
                  <c:v>1</c:v>
                </c:pt>
                <c:pt idx="578">
                  <c:v>0</c:v>
                </c:pt>
                <c:pt idx="579">
                  <c:v>0</c:v>
                </c:pt>
                <c:pt idx="580">
                  <c:v>0</c:v>
                </c:pt>
                <c:pt idx="581">
                  <c:v>0</c:v>
                </c:pt>
                <c:pt idx="582">
                  <c:v>0</c:v>
                </c:pt>
                <c:pt idx="583">
                  <c:v>0</c:v>
                </c:pt>
                <c:pt idx="584">
                  <c:v>0</c:v>
                </c:pt>
                <c:pt idx="585">
                  <c:v>0</c:v>
                </c:pt>
                <c:pt idx="586">
                  <c:v>0</c:v>
                </c:pt>
                <c:pt idx="587">
                  <c:v>1</c:v>
                </c:pt>
                <c:pt idx="588">
                  <c:v>0</c:v>
                </c:pt>
                <c:pt idx="589">
                  <c:v>0</c:v>
                </c:pt>
                <c:pt idx="590">
                  <c:v>0</c:v>
                </c:pt>
                <c:pt idx="591">
                  <c:v>0</c:v>
                </c:pt>
                <c:pt idx="592">
                  <c:v>0</c:v>
                </c:pt>
                <c:pt idx="593">
                  <c:v>1</c:v>
                </c:pt>
                <c:pt idx="594">
                  <c:v>0</c:v>
                </c:pt>
                <c:pt idx="595">
                  <c:v>0</c:v>
                </c:pt>
                <c:pt idx="596">
                  <c:v>0</c:v>
                </c:pt>
                <c:pt idx="597">
                  <c:v>0</c:v>
                </c:pt>
                <c:pt idx="598">
                  <c:v>0</c:v>
                </c:pt>
                <c:pt idx="599">
                  <c:v>0</c:v>
                </c:pt>
                <c:pt idx="600">
                  <c:v>0</c:v>
                </c:pt>
                <c:pt idx="601">
                  <c:v>0</c:v>
                </c:pt>
                <c:pt idx="602">
                  <c:v>0</c:v>
                </c:pt>
                <c:pt idx="603">
                  <c:v>0</c:v>
                </c:pt>
                <c:pt idx="604">
                  <c:v>1</c:v>
                </c:pt>
                <c:pt idx="605">
                  <c:v>0</c:v>
                </c:pt>
                <c:pt idx="606">
                  <c:v>0</c:v>
                </c:pt>
                <c:pt idx="607">
                  <c:v>1</c:v>
                </c:pt>
                <c:pt idx="608">
                  <c:v>0</c:v>
                </c:pt>
                <c:pt idx="609">
                  <c:v>1</c:v>
                </c:pt>
                <c:pt idx="610">
                  <c:v>0</c:v>
                </c:pt>
                <c:pt idx="611">
                  <c:v>0</c:v>
                </c:pt>
                <c:pt idx="612">
                  <c:v>0</c:v>
                </c:pt>
                <c:pt idx="613">
                  <c:v>0</c:v>
                </c:pt>
                <c:pt idx="614">
                  <c:v>0</c:v>
                </c:pt>
                <c:pt idx="615">
                  <c:v>1</c:v>
                </c:pt>
                <c:pt idx="616">
                  <c:v>0</c:v>
                </c:pt>
                <c:pt idx="617">
                  <c:v>1</c:v>
                </c:pt>
                <c:pt idx="618">
                  <c:v>1</c:v>
                </c:pt>
                <c:pt idx="619">
                  <c:v>0</c:v>
                </c:pt>
                <c:pt idx="620">
                  <c:v>0</c:v>
                </c:pt>
                <c:pt idx="621">
                  <c:v>1</c:v>
                </c:pt>
                <c:pt idx="622">
                  <c:v>0</c:v>
                </c:pt>
                <c:pt idx="623">
                  <c:v>1</c:v>
                </c:pt>
                <c:pt idx="624">
                  <c:v>0</c:v>
                </c:pt>
                <c:pt idx="625">
                  <c:v>0</c:v>
                </c:pt>
                <c:pt idx="626">
                  <c:v>0</c:v>
                </c:pt>
                <c:pt idx="627">
                  <c:v>0</c:v>
                </c:pt>
                <c:pt idx="628">
                  <c:v>0</c:v>
                </c:pt>
                <c:pt idx="629">
                  <c:v>1</c:v>
                </c:pt>
                <c:pt idx="630">
                  <c:v>0</c:v>
                </c:pt>
                <c:pt idx="631">
                  <c:v>0</c:v>
                </c:pt>
                <c:pt idx="632">
                  <c:v>0</c:v>
                </c:pt>
                <c:pt idx="633">
                  <c:v>0</c:v>
                </c:pt>
                <c:pt idx="634">
                  <c:v>0</c:v>
                </c:pt>
                <c:pt idx="635">
                  <c:v>0</c:v>
                </c:pt>
                <c:pt idx="636">
                  <c:v>0</c:v>
                </c:pt>
                <c:pt idx="637">
                  <c:v>0</c:v>
                </c:pt>
                <c:pt idx="638">
                  <c:v>1</c:v>
                </c:pt>
                <c:pt idx="639">
                  <c:v>0</c:v>
                </c:pt>
                <c:pt idx="640">
                  <c:v>0</c:v>
                </c:pt>
                <c:pt idx="641">
                  <c:v>1</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1</c:v>
                </c:pt>
                <c:pt idx="656">
                  <c:v>0</c:v>
                </c:pt>
                <c:pt idx="657">
                  <c:v>0</c:v>
                </c:pt>
                <c:pt idx="658">
                  <c:v>0</c:v>
                </c:pt>
                <c:pt idx="659">
                  <c:v>0</c:v>
                </c:pt>
                <c:pt idx="660">
                  <c:v>0</c:v>
                </c:pt>
                <c:pt idx="661">
                  <c:v>0</c:v>
                </c:pt>
                <c:pt idx="662">
                  <c:v>0</c:v>
                </c:pt>
                <c:pt idx="663">
                  <c:v>0</c:v>
                </c:pt>
                <c:pt idx="664">
                  <c:v>1</c:v>
                </c:pt>
                <c:pt idx="665">
                  <c:v>1</c:v>
                </c:pt>
                <c:pt idx="666">
                  <c:v>0</c:v>
                </c:pt>
                <c:pt idx="667">
                  <c:v>1</c:v>
                </c:pt>
                <c:pt idx="668">
                  <c:v>1</c:v>
                </c:pt>
                <c:pt idx="669">
                  <c:v>0</c:v>
                </c:pt>
                <c:pt idx="670">
                  <c:v>0</c:v>
                </c:pt>
                <c:pt idx="671">
                  <c:v>0</c:v>
                </c:pt>
                <c:pt idx="672">
                  <c:v>0</c:v>
                </c:pt>
                <c:pt idx="673">
                  <c:v>0</c:v>
                </c:pt>
                <c:pt idx="674">
                  <c:v>1</c:v>
                </c:pt>
                <c:pt idx="675">
                  <c:v>0</c:v>
                </c:pt>
                <c:pt idx="676">
                  <c:v>0</c:v>
                </c:pt>
                <c:pt idx="677">
                  <c:v>1</c:v>
                </c:pt>
                <c:pt idx="678">
                  <c:v>0</c:v>
                </c:pt>
                <c:pt idx="679">
                  <c:v>0</c:v>
                </c:pt>
                <c:pt idx="680">
                  <c:v>0</c:v>
                </c:pt>
                <c:pt idx="681">
                  <c:v>0</c:v>
                </c:pt>
                <c:pt idx="682">
                  <c:v>1</c:v>
                </c:pt>
                <c:pt idx="683">
                  <c:v>0</c:v>
                </c:pt>
                <c:pt idx="684">
                  <c:v>0</c:v>
                </c:pt>
                <c:pt idx="685">
                  <c:v>0</c:v>
                </c:pt>
                <c:pt idx="686">
                  <c:v>0</c:v>
                </c:pt>
                <c:pt idx="687">
                  <c:v>0</c:v>
                </c:pt>
                <c:pt idx="688">
                  <c:v>0</c:v>
                </c:pt>
                <c:pt idx="689">
                  <c:v>1</c:v>
                </c:pt>
                <c:pt idx="690">
                  <c:v>0</c:v>
                </c:pt>
                <c:pt idx="691">
                  <c:v>0</c:v>
                </c:pt>
                <c:pt idx="692">
                  <c:v>0</c:v>
                </c:pt>
                <c:pt idx="693">
                  <c:v>0</c:v>
                </c:pt>
                <c:pt idx="694">
                  <c:v>0</c:v>
                </c:pt>
                <c:pt idx="695">
                  <c:v>0</c:v>
                </c:pt>
                <c:pt idx="696">
                  <c:v>0</c:v>
                </c:pt>
                <c:pt idx="697">
                  <c:v>1</c:v>
                </c:pt>
                <c:pt idx="698">
                  <c:v>0</c:v>
                </c:pt>
                <c:pt idx="699">
                  <c:v>0</c:v>
                </c:pt>
                <c:pt idx="700">
                  <c:v>0</c:v>
                </c:pt>
                <c:pt idx="701">
                  <c:v>0</c:v>
                </c:pt>
                <c:pt idx="702">
                  <c:v>0</c:v>
                </c:pt>
                <c:pt idx="703">
                  <c:v>0</c:v>
                </c:pt>
                <c:pt idx="704">
                  <c:v>0</c:v>
                </c:pt>
                <c:pt idx="705">
                  <c:v>0</c:v>
                </c:pt>
                <c:pt idx="706">
                  <c:v>1</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1</c:v>
                </c:pt>
                <c:pt idx="726">
                  <c:v>0</c:v>
                </c:pt>
                <c:pt idx="727">
                  <c:v>1</c:v>
                </c:pt>
                <c:pt idx="728">
                  <c:v>0</c:v>
                </c:pt>
                <c:pt idx="729">
                  <c:v>0</c:v>
                </c:pt>
                <c:pt idx="730">
                  <c:v>1</c:v>
                </c:pt>
                <c:pt idx="731">
                  <c:v>0</c:v>
                </c:pt>
                <c:pt idx="732">
                  <c:v>0</c:v>
                </c:pt>
                <c:pt idx="733">
                  <c:v>0</c:v>
                </c:pt>
                <c:pt idx="734">
                  <c:v>0</c:v>
                </c:pt>
                <c:pt idx="735">
                  <c:v>0</c:v>
                </c:pt>
                <c:pt idx="736">
                  <c:v>1</c:v>
                </c:pt>
                <c:pt idx="737">
                  <c:v>0</c:v>
                </c:pt>
                <c:pt idx="738">
                  <c:v>1</c:v>
                </c:pt>
                <c:pt idx="739">
                  <c:v>1</c:v>
                </c:pt>
                <c:pt idx="740">
                  <c:v>0</c:v>
                </c:pt>
                <c:pt idx="741">
                  <c:v>1</c:v>
                </c:pt>
                <c:pt idx="742">
                  <c:v>1</c:v>
                </c:pt>
                <c:pt idx="743">
                  <c:v>0</c:v>
                </c:pt>
                <c:pt idx="744">
                  <c:v>0</c:v>
                </c:pt>
                <c:pt idx="745">
                  <c:v>0</c:v>
                </c:pt>
                <c:pt idx="746">
                  <c:v>0</c:v>
                </c:pt>
                <c:pt idx="747">
                  <c:v>0</c:v>
                </c:pt>
                <c:pt idx="748">
                  <c:v>0</c:v>
                </c:pt>
                <c:pt idx="749">
                  <c:v>0</c:v>
                </c:pt>
                <c:pt idx="750">
                  <c:v>1</c:v>
                </c:pt>
                <c:pt idx="751">
                  <c:v>0</c:v>
                </c:pt>
                <c:pt idx="752">
                  <c:v>0</c:v>
                </c:pt>
                <c:pt idx="753">
                  <c:v>0</c:v>
                </c:pt>
                <c:pt idx="754">
                  <c:v>0</c:v>
                </c:pt>
                <c:pt idx="755">
                  <c:v>0</c:v>
                </c:pt>
                <c:pt idx="756">
                  <c:v>0</c:v>
                </c:pt>
                <c:pt idx="757">
                  <c:v>1</c:v>
                </c:pt>
                <c:pt idx="758">
                  <c:v>0</c:v>
                </c:pt>
                <c:pt idx="759">
                  <c:v>1</c:v>
                </c:pt>
                <c:pt idx="760">
                  <c:v>0</c:v>
                </c:pt>
                <c:pt idx="761">
                  <c:v>0</c:v>
                </c:pt>
                <c:pt idx="762">
                  <c:v>1</c:v>
                </c:pt>
                <c:pt idx="763">
                  <c:v>0</c:v>
                </c:pt>
                <c:pt idx="764">
                  <c:v>0</c:v>
                </c:pt>
                <c:pt idx="765">
                  <c:v>0</c:v>
                </c:pt>
                <c:pt idx="766">
                  <c:v>0</c:v>
                </c:pt>
                <c:pt idx="767">
                  <c:v>0</c:v>
                </c:pt>
                <c:pt idx="768">
                  <c:v>0</c:v>
                </c:pt>
                <c:pt idx="769">
                  <c:v>0</c:v>
                </c:pt>
                <c:pt idx="770">
                  <c:v>0</c:v>
                </c:pt>
                <c:pt idx="771">
                  <c:v>0</c:v>
                </c:pt>
                <c:pt idx="772">
                  <c:v>0</c:v>
                </c:pt>
                <c:pt idx="773">
                  <c:v>1</c:v>
                </c:pt>
                <c:pt idx="774">
                  <c:v>0</c:v>
                </c:pt>
                <c:pt idx="775">
                  <c:v>0</c:v>
                </c:pt>
                <c:pt idx="776">
                  <c:v>0</c:v>
                </c:pt>
                <c:pt idx="777">
                  <c:v>0</c:v>
                </c:pt>
                <c:pt idx="778">
                  <c:v>0</c:v>
                </c:pt>
                <c:pt idx="779">
                  <c:v>0</c:v>
                </c:pt>
                <c:pt idx="780">
                  <c:v>1</c:v>
                </c:pt>
                <c:pt idx="781">
                  <c:v>0</c:v>
                </c:pt>
                <c:pt idx="782">
                  <c:v>0</c:v>
                </c:pt>
                <c:pt idx="783">
                  <c:v>1</c:v>
                </c:pt>
                <c:pt idx="784">
                  <c:v>0</c:v>
                </c:pt>
                <c:pt idx="785">
                  <c:v>0</c:v>
                </c:pt>
                <c:pt idx="786">
                  <c:v>0</c:v>
                </c:pt>
                <c:pt idx="787">
                  <c:v>0</c:v>
                </c:pt>
                <c:pt idx="788">
                  <c:v>0</c:v>
                </c:pt>
                <c:pt idx="789">
                  <c:v>0</c:v>
                </c:pt>
                <c:pt idx="790">
                  <c:v>0</c:v>
                </c:pt>
                <c:pt idx="791">
                  <c:v>0</c:v>
                </c:pt>
                <c:pt idx="792">
                  <c:v>0</c:v>
                </c:pt>
                <c:pt idx="793">
                  <c:v>1</c:v>
                </c:pt>
                <c:pt idx="794">
                  <c:v>0</c:v>
                </c:pt>
                <c:pt idx="795">
                  <c:v>1</c:v>
                </c:pt>
                <c:pt idx="796">
                  <c:v>0</c:v>
                </c:pt>
                <c:pt idx="797">
                  <c:v>0</c:v>
                </c:pt>
                <c:pt idx="798">
                  <c:v>0</c:v>
                </c:pt>
                <c:pt idx="799">
                  <c:v>1</c:v>
                </c:pt>
                <c:pt idx="800">
                  <c:v>0</c:v>
                </c:pt>
                <c:pt idx="801">
                  <c:v>0</c:v>
                </c:pt>
                <c:pt idx="802">
                  <c:v>0</c:v>
                </c:pt>
                <c:pt idx="803">
                  <c:v>1</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1</c:v>
                </c:pt>
                <c:pt idx="819">
                  <c:v>1</c:v>
                </c:pt>
                <c:pt idx="820">
                  <c:v>0</c:v>
                </c:pt>
                <c:pt idx="821">
                  <c:v>0</c:v>
                </c:pt>
                <c:pt idx="822">
                  <c:v>0</c:v>
                </c:pt>
                <c:pt idx="823">
                  <c:v>0</c:v>
                </c:pt>
                <c:pt idx="824">
                  <c:v>0</c:v>
                </c:pt>
                <c:pt idx="825">
                  <c:v>0</c:v>
                </c:pt>
                <c:pt idx="826">
                  <c:v>1</c:v>
                </c:pt>
                <c:pt idx="827">
                  <c:v>1</c:v>
                </c:pt>
                <c:pt idx="828">
                  <c:v>1</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1</c:v>
                </c:pt>
                <c:pt idx="843">
                  <c:v>1</c:v>
                </c:pt>
                <c:pt idx="844">
                  <c:v>0</c:v>
                </c:pt>
                <c:pt idx="845">
                  <c:v>1</c:v>
                </c:pt>
                <c:pt idx="846">
                  <c:v>0</c:v>
                </c:pt>
                <c:pt idx="847">
                  <c:v>0</c:v>
                </c:pt>
                <c:pt idx="848">
                  <c:v>0</c:v>
                </c:pt>
                <c:pt idx="849">
                  <c:v>0</c:v>
                </c:pt>
                <c:pt idx="850">
                  <c:v>1</c:v>
                </c:pt>
                <c:pt idx="851">
                  <c:v>0</c:v>
                </c:pt>
                <c:pt idx="852">
                  <c:v>1</c:v>
                </c:pt>
                <c:pt idx="853">
                  <c:v>0</c:v>
                </c:pt>
                <c:pt idx="854">
                  <c:v>1</c:v>
                </c:pt>
                <c:pt idx="855">
                  <c:v>0</c:v>
                </c:pt>
                <c:pt idx="856">
                  <c:v>1</c:v>
                </c:pt>
                <c:pt idx="857">
                  <c:v>1</c:v>
                </c:pt>
                <c:pt idx="858">
                  <c:v>0</c:v>
                </c:pt>
                <c:pt idx="859">
                  <c:v>0</c:v>
                </c:pt>
                <c:pt idx="860">
                  <c:v>1</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1</c:v>
                </c:pt>
                <c:pt idx="884">
                  <c:v>0</c:v>
                </c:pt>
                <c:pt idx="885">
                  <c:v>1</c:v>
                </c:pt>
                <c:pt idx="886">
                  <c:v>1</c:v>
                </c:pt>
                <c:pt idx="887">
                  <c:v>0</c:v>
                </c:pt>
                <c:pt idx="888">
                  <c:v>0</c:v>
                </c:pt>
                <c:pt idx="889">
                  <c:v>0</c:v>
                </c:pt>
                <c:pt idx="890">
                  <c:v>1</c:v>
                </c:pt>
                <c:pt idx="891">
                  <c:v>0</c:v>
                </c:pt>
                <c:pt idx="892">
                  <c:v>0</c:v>
                </c:pt>
                <c:pt idx="893">
                  <c:v>1</c:v>
                </c:pt>
                <c:pt idx="894">
                  <c:v>0</c:v>
                </c:pt>
                <c:pt idx="895">
                  <c:v>0</c:v>
                </c:pt>
                <c:pt idx="896">
                  <c:v>1</c:v>
                </c:pt>
                <c:pt idx="897">
                  <c:v>0</c:v>
                </c:pt>
                <c:pt idx="898">
                  <c:v>0</c:v>
                </c:pt>
                <c:pt idx="899">
                  <c:v>0</c:v>
                </c:pt>
                <c:pt idx="900">
                  <c:v>0</c:v>
                </c:pt>
                <c:pt idx="901">
                  <c:v>1</c:v>
                </c:pt>
                <c:pt idx="902">
                  <c:v>0</c:v>
                </c:pt>
                <c:pt idx="903">
                  <c:v>0</c:v>
                </c:pt>
                <c:pt idx="904">
                  <c:v>0</c:v>
                </c:pt>
                <c:pt idx="905">
                  <c:v>0</c:v>
                </c:pt>
                <c:pt idx="906">
                  <c:v>0</c:v>
                </c:pt>
                <c:pt idx="907">
                  <c:v>0</c:v>
                </c:pt>
                <c:pt idx="908">
                  <c:v>0</c:v>
                </c:pt>
                <c:pt idx="909">
                  <c:v>1</c:v>
                </c:pt>
                <c:pt idx="910">
                  <c:v>0</c:v>
                </c:pt>
                <c:pt idx="911">
                  <c:v>1</c:v>
                </c:pt>
                <c:pt idx="912">
                  <c:v>0</c:v>
                </c:pt>
                <c:pt idx="913">
                  <c:v>0</c:v>
                </c:pt>
                <c:pt idx="914">
                  <c:v>0</c:v>
                </c:pt>
                <c:pt idx="915">
                  <c:v>0</c:v>
                </c:pt>
                <c:pt idx="916">
                  <c:v>1</c:v>
                </c:pt>
                <c:pt idx="917">
                  <c:v>1</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1</c:v>
                </c:pt>
                <c:pt idx="948">
                  <c:v>0</c:v>
                </c:pt>
                <c:pt idx="949">
                  <c:v>1</c:v>
                </c:pt>
                <c:pt idx="950">
                  <c:v>0</c:v>
                </c:pt>
                <c:pt idx="951">
                  <c:v>1</c:v>
                </c:pt>
                <c:pt idx="952">
                  <c:v>0</c:v>
                </c:pt>
                <c:pt idx="953">
                  <c:v>1</c:v>
                </c:pt>
                <c:pt idx="954">
                  <c:v>1</c:v>
                </c:pt>
                <c:pt idx="955">
                  <c:v>0</c:v>
                </c:pt>
                <c:pt idx="956">
                  <c:v>1</c:v>
                </c:pt>
                <c:pt idx="957">
                  <c:v>0</c:v>
                </c:pt>
                <c:pt idx="958">
                  <c:v>1</c:v>
                </c:pt>
                <c:pt idx="959">
                  <c:v>0</c:v>
                </c:pt>
                <c:pt idx="960">
                  <c:v>0</c:v>
                </c:pt>
                <c:pt idx="961">
                  <c:v>0</c:v>
                </c:pt>
                <c:pt idx="962">
                  <c:v>0</c:v>
                </c:pt>
                <c:pt idx="963">
                  <c:v>0</c:v>
                </c:pt>
                <c:pt idx="964">
                  <c:v>0</c:v>
                </c:pt>
                <c:pt idx="965">
                  <c:v>0</c:v>
                </c:pt>
                <c:pt idx="966">
                  <c:v>1</c:v>
                </c:pt>
                <c:pt idx="967">
                  <c:v>0</c:v>
                </c:pt>
                <c:pt idx="968">
                  <c:v>0</c:v>
                </c:pt>
                <c:pt idx="969">
                  <c:v>0</c:v>
                </c:pt>
                <c:pt idx="970">
                  <c:v>0</c:v>
                </c:pt>
                <c:pt idx="971">
                  <c:v>0</c:v>
                </c:pt>
                <c:pt idx="972">
                  <c:v>0</c:v>
                </c:pt>
                <c:pt idx="973">
                  <c:v>0</c:v>
                </c:pt>
                <c:pt idx="974">
                  <c:v>0</c:v>
                </c:pt>
                <c:pt idx="975">
                  <c:v>1</c:v>
                </c:pt>
                <c:pt idx="976">
                  <c:v>0</c:v>
                </c:pt>
                <c:pt idx="977">
                  <c:v>0</c:v>
                </c:pt>
                <c:pt idx="978">
                  <c:v>0</c:v>
                </c:pt>
                <c:pt idx="979">
                  <c:v>0</c:v>
                </c:pt>
                <c:pt idx="980">
                  <c:v>0</c:v>
                </c:pt>
                <c:pt idx="981">
                  <c:v>0</c:v>
                </c:pt>
                <c:pt idx="982">
                  <c:v>1</c:v>
                </c:pt>
                <c:pt idx="983">
                  <c:v>0</c:v>
                </c:pt>
                <c:pt idx="984">
                  <c:v>0</c:v>
                </c:pt>
                <c:pt idx="985">
                  <c:v>0</c:v>
                </c:pt>
                <c:pt idx="986">
                  <c:v>0</c:v>
                </c:pt>
                <c:pt idx="987">
                  <c:v>0</c:v>
                </c:pt>
                <c:pt idx="988">
                  <c:v>0</c:v>
                </c:pt>
                <c:pt idx="989">
                  <c:v>1</c:v>
                </c:pt>
                <c:pt idx="990">
                  <c:v>0</c:v>
                </c:pt>
                <c:pt idx="991">
                  <c:v>0</c:v>
                </c:pt>
                <c:pt idx="992">
                  <c:v>0</c:v>
                </c:pt>
                <c:pt idx="993">
                  <c:v>0</c:v>
                </c:pt>
                <c:pt idx="994">
                  <c:v>1</c:v>
                </c:pt>
                <c:pt idx="995">
                  <c:v>0</c:v>
                </c:pt>
                <c:pt idx="996">
                  <c:v>0</c:v>
                </c:pt>
                <c:pt idx="997">
                  <c:v>0</c:v>
                </c:pt>
                <c:pt idx="998">
                  <c:v>0</c:v>
                </c:pt>
                <c:pt idx="999">
                  <c:v>0</c:v>
                </c:pt>
                <c:pt idx="1000">
                  <c:v>1</c:v>
                </c:pt>
                <c:pt idx="1001">
                  <c:v>1</c:v>
                </c:pt>
                <c:pt idx="1002">
                  <c:v>0</c:v>
                </c:pt>
                <c:pt idx="1003">
                  <c:v>0</c:v>
                </c:pt>
                <c:pt idx="1004">
                  <c:v>0</c:v>
                </c:pt>
                <c:pt idx="1005">
                  <c:v>0</c:v>
                </c:pt>
                <c:pt idx="1006">
                  <c:v>0</c:v>
                </c:pt>
                <c:pt idx="1007">
                  <c:v>1</c:v>
                </c:pt>
                <c:pt idx="1008">
                  <c:v>0</c:v>
                </c:pt>
                <c:pt idx="1009">
                  <c:v>0</c:v>
                </c:pt>
                <c:pt idx="1010">
                  <c:v>0</c:v>
                </c:pt>
                <c:pt idx="1011">
                  <c:v>1</c:v>
                </c:pt>
                <c:pt idx="1012">
                  <c:v>0</c:v>
                </c:pt>
                <c:pt idx="1013">
                  <c:v>0</c:v>
                </c:pt>
                <c:pt idx="1014">
                  <c:v>0</c:v>
                </c:pt>
                <c:pt idx="1015">
                  <c:v>0</c:v>
                </c:pt>
                <c:pt idx="1016">
                  <c:v>0</c:v>
                </c:pt>
                <c:pt idx="1017">
                  <c:v>0</c:v>
                </c:pt>
                <c:pt idx="1018">
                  <c:v>0</c:v>
                </c:pt>
                <c:pt idx="1019">
                  <c:v>0</c:v>
                </c:pt>
                <c:pt idx="1020">
                  <c:v>0</c:v>
                </c:pt>
                <c:pt idx="1021">
                  <c:v>1</c:v>
                </c:pt>
                <c:pt idx="1022">
                  <c:v>1</c:v>
                </c:pt>
                <c:pt idx="1023">
                  <c:v>0</c:v>
                </c:pt>
                <c:pt idx="1024">
                  <c:v>0</c:v>
                </c:pt>
                <c:pt idx="1025">
                  <c:v>0</c:v>
                </c:pt>
                <c:pt idx="1026">
                  <c:v>1</c:v>
                </c:pt>
                <c:pt idx="1027">
                  <c:v>0</c:v>
                </c:pt>
                <c:pt idx="1028">
                  <c:v>0</c:v>
                </c:pt>
                <c:pt idx="1029">
                  <c:v>0</c:v>
                </c:pt>
                <c:pt idx="1030">
                  <c:v>1</c:v>
                </c:pt>
                <c:pt idx="1031">
                  <c:v>1</c:v>
                </c:pt>
                <c:pt idx="1032">
                  <c:v>0</c:v>
                </c:pt>
                <c:pt idx="1033">
                  <c:v>1</c:v>
                </c:pt>
                <c:pt idx="1034">
                  <c:v>0</c:v>
                </c:pt>
                <c:pt idx="1035">
                  <c:v>0</c:v>
                </c:pt>
                <c:pt idx="1036">
                  <c:v>1</c:v>
                </c:pt>
                <c:pt idx="1037">
                  <c:v>1</c:v>
                </c:pt>
                <c:pt idx="1038">
                  <c:v>0</c:v>
                </c:pt>
                <c:pt idx="1039">
                  <c:v>0</c:v>
                </c:pt>
                <c:pt idx="1040">
                  <c:v>1</c:v>
                </c:pt>
                <c:pt idx="1041">
                  <c:v>0</c:v>
                </c:pt>
                <c:pt idx="1042">
                  <c:v>1</c:v>
                </c:pt>
                <c:pt idx="1043">
                  <c:v>0</c:v>
                </c:pt>
                <c:pt idx="1044">
                  <c:v>0</c:v>
                </c:pt>
                <c:pt idx="1045">
                  <c:v>1</c:v>
                </c:pt>
                <c:pt idx="1046">
                  <c:v>0</c:v>
                </c:pt>
                <c:pt idx="1047">
                  <c:v>1</c:v>
                </c:pt>
                <c:pt idx="1048">
                  <c:v>0</c:v>
                </c:pt>
                <c:pt idx="1049">
                  <c:v>1</c:v>
                </c:pt>
                <c:pt idx="1050">
                  <c:v>0</c:v>
                </c:pt>
                <c:pt idx="1051">
                  <c:v>0</c:v>
                </c:pt>
                <c:pt idx="1052">
                  <c:v>0</c:v>
                </c:pt>
                <c:pt idx="1053">
                  <c:v>1</c:v>
                </c:pt>
                <c:pt idx="1054">
                  <c:v>0</c:v>
                </c:pt>
                <c:pt idx="1055">
                  <c:v>0</c:v>
                </c:pt>
                <c:pt idx="1056">
                  <c:v>0</c:v>
                </c:pt>
                <c:pt idx="1057">
                  <c:v>0</c:v>
                </c:pt>
                <c:pt idx="1058">
                  <c:v>0</c:v>
                </c:pt>
                <c:pt idx="1059">
                  <c:v>0</c:v>
                </c:pt>
                <c:pt idx="1060">
                  <c:v>0</c:v>
                </c:pt>
                <c:pt idx="1061">
                  <c:v>0</c:v>
                </c:pt>
                <c:pt idx="1062">
                  <c:v>1</c:v>
                </c:pt>
                <c:pt idx="1063">
                  <c:v>0</c:v>
                </c:pt>
                <c:pt idx="1064">
                  <c:v>0</c:v>
                </c:pt>
                <c:pt idx="1065">
                  <c:v>0</c:v>
                </c:pt>
                <c:pt idx="1066">
                  <c:v>0</c:v>
                </c:pt>
                <c:pt idx="1067">
                  <c:v>0</c:v>
                </c:pt>
                <c:pt idx="1068">
                  <c:v>0</c:v>
                </c:pt>
                <c:pt idx="1069">
                  <c:v>0</c:v>
                </c:pt>
                <c:pt idx="1070">
                  <c:v>1</c:v>
                </c:pt>
                <c:pt idx="1071">
                  <c:v>0</c:v>
                </c:pt>
                <c:pt idx="1072">
                  <c:v>0</c:v>
                </c:pt>
                <c:pt idx="1073">
                  <c:v>0</c:v>
                </c:pt>
                <c:pt idx="1074">
                  <c:v>0</c:v>
                </c:pt>
                <c:pt idx="1075">
                  <c:v>0</c:v>
                </c:pt>
                <c:pt idx="1076">
                  <c:v>0</c:v>
                </c:pt>
                <c:pt idx="1077">
                  <c:v>0</c:v>
                </c:pt>
                <c:pt idx="1078">
                  <c:v>1</c:v>
                </c:pt>
                <c:pt idx="1079">
                  <c:v>0</c:v>
                </c:pt>
                <c:pt idx="1080">
                  <c:v>0</c:v>
                </c:pt>
                <c:pt idx="1081">
                  <c:v>0</c:v>
                </c:pt>
                <c:pt idx="1082">
                  <c:v>0</c:v>
                </c:pt>
                <c:pt idx="1083">
                  <c:v>0</c:v>
                </c:pt>
                <c:pt idx="1084">
                  <c:v>0</c:v>
                </c:pt>
                <c:pt idx="1085">
                  <c:v>1</c:v>
                </c:pt>
                <c:pt idx="1086">
                  <c:v>0</c:v>
                </c:pt>
                <c:pt idx="1087">
                  <c:v>0</c:v>
                </c:pt>
                <c:pt idx="1088">
                  <c:v>0</c:v>
                </c:pt>
                <c:pt idx="1089">
                  <c:v>0</c:v>
                </c:pt>
                <c:pt idx="1090">
                  <c:v>1</c:v>
                </c:pt>
                <c:pt idx="1091">
                  <c:v>0</c:v>
                </c:pt>
                <c:pt idx="1092">
                  <c:v>0</c:v>
                </c:pt>
                <c:pt idx="1093">
                  <c:v>1</c:v>
                </c:pt>
                <c:pt idx="1094">
                  <c:v>0</c:v>
                </c:pt>
                <c:pt idx="1095">
                  <c:v>0</c:v>
                </c:pt>
                <c:pt idx="1096">
                  <c:v>1</c:v>
                </c:pt>
                <c:pt idx="1097">
                  <c:v>0</c:v>
                </c:pt>
                <c:pt idx="1098">
                  <c:v>0</c:v>
                </c:pt>
                <c:pt idx="1099">
                  <c:v>0</c:v>
                </c:pt>
                <c:pt idx="1100">
                  <c:v>1</c:v>
                </c:pt>
                <c:pt idx="1101">
                  <c:v>0</c:v>
                </c:pt>
                <c:pt idx="1102">
                  <c:v>0</c:v>
                </c:pt>
                <c:pt idx="1103">
                  <c:v>0</c:v>
                </c:pt>
                <c:pt idx="1104">
                  <c:v>0</c:v>
                </c:pt>
                <c:pt idx="1105">
                  <c:v>0</c:v>
                </c:pt>
                <c:pt idx="1106">
                  <c:v>0</c:v>
                </c:pt>
                <c:pt idx="1107">
                  <c:v>0</c:v>
                </c:pt>
                <c:pt idx="1108">
                  <c:v>0</c:v>
                </c:pt>
                <c:pt idx="1109">
                  <c:v>0</c:v>
                </c:pt>
                <c:pt idx="1110">
                  <c:v>0</c:v>
                </c:pt>
                <c:pt idx="1111">
                  <c:v>1</c:v>
                </c:pt>
                <c:pt idx="1112">
                  <c:v>1</c:v>
                </c:pt>
                <c:pt idx="1113">
                  <c:v>0</c:v>
                </c:pt>
                <c:pt idx="1114">
                  <c:v>0</c:v>
                </c:pt>
                <c:pt idx="1115">
                  <c:v>0</c:v>
                </c:pt>
                <c:pt idx="1116">
                  <c:v>0</c:v>
                </c:pt>
                <c:pt idx="1117">
                  <c:v>1</c:v>
                </c:pt>
                <c:pt idx="1118">
                  <c:v>1</c:v>
                </c:pt>
                <c:pt idx="1119">
                  <c:v>0</c:v>
                </c:pt>
                <c:pt idx="1120">
                  <c:v>1</c:v>
                </c:pt>
                <c:pt idx="1121">
                  <c:v>0</c:v>
                </c:pt>
                <c:pt idx="1122">
                  <c:v>1</c:v>
                </c:pt>
                <c:pt idx="1123">
                  <c:v>0</c:v>
                </c:pt>
                <c:pt idx="1124">
                  <c:v>1</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1</c:v>
                </c:pt>
                <c:pt idx="1140">
                  <c:v>0</c:v>
                </c:pt>
                <c:pt idx="1141">
                  <c:v>0</c:v>
                </c:pt>
                <c:pt idx="1142">
                  <c:v>0</c:v>
                </c:pt>
                <c:pt idx="1143">
                  <c:v>0</c:v>
                </c:pt>
                <c:pt idx="1144">
                  <c:v>0</c:v>
                </c:pt>
                <c:pt idx="1145">
                  <c:v>0</c:v>
                </c:pt>
                <c:pt idx="1146">
                  <c:v>1</c:v>
                </c:pt>
                <c:pt idx="1147">
                  <c:v>0</c:v>
                </c:pt>
                <c:pt idx="1148">
                  <c:v>0</c:v>
                </c:pt>
                <c:pt idx="1149">
                  <c:v>0</c:v>
                </c:pt>
                <c:pt idx="1150">
                  <c:v>0</c:v>
                </c:pt>
                <c:pt idx="1151">
                  <c:v>0</c:v>
                </c:pt>
                <c:pt idx="1152">
                  <c:v>1</c:v>
                </c:pt>
                <c:pt idx="1153">
                  <c:v>0</c:v>
                </c:pt>
                <c:pt idx="1154">
                  <c:v>0</c:v>
                </c:pt>
                <c:pt idx="1155">
                  <c:v>0</c:v>
                </c:pt>
                <c:pt idx="1156">
                  <c:v>1</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1</c:v>
                </c:pt>
                <c:pt idx="1171">
                  <c:v>1</c:v>
                </c:pt>
                <c:pt idx="1172">
                  <c:v>0</c:v>
                </c:pt>
                <c:pt idx="1173">
                  <c:v>0</c:v>
                </c:pt>
                <c:pt idx="1174">
                  <c:v>0</c:v>
                </c:pt>
                <c:pt idx="1175">
                  <c:v>0</c:v>
                </c:pt>
                <c:pt idx="1176">
                  <c:v>1</c:v>
                </c:pt>
                <c:pt idx="1177">
                  <c:v>0</c:v>
                </c:pt>
                <c:pt idx="1178">
                  <c:v>0</c:v>
                </c:pt>
                <c:pt idx="1179">
                  <c:v>1</c:v>
                </c:pt>
                <c:pt idx="1180">
                  <c:v>0</c:v>
                </c:pt>
                <c:pt idx="1181">
                  <c:v>0</c:v>
                </c:pt>
                <c:pt idx="1182">
                  <c:v>0</c:v>
                </c:pt>
                <c:pt idx="1183">
                  <c:v>0</c:v>
                </c:pt>
                <c:pt idx="1184">
                  <c:v>1</c:v>
                </c:pt>
                <c:pt idx="1185">
                  <c:v>0</c:v>
                </c:pt>
                <c:pt idx="1186">
                  <c:v>1</c:v>
                </c:pt>
                <c:pt idx="1187">
                  <c:v>0</c:v>
                </c:pt>
                <c:pt idx="1188">
                  <c:v>1</c:v>
                </c:pt>
                <c:pt idx="1189">
                  <c:v>0</c:v>
                </c:pt>
                <c:pt idx="1190">
                  <c:v>0</c:v>
                </c:pt>
                <c:pt idx="1191">
                  <c:v>0</c:v>
                </c:pt>
                <c:pt idx="1192">
                  <c:v>0</c:v>
                </c:pt>
                <c:pt idx="1193">
                  <c:v>0</c:v>
                </c:pt>
                <c:pt idx="1194">
                  <c:v>0</c:v>
                </c:pt>
                <c:pt idx="1195">
                  <c:v>0</c:v>
                </c:pt>
                <c:pt idx="1196">
                  <c:v>1</c:v>
                </c:pt>
                <c:pt idx="1197">
                  <c:v>0</c:v>
                </c:pt>
                <c:pt idx="1198">
                  <c:v>0</c:v>
                </c:pt>
                <c:pt idx="1199">
                  <c:v>0</c:v>
                </c:pt>
                <c:pt idx="1200">
                  <c:v>0</c:v>
                </c:pt>
                <c:pt idx="1201">
                  <c:v>0</c:v>
                </c:pt>
                <c:pt idx="1202">
                  <c:v>0</c:v>
                </c:pt>
                <c:pt idx="1203">
                  <c:v>0</c:v>
                </c:pt>
                <c:pt idx="1204">
                  <c:v>1</c:v>
                </c:pt>
                <c:pt idx="1205">
                  <c:v>0</c:v>
                </c:pt>
                <c:pt idx="1206">
                  <c:v>0</c:v>
                </c:pt>
                <c:pt idx="1207">
                  <c:v>1</c:v>
                </c:pt>
                <c:pt idx="1208">
                  <c:v>1</c:v>
                </c:pt>
                <c:pt idx="1209">
                  <c:v>0</c:v>
                </c:pt>
                <c:pt idx="1210">
                  <c:v>0</c:v>
                </c:pt>
                <c:pt idx="1211">
                  <c:v>0</c:v>
                </c:pt>
                <c:pt idx="1212">
                  <c:v>0</c:v>
                </c:pt>
                <c:pt idx="1213">
                  <c:v>0</c:v>
                </c:pt>
                <c:pt idx="1214">
                  <c:v>0</c:v>
                </c:pt>
                <c:pt idx="1215">
                  <c:v>0</c:v>
                </c:pt>
                <c:pt idx="1216">
                  <c:v>0</c:v>
                </c:pt>
                <c:pt idx="1217">
                  <c:v>0</c:v>
                </c:pt>
                <c:pt idx="1218">
                  <c:v>1</c:v>
                </c:pt>
                <c:pt idx="1219">
                  <c:v>0</c:v>
                </c:pt>
                <c:pt idx="1220">
                  <c:v>0</c:v>
                </c:pt>
                <c:pt idx="1221">
                  <c:v>0</c:v>
                </c:pt>
                <c:pt idx="1222">
                  <c:v>0</c:v>
                </c:pt>
                <c:pt idx="1223">
                  <c:v>1</c:v>
                </c:pt>
                <c:pt idx="1224">
                  <c:v>0</c:v>
                </c:pt>
                <c:pt idx="1225">
                  <c:v>0</c:v>
                </c:pt>
                <c:pt idx="1226">
                  <c:v>0</c:v>
                </c:pt>
                <c:pt idx="1227">
                  <c:v>0</c:v>
                </c:pt>
                <c:pt idx="1228">
                  <c:v>0</c:v>
                </c:pt>
                <c:pt idx="1229">
                  <c:v>0</c:v>
                </c:pt>
                <c:pt idx="1230">
                  <c:v>1</c:v>
                </c:pt>
                <c:pt idx="1231">
                  <c:v>1</c:v>
                </c:pt>
                <c:pt idx="1232">
                  <c:v>0</c:v>
                </c:pt>
                <c:pt idx="1233">
                  <c:v>0</c:v>
                </c:pt>
                <c:pt idx="1234">
                  <c:v>0</c:v>
                </c:pt>
                <c:pt idx="1235">
                  <c:v>0</c:v>
                </c:pt>
                <c:pt idx="1236">
                  <c:v>0</c:v>
                </c:pt>
                <c:pt idx="1237">
                  <c:v>0</c:v>
                </c:pt>
                <c:pt idx="1238">
                  <c:v>0</c:v>
                </c:pt>
                <c:pt idx="1239">
                  <c:v>0</c:v>
                </c:pt>
                <c:pt idx="1240">
                  <c:v>1</c:v>
                </c:pt>
                <c:pt idx="1241">
                  <c:v>1</c:v>
                </c:pt>
                <c:pt idx="1242">
                  <c:v>0</c:v>
                </c:pt>
                <c:pt idx="1243">
                  <c:v>0</c:v>
                </c:pt>
                <c:pt idx="1244">
                  <c:v>0</c:v>
                </c:pt>
                <c:pt idx="1245">
                  <c:v>0</c:v>
                </c:pt>
                <c:pt idx="1246">
                  <c:v>0</c:v>
                </c:pt>
                <c:pt idx="1247">
                  <c:v>0</c:v>
                </c:pt>
                <c:pt idx="1248">
                  <c:v>0</c:v>
                </c:pt>
                <c:pt idx="1249">
                  <c:v>1</c:v>
                </c:pt>
                <c:pt idx="1250">
                  <c:v>1</c:v>
                </c:pt>
                <c:pt idx="1251">
                  <c:v>0</c:v>
                </c:pt>
                <c:pt idx="1252">
                  <c:v>1</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1</c:v>
                </c:pt>
                <c:pt idx="1266">
                  <c:v>0</c:v>
                </c:pt>
                <c:pt idx="1267">
                  <c:v>1</c:v>
                </c:pt>
                <c:pt idx="1268">
                  <c:v>0</c:v>
                </c:pt>
                <c:pt idx="1269">
                  <c:v>0</c:v>
                </c:pt>
                <c:pt idx="1270">
                  <c:v>0</c:v>
                </c:pt>
                <c:pt idx="1271">
                  <c:v>0</c:v>
                </c:pt>
                <c:pt idx="1272">
                  <c:v>0</c:v>
                </c:pt>
                <c:pt idx="1273">
                  <c:v>0</c:v>
                </c:pt>
                <c:pt idx="1274">
                  <c:v>1</c:v>
                </c:pt>
                <c:pt idx="1275">
                  <c:v>0</c:v>
                </c:pt>
                <c:pt idx="1276">
                  <c:v>0</c:v>
                </c:pt>
                <c:pt idx="1277">
                  <c:v>0</c:v>
                </c:pt>
                <c:pt idx="1278">
                  <c:v>1</c:v>
                </c:pt>
                <c:pt idx="1279">
                  <c:v>0</c:v>
                </c:pt>
                <c:pt idx="1280">
                  <c:v>0</c:v>
                </c:pt>
                <c:pt idx="1281">
                  <c:v>1</c:v>
                </c:pt>
                <c:pt idx="1282">
                  <c:v>1</c:v>
                </c:pt>
                <c:pt idx="1283">
                  <c:v>0</c:v>
                </c:pt>
                <c:pt idx="1284">
                  <c:v>1</c:v>
                </c:pt>
                <c:pt idx="1285">
                  <c:v>0</c:v>
                </c:pt>
                <c:pt idx="1286">
                  <c:v>0</c:v>
                </c:pt>
                <c:pt idx="1287">
                  <c:v>0</c:v>
                </c:pt>
                <c:pt idx="1288">
                  <c:v>1</c:v>
                </c:pt>
                <c:pt idx="1289">
                  <c:v>0</c:v>
                </c:pt>
                <c:pt idx="1290">
                  <c:v>0</c:v>
                </c:pt>
                <c:pt idx="1291">
                  <c:v>1</c:v>
                </c:pt>
                <c:pt idx="1292">
                  <c:v>0</c:v>
                </c:pt>
                <c:pt idx="1293">
                  <c:v>0</c:v>
                </c:pt>
                <c:pt idx="1294">
                  <c:v>0</c:v>
                </c:pt>
                <c:pt idx="1295">
                  <c:v>0</c:v>
                </c:pt>
                <c:pt idx="1296">
                  <c:v>0</c:v>
                </c:pt>
                <c:pt idx="1297">
                  <c:v>0</c:v>
                </c:pt>
                <c:pt idx="1298">
                  <c:v>0</c:v>
                </c:pt>
                <c:pt idx="1299">
                  <c:v>0</c:v>
                </c:pt>
                <c:pt idx="1300">
                  <c:v>1</c:v>
                </c:pt>
                <c:pt idx="1301">
                  <c:v>1</c:v>
                </c:pt>
                <c:pt idx="1302">
                  <c:v>0</c:v>
                </c:pt>
                <c:pt idx="1303">
                  <c:v>1</c:v>
                </c:pt>
                <c:pt idx="1304">
                  <c:v>1</c:v>
                </c:pt>
                <c:pt idx="1305">
                  <c:v>0</c:v>
                </c:pt>
                <c:pt idx="1306">
                  <c:v>1</c:v>
                </c:pt>
                <c:pt idx="1307">
                  <c:v>1</c:v>
                </c:pt>
                <c:pt idx="1308">
                  <c:v>1</c:v>
                </c:pt>
                <c:pt idx="1309">
                  <c:v>0</c:v>
                </c:pt>
                <c:pt idx="1310">
                  <c:v>0</c:v>
                </c:pt>
                <c:pt idx="1311">
                  <c:v>0</c:v>
                </c:pt>
                <c:pt idx="1312">
                  <c:v>0</c:v>
                </c:pt>
                <c:pt idx="1313">
                  <c:v>1</c:v>
                </c:pt>
                <c:pt idx="1314">
                  <c:v>1</c:v>
                </c:pt>
                <c:pt idx="1315">
                  <c:v>0</c:v>
                </c:pt>
                <c:pt idx="1316">
                  <c:v>0</c:v>
                </c:pt>
                <c:pt idx="1317">
                  <c:v>0</c:v>
                </c:pt>
                <c:pt idx="1318">
                  <c:v>0</c:v>
                </c:pt>
                <c:pt idx="1319">
                  <c:v>0</c:v>
                </c:pt>
                <c:pt idx="1320">
                  <c:v>0</c:v>
                </c:pt>
                <c:pt idx="1321">
                  <c:v>1</c:v>
                </c:pt>
                <c:pt idx="1322">
                  <c:v>0</c:v>
                </c:pt>
                <c:pt idx="1323">
                  <c:v>1</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1</c:v>
                </c:pt>
              </c:numCache>
            </c:numRef>
          </c:xVal>
          <c:yVal>
            <c:numRef>
              <c:f>'insurance (Clean)'!$P$156:$P$1493</c:f>
              <c:numCache>
                <c:formatCode>General</c:formatCode>
                <c:ptCount val="1338"/>
                <c:pt idx="0">
                  <c:v>-8702.5012463713647</c:v>
                </c:pt>
                <c:pt idx="1">
                  <c:v>-2155.3936432492255</c:v>
                </c:pt>
                <c:pt idx="2">
                  <c:v>-2709.1580674566958</c:v>
                </c:pt>
                <c:pt idx="3">
                  <c:v>18270.570134779278</c:v>
                </c:pt>
                <c:pt idx="4">
                  <c:v>-1576.6281704348548</c:v>
                </c:pt>
                <c:pt idx="5">
                  <c:v>-418.39885818309222</c:v>
                </c:pt>
                <c:pt idx="6">
                  <c:v>-2753.9315855615914</c:v>
                </c:pt>
                <c:pt idx="7">
                  <c:v>-504.82165448512023</c:v>
                </c:pt>
                <c:pt idx="8">
                  <c:v>-1579.0836708774323</c:v>
                </c:pt>
                <c:pt idx="9">
                  <c:v>17238.295588952467</c:v>
                </c:pt>
                <c:pt idx="10">
                  <c:v>-61.09128756473774</c:v>
                </c:pt>
                <c:pt idx="11">
                  <c:v>-8348.0482030023159</c:v>
                </c:pt>
                <c:pt idx="12">
                  <c:v>-3072.6145481451449</c:v>
                </c:pt>
                <c:pt idx="13">
                  <c:v>-4062.2080934462629</c:v>
                </c:pt>
                <c:pt idx="14">
                  <c:v>7381.5909325553366</c:v>
                </c:pt>
                <c:pt idx="15">
                  <c:v>649.81891347433839</c:v>
                </c:pt>
                <c:pt idx="16">
                  <c:v>-888.15729798610118</c:v>
                </c:pt>
                <c:pt idx="17">
                  <c:v>892.85560884385404</c:v>
                </c:pt>
                <c:pt idx="18">
                  <c:v>-4705.0295668100443</c:v>
                </c:pt>
                <c:pt idx="19">
                  <c:v>6031.9967919697483</c:v>
                </c:pt>
                <c:pt idx="20">
                  <c:v>-1727.6138209284618</c:v>
                </c:pt>
                <c:pt idx="21">
                  <c:v>-2384.4676093210337</c:v>
                </c:pt>
                <c:pt idx="22">
                  <c:v>-2376.6435906410011</c:v>
                </c:pt>
                <c:pt idx="23">
                  <c:v>6479.3639887058016</c:v>
                </c:pt>
                <c:pt idx="24">
                  <c:v>-1200.6507887490452</c:v>
                </c:pt>
                <c:pt idx="25">
                  <c:v>548.55441230387078</c:v>
                </c:pt>
                <c:pt idx="26">
                  <c:v>2880.1459817889372</c:v>
                </c:pt>
                <c:pt idx="27">
                  <c:v>-1306.0056841912101</c:v>
                </c:pt>
                <c:pt idx="28">
                  <c:v>2878.5339556522622</c:v>
                </c:pt>
                <c:pt idx="29">
                  <c:v>6378.8242507065333</c:v>
                </c:pt>
                <c:pt idx="30">
                  <c:v>6746.3464297602331</c:v>
                </c:pt>
                <c:pt idx="31">
                  <c:v>1190.1483804778381</c:v>
                </c:pt>
                <c:pt idx="32">
                  <c:v>318.96403992619435</c:v>
                </c:pt>
                <c:pt idx="33">
                  <c:v>516.73510194360279</c:v>
                </c:pt>
                <c:pt idx="34">
                  <c:v>20077.249047959303</c:v>
                </c:pt>
                <c:pt idx="35">
                  <c:v>2255.2476358822232</c:v>
                </c:pt>
                <c:pt idx="36">
                  <c:v>-302.04511758935769</c:v>
                </c:pt>
                <c:pt idx="37">
                  <c:v>1006.4730085042775</c:v>
                </c:pt>
                <c:pt idx="38">
                  <c:v>6765.119817879684</c:v>
                </c:pt>
                <c:pt idx="39">
                  <c:v>8151.889118989493</c:v>
                </c:pt>
                <c:pt idx="40">
                  <c:v>399.19588668595679</c:v>
                </c:pt>
                <c:pt idx="41">
                  <c:v>-3677.2281662155438</c:v>
                </c:pt>
                <c:pt idx="42">
                  <c:v>319.99090821872687</c:v>
                </c:pt>
                <c:pt idx="43">
                  <c:v>-1983.931231633409</c:v>
                </c:pt>
                <c:pt idx="44">
                  <c:v>-4013.9371911755188</c:v>
                </c:pt>
                <c:pt idx="45">
                  <c:v>6546.2726490439509</c:v>
                </c:pt>
                <c:pt idx="46">
                  <c:v>-2536.5544757027833</c:v>
                </c:pt>
                <c:pt idx="47">
                  <c:v>-2750.8678038481748</c:v>
                </c:pt>
                <c:pt idx="48">
                  <c:v>1366.6807266744527</c:v>
                </c:pt>
                <c:pt idx="49">
                  <c:v>5915.2915727259096</c:v>
                </c:pt>
                <c:pt idx="50">
                  <c:v>-1793.34717997385</c:v>
                </c:pt>
                <c:pt idx="51">
                  <c:v>-1503.1088843883472</c:v>
                </c:pt>
                <c:pt idx="52">
                  <c:v>-10002.476414781635</c:v>
                </c:pt>
                <c:pt idx="53">
                  <c:v>5670.0191684594683</c:v>
                </c:pt>
                <c:pt idx="54">
                  <c:v>-805.95550917534183</c:v>
                </c:pt>
                <c:pt idx="55">
                  <c:v>7991.5692839259355</c:v>
                </c:pt>
                <c:pt idx="56">
                  <c:v>-435.05877348312606</c:v>
                </c:pt>
                <c:pt idx="57">
                  <c:v>6809.9885271275671</c:v>
                </c:pt>
                <c:pt idx="58">
                  <c:v>-9967.3265688864085</c:v>
                </c:pt>
                <c:pt idx="59">
                  <c:v>-3637.9170272096635</c:v>
                </c:pt>
                <c:pt idx="60">
                  <c:v>-604.90336538759766</c:v>
                </c:pt>
                <c:pt idx="61">
                  <c:v>-2566.3333868866512</c:v>
                </c:pt>
                <c:pt idx="62">
                  <c:v>17343.7871433242</c:v>
                </c:pt>
                <c:pt idx="63">
                  <c:v>195.90632470811624</c:v>
                </c:pt>
                <c:pt idx="64">
                  <c:v>-9369.7852661318757</c:v>
                </c:pt>
                <c:pt idx="65">
                  <c:v>-354.66280319705129</c:v>
                </c:pt>
                <c:pt idx="66">
                  <c:v>-2922.3730511440153</c:v>
                </c:pt>
                <c:pt idx="67">
                  <c:v>-764.85509633581478</c:v>
                </c:pt>
                <c:pt idx="68">
                  <c:v>-3938.9090838469647</c:v>
                </c:pt>
                <c:pt idx="69">
                  <c:v>-10403.776059844484</c:v>
                </c:pt>
                <c:pt idx="70">
                  <c:v>-10058.609886064391</c:v>
                </c:pt>
                <c:pt idx="71">
                  <c:v>-631.3839077539551</c:v>
                </c:pt>
                <c:pt idx="72">
                  <c:v>-286.05987679365353</c:v>
                </c:pt>
                <c:pt idx="73">
                  <c:v>-1681.8418674629283</c:v>
                </c:pt>
                <c:pt idx="74">
                  <c:v>-1281.488013285777</c:v>
                </c:pt>
                <c:pt idx="75">
                  <c:v>-2184.1578502691718</c:v>
                </c:pt>
                <c:pt idx="76">
                  <c:v>-1424.5385600068698</c:v>
                </c:pt>
                <c:pt idx="77">
                  <c:v>-3214.9809186950038</c:v>
                </c:pt>
                <c:pt idx="78">
                  <c:v>-3626.1938731715413</c:v>
                </c:pt>
                <c:pt idx="79">
                  <c:v>-2507.8675170144124</c:v>
                </c:pt>
                <c:pt idx="80">
                  <c:v>-575.82942998210456</c:v>
                </c:pt>
                <c:pt idx="81">
                  <c:v>-3887.248209451087</c:v>
                </c:pt>
                <c:pt idx="82">
                  <c:v>7202.2920804751629</c:v>
                </c:pt>
                <c:pt idx="83">
                  <c:v>-4404.2878749928186</c:v>
                </c:pt>
                <c:pt idx="84">
                  <c:v>6440.0233109862238</c:v>
                </c:pt>
                <c:pt idx="85">
                  <c:v>-10529.096796831996</c:v>
                </c:pt>
                <c:pt idx="86">
                  <c:v>7143.9973018127639</c:v>
                </c:pt>
                <c:pt idx="87">
                  <c:v>-17.985189590161099</c:v>
                </c:pt>
                <c:pt idx="88">
                  <c:v>-659.79927382085498</c:v>
                </c:pt>
                <c:pt idx="89">
                  <c:v>320.07282636526179</c:v>
                </c:pt>
                <c:pt idx="90">
                  <c:v>-3995.008073946206</c:v>
                </c:pt>
                <c:pt idx="91">
                  <c:v>925.06964068819798</c:v>
                </c:pt>
                <c:pt idx="92">
                  <c:v>-7758.1489937066144</c:v>
                </c:pt>
                <c:pt idx="93">
                  <c:v>-3330.7359862523126</c:v>
                </c:pt>
                <c:pt idx="94">
                  <c:v>8059.1025230108498</c:v>
                </c:pt>
                <c:pt idx="95">
                  <c:v>-3931.6851174914514</c:v>
                </c:pt>
                <c:pt idx="96">
                  <c:v>-1049.314171795284</c:v>
                </c:pt>
                <c:pt idx="97">
                  <c:v>-4173.1410257404405</c:v>
                </c:pt>
                <c:pt idx="98">
                  <c:v>-10156.489865006894</c:v>
                </c:pt>
                <c:pt idx="99">
                  <c:v>-11897.944821213699</c:v>
                </c:pt>
                <c:pt idx="100">
                  <c:v>-2453.4377521361566</c:v>
                </c:pt>
                <c:pt idx="101">
                  <c:v>-181.96315805719678</c:v>
                </c:pt>
                <c:pt idx="102">
                  <c:v>19113.769949681227</c:v>
                </c:pt>
                <c:pt idx="103">
                  <c:v>-7545.559534623033</c:v>
                </c:pt>
                <c:pt idx="104">
                  <c:v>-984.67676472051608</c:v>
                </c:pt>
                <c:pt idx="105">
                  <c:v>-8798.6286946026958</c:v>
                </c:pt>
                <c:pt idx="106">
                  <c:v>-78.934417322269837</c:v>
                </c:pt>
                <c:pt idx="107">
                  <c:v>-1608.180306212585</c:v>
                </c:pt>
                <c:pt idx="108">
                  <c:v>-1500.2749297730479</c:v>
                </c:pt>
                <c:pt idx="109">
                  <c:v>7808.6169446646527</c:v>
                </c:pt>
                <c:pt idx="110">
                  <c:v>-2293.21531074427</c:v>
                </c:pt>
                <c:pt idx="111">
                  <c:v>-703.58682045448222</c:v>
                </c:pt>
                <c:pt idx="112">
                  <c:v>-2703.926600541763</c:v>
                </c:pt>
                <c:pt idx="113">
                  <c:v>-2403.8685852348335</c:v>
                </c:pt>
                <c:pt idx="114">
                  <c:v>-1602.8193781264763</c:v>
                </c:pt>
                <c:pt idx="115">
                  <c:v>17688.453674124925</c:v>
                </c:pt>
                <c:pt idx="116">
                  <c:v>-7261.2064703597807</c:v>
                </c:pt>
                <c:pt idx="117">
                  <c:v>-9544.5170913343936</c:v>
                </c:pt>
                <c:pt idx="118">
                  <c:v>-675.22979619243415</c:v>
                </c:pt>
                <c:pt idx="119">
                  <c:v>780.0969914767993</c:v>
                </c:pt>
                <c:pt idx="120">
                  <c:v>-4389.9636208455404</c:v>
                </c:pt>
                <c:pt idx="121">
                  <c:v>1523.1319287655479</c:v>
                </c:pt>
                <c:pt idx="122">
                  <c:v>-122.38996574049906</c:v>
                </c:pt>
                <c:pt idx="123">
                  <c:v>5938.9419150217291</c:v>
                </c:pt>
                <c:pt idx="124">
                  <c:v>-2237.2459403331686</c:v>
                </c:pt>
                <c:pt idx="125">
                  <c:v>-480.41124318280345</c:v>
                </c:pt>
                <c:pt idx="126">
                  <c:v>-8635.0858075078431</c:v>
                </c:pt>
                <c:pt idx="127">
                  <c:v>-3708.1094692491042</c:v>
                </c:pt>
                <c:pt idx="128">
                  <c:v>6109.6767950380527</c:v>
                </c:pt>
                <c:pt idx="129">
                  <c:v>-3728.3552100444949</c:v>
                </c:pt>
                <c:pt idx="130">
                  <c:v>1174.4220133934141</c:v>
                </c:pt>
                <c:pt idx="131">
                  <c:v>2896.703112418716</c:v>
                </c:pt>
                <c:pt idx="132">
                  <c:v>-2901.1565034092891</c:v>
                </c:pt>
                <c:pt idx="133">
                  <c:v>611.28053930680449</c:v>
                </c:pt>
                <c:pt idx="134">
                  <c:v>138.49780079933271</c:v>
                </c:pt>
                <c:pt idx="135">
                  <c:v>-442.17013277308934</c:v>
                </c:pt>
                <c:pt idx="136">
                  <c:v>-2510.0620979713567</c:v>
                </c:pt>
                <c:pt idx="137">
                  <c:v>373.15635039539666</c:v>
                </c:pt>
                <c:pt idx="138">
                  <c:v>13814.063185079383</c:v>
                </c:pt>
                <c:pt idx="139">
                  <c:v>-2989.8382853607282</c:v>
                </c:pt>
                <c:pt idx="140">
                  <c:v>22548.877846167019</c:v>
                </c:pt>
                <c:pt idx="141">
                  <c:v>-2041.2231062553192</c:v>
                </c:pt>
                <c:pt idx="142">
                  <c:v>-10592.863840031197</c:v>
                </c:pt>
                <c:pt idx="143">
                  <c:v>12265.75357103533</c:v>
                </c:pt>
                <c:pt idx="144">
                  <c:v>-9352.5502818873065</c:v>
                </c:pt>
                <c:pt idx="145">
                  <c:v>-4154.6065533513211</c:v>
                </c:pt>
                <c:pt idx="146">
                  <c:v>5915.4777186986103</c:v>
                </c:pt>
                <c:pt idx="147">
                  <c:v>-3786.9035404021706</c:v>
                </c:pt>
                <c:pt idx="148">
                  <c:v>-3123.9601342105216</c:v>
                </c:pt>
                <c:pt idx="149">
                  <c:v>-567.93441732226961</c:v>
                </c:pt>
                <c:pt idx="150">
                  <c:v>-36.524344475986254</c:v>
                </c:pt>
                <c:pt idx="151">
                  <c:v>-2043.3586380503457</c:v>
                </c:pt>
                <c:pt idx="152">
                  <c:v>-3189.7485615549467</c:v>
                </c:pt>
                <c:pt idx="153">
                  <c:v>-10095.230760098861</c:v>
                </c:pt>
                <c:pt idx="154">
                  <c:v>198.13945309342125</c:v>
                </c:pt>
                <c:pt idx="155">
                  <c:v>-5013.4755846296293</c:v>
                </c:pt>
                <c:pt idx="156">
                  <c:v>-10721.342277064265</c:v>
                </c:pt>
                <c:pt idx="157">
                  <c:v>-8934.3504662987016</c:v>
                </c:pt>
                <c:pt idx="158">
                  <c:v>6070.760669316267</c:v>
                </c:pt>
                <c:pt idx="159">
                  <c:v>8582.0459239645406</c:v>
                </c:pt>
                <c:pt idx="160">
                  <c:v>-9750.8510912759775</c:v>
                </c:pt>
                <c:pt idx="161">
                  <c:v>7939.3377055301426</c:v>
                </c:pt>
                <c:pt idx="162">
                  <c:v>-4589.3698857063082</c:v>
                </c:pt>
                <c:pt idx="163">
                  <c:v>-1534.4572921404169</c:v>
                </c:pt>
                <c:pt idx="164">
                  <c:v>-1949.1913732459561</c:v>
                </c:pt>
                <c:pt idx="165">
                  <c:v>-584.11825968408084</c:v>
                </c:pt>
                <c:pt idx="166">
                  <c:v>-2499.6042512703461</c:v>
                </c:pt>
                <c:pt idx="167">
                  <c:v>-2111.107664218508</c:v>
                </c:pt>
                <c:pt idx="168">
                  <c:v>-793.51467205342215</c:v>
                </c:pt>
                <c:pt idx="169">
                  <c:v>2463.6299629205496</c:v>
                </c:pt>
                <c:pt idx="170">
                  <c:v>-4083.5369594467556</c:v>
                </c:pt>
                <c:pt idx="171">
                  <c:v>-2167.2739870854275</c:v>
                </c:pt>
                <c:pt idx="172">
                  <c:v>4019.5262568985936</c:v>
                </c:pt>
                <c:pt idx="173">
                  <c:v>-3349.8475127917236</c:v>
                </c:pt>
                <c:pt idx="174">
                  <c:v>-1962.3162254780209</c:v>
                </c:pt>
                <c:pt idx="175">
                  <c:v>8737.5026832490839</c:v>
                </c:pt>
                <c:pt idx="176">
                  <c:v>-1145.3877295395696</c:v>
                </c:pt>
                <c:pt idx="177">
                  <c:v>-1256.5712961576974</c:v>
                </c:pt>
                <c:pt idx="178">
                  <c:v>-1183.5391322083069</c:v>
                </c:pt>
                <c:pt idx="179">
                  <c:v>-2022.2622301917127</c:v>
                </c:pt>
                <c:pt idx="180">
                  <c:v>-319.96391121436318</c:v>
                </c:pt>
                <c:pt idx="181">
                  <c:v>-3227.1722545172706</c:v>
                </c:pt>
                <c:pt idx="182">
                  <c:v>2594.0602836032626</c:v>
                </c:pt>
                <c:pt idx="183">
                  <c:v>-323.22659338133235</c:v>
                </c:pt>
                <c:pt idx="184">
                  <c:v>-2335.8060286333684</c:v>
                </c:pt>
                <c:pt idx="185">
                  <c:v>7857.6527996123477</c:v>
                </c:pt>
                <c:pt idx="186">
                  <c:v>-1196.139616499227</c:v>
                </c:pt>
                <c:pt idx="187">
                  <c:v>-1672.7801361508618</c:v>
                </c:pt>
                <c:pt idx="188">
                  <c:v>-2530.2169093867096</c:v>
                </c:pt>
                <c:pt idx="189">
                  <c:v>-1733.6036107125501</c:v>
                </c:pt>
                <c:pt idx="190">
                  <c:v>-1229.2940566580401</c:v>
                </c:pt>
                <c:pt idx="191">
                  <c:v>-728.45364014182996</c:v>
                </c:pt>
                <c:pt idx="192">
                  <c:v>-490.26981420095626</c:v>
                </c:pt>
                <c:pt idx="193">
                  <c:v>672.78933656874324</c:v>
                </c:pt>
                <c:pt idx="194">
                  <c:v>-2482.3958535786019</c:v>
                </c:pt>
                <c:pt idx="195">
                  <c:v>-1002.2425739987013</c:v>
                </c:pt>
                <c:pt idx="196">
                  <c:v>-2860.3724208848998</c:v>
                </c:pt>
                <c:pt idx="197">
                  <c:v>-1135.5842040255902</c:v>
                </c:pt>
                <c:pt idx="198">
                  <c:v>2787.2791830587148</c:v>
                </c:pt>
                <c:pt idx="199">
                  <c:v>-2156.4980646969161</c:v>
                </c:pt>
                <c:pt idx="200">
                  <c:v>-1000.3439063173437</c:v>
                </c:pt>
                <c:pt idx="201">
                  <c:v>-2249.6283027844347</c:v>
                </c:pt>
                <c:pt idx="202">
                  <c:v>1908.3090710808538</c:v>
                </c:pt>
                <c:pt idx="203">
                  <c:v>6850.9324197446767</c:v>
                </c:pt>
                <c:pt idx="204">
                  <c:v>211.51075763533936</c:v>
                </c:pt>
                <c:pt idx="205">
                  <c:v>-547.85245665925413</c:v>
                </c:pt>
                <c:pt idx="206">
                  <c:v>136.07041069174193</c:v>
                </c:pt>
                <c:pt idx="207">
                  <c:v>-9624.4321702941088</c:v>
                </c:pt>
                <c:pt idx="208">
                  <c:v>-495.67519397222895</c:v>
                </c:pt>
                <c:pt idx="209">
                  <c:v>-5344.5368697125004</c:v>
                </c:pt>
                <c:pt idx="210">
                  <c:v>-2168.7493777222016</c:v>
                </c:pt>
                <c:pt idx="211">
                  <c:v>-1879.666039929215</c:v>
                </c:pt>
                <c:pt idx="212">
                  <c:v>-667.68540980399348</c:v>
                </c:pt>
                <c:pt idx="213">
                  <c:v>-737.92148453278332</c:v>
                </c:pt>
                <c:pt idx="214">
                  <c:v>-1872.6454305603784</c:v>
                </c:pt>
                <c:pt idx="215">
                  <c:v>-3984.980098854473</c:v>
                </c:pt>
                <c:pt idx="216">
                  <c:v>231.13917410563408</c:v>
                </c:pt>
                <c:pt idx="217">
                  <c:v>189.80127463913323</c:v>
                </c:pt>
                <c:pt idx="218">
                  <c:v>-1311.6373009534032</c:v>
                </c:pt>
                <c:pt idx="219">
                  <c:v>23525.977942317666</c:v>
                </c:pt>
                <c:pt idx="220">
                  <c:v>-2971.5374623360358</c:v>
                </c:pt>
                <c:pt idx="221">
                  <c:v>-1699.9291547884295</c:v>
                </c:pt>
                <c:pt idx="222">
                  <c:v>-2228.4210105274533</c:v>
                </c:pt>
                <c:pt idx="223">
                  <c:v>6971.4150740242694</c:v>
                </c:pt>
                <c:pt idx="224">
                  <c:v>-10953.186741707199</c:v>
                </c:pt>
                <c:pt idx="225">
                  <c:v>-2416.6177998765743</c:v>
                </c:pt>
                <c:pt idx="226">
                  <c:v>-4677.1858191957626</c:v>
                </c:pt>
                <c:pt idx="227">
                  <c:v>7886.0428599548941</c:v>
                </c:pt>
                <c:pt idx="228">
                  <c:v>-1766.1562667814242</c:v>
                </c:pt>
                <c:pt idx="229">
                  <c:v>67.757586235105919</c:v>
                </c:pt>
                <c:pt idx="230">
                  <c:v>-3406.1807710677094</c:v>
                </c:pt>
                <c:pt idx="231">
                  <c:v>513.3036579913387</c:v>
                </c:pt>
                <c:pt idx="232">
                  <c:v>3202.458768340407</c:v>
                </c:pt>
                <c:pt idx="233">
                  <c:v>-100.93944797941731</c:v>
                </c:pt>
                <c:pt idx="234">
                  <c:v>-78.752022422896516</c:v>
                </c:pt>
                <c:pt idx="235">
                  <c:v>-10676.887763262399</c:v>
                </c:pt>
                <c:pt idx="236">
                  <c:v>474.15694829873405</c:v>
                </c:pt>
                <c:pt idx="237">
                  <c:v>-4730.2402352160761</c:v>
                </c:pt>
                <c:pt idx="238">
                  <c:v>-8611.3110876955834</c:v>
                </c:pt>
                <c:pt idx="239">
                  <c:v>-4813.1042520272813</c:v>
                </c:pt>
                <c:pt idx="240">
                  <c:v>8123.1635902981325</c:v>
                </c:pt>
                <c:pt idx="241">
                  <c:v>1350.1271188529431</c:v>
                </c:pt>
                <c:pt idx="242">
                  <c:v>23982.061163330854</c:v>
                </c:pt>
                <c:pt idx="243">
                  <c:v>-3796.205381955755</c:v>
                </c:pt>
                <c:pt idx="244">
                  <c:v>-7358.1417444524341</c:v>
                </c:pt>
                <c:pt idx="245">
                  <c:v>12993.395369058333</c:v>
                </c:pt>
                <c:pt idx="246">
                  <c:v>-2969.1620537671515</c:v>
                </c:pt>
                <c:pt idx="247">
                  <c:v>-3640.276703623671</c:v>
                </c:pt>
                <c:pt idx="248">
                  <c:v>1835.5261039868251</c:v>
                </c:pt>
                <c:pt idx="249">
                  <c:v>-1133.4548472595256</c:v>
                </c:pt>
                <c:pt idx="250">
                  <c:v>-10032.281885987391</c:v>
                </c:pt>
                <c:pt idx="251">
                  <c:v>8041.5357677841166</c:v>
                </c:pt>
                <c:pt idx="252">
                  <c:v>6670.7049140464878</c:v>
                </c:pt>
                <c:pt idx="253">
                  <c:v>-1771.027772455067</c:v>
                </c:pt>
                <c:pt idx="254">
                  <c:v>6253.1350702358468</c:v>
                </c:pt>
                <c:pt idx="255">
                  <c:v>1384.1110953163516</c:v>
                </c:pt>
                <c:pt idx="256">
                  <c:v>6949.1181441253211</c:v>
                </c:pt>
                <c:pt idx="257">
                  <c:v>-5216.8652244374553</c:v>
                </c:pt>
                <c:pt idx="258">
                  <c:v>720.53304179110455</c:v>
                </c:pt>
                <c:pt idx="259">
                  <c:v>6869.0239142069622</c:v>
                </c:pt>
                <c:pt idx="260">
                  <c:v>874.00260143155174</c:v>
                </c:pt>
                <c:pt idx="261">
                  <c:v>-8892.3469822358566</c:v>
                </c:pt>
                <c:pt idx="262">
                  <c:v>-9494.9011127390368</c:v>
                </c:pt>
                <c:pt idx="263">
                  <c:v>7717.6157009014642</c:v>
                </c:pt>
                <c:pt idx="264">
                  <c:v>5229.5718509078688</c:v>
                </c:pt>
                <c:pt idx="265">
                  <c:v>7530.5028380160365</c:v>
                </c:pt>
                <c:pt idx="266">
                  <c:v>-11689.248852840839</c:v>
                </c:pt>
                <c:pt idx="267">
                  <c:v>-366.6026959787996</c:v>
                </c:pt>
                <c:pt idx="268">
                  <c:v>-2252.820133025707</c:v>
                </c:pt>
                <c:pt idx="269">
                  <c:v>-39.518445959442033</c:v>
                </c:pt>
                <c:pt idx="270">
                  <c:v>-745.36347074788932</c:v>
                </c:pt>
                <c:pt idx="271">
                  <c:v>6301.4095573963205</c:v>
                </c:pt>
                <c:pt idx="272">
                  <c:v>-4074.9570287124088</c:v>
                </c:pt>
                <c:pt idx="273">
                  <c:v>-481.97616887835829</c:v>
                </c:pt>
                <c:pt idx="274">
                  <c:v>-687.30495334355055</c:v>
                </c:pt>
                <c:pt idx="275">
                  <c:v>191.43158699612468</c:v>
                </c:pt>
                <c:pt idx="276">
                  <c:v>2425.3552382507469</c:v>
                </c:pt>
                <c:pt idx="277">
                  <c:v>759.56012788145745</c:v>
                </c:pt>
                <c:pt idx="278">
                  <c:v>-1360.2211817140396</c:v>
                </c:pt>
                <c:pt idx="279">
                  <c:v>1394.9573435402363</c:v>
                </c:pt>
                <c:pt idx="280">
                  <c:v>-9215.0077244797285</c:v>
                </c:pt>
                <c:pt idx="281">
                  <c:v>8440.2654334447507</c:v>
                </c:pt>
                <c:pt idx="282">
                  <c:v>-766.67358881106884</c:v>
                </c:pt>
                <c:pt idx="283">
                  <c:v>-1099.7280355657294</c:v>
                </c:pt>
                <c:pt idx="284">
                  <c:v>-1721.2487716335872</c:v>
                </c:pt>
                <c:pt idx="285">
                  <c:v>-1057.3848181845224</c:v>
                </c:pt>
                <c:pt idx="286">
                  <c:v>-6743.7842246743512</c:v>
                </c:pt>
                <c:pt idx="287">
                  <c:v>1675.4994338817378</c:v>
                </c:pt>
                <c:pt idx="288">
                  <c:v>8668.6708586812238</c:v>
                </c:pt>
                <c:pt idx="289">
                  <c:v>14770.032015366764</c:v>
                </c:pt>
                <c:pt idx="290">
                  <c:v>-2694.8356819557112</c:v>
                </c:pt>
                <c:pt idx="291">
                  <c:v>14889.763269851068</c:v>
                </c:pt>
                <c:pt idx="292">
                  <c:v>8353.2499324358723</c:v>
                </c:pt>
                <c:pt idx="293">
                  <c:v>-688.92541296082254</c:v>
                </c:pt>
                <c:pt idx="294">
                  <c:v>-483.465847850111</c:v>
                </c:pt>
                <c:pt idx="295">
                  <c:v>1766.68259492487</c:v>
                </c:pt>
                <c:pt idx="296">
                  <c:v>-9225.20896580312</c:v>
                </c:pt>
                <c:pt idx="297">
                  <c:v>-10500.626874092533</c:v>
                </c:pt>
                <c:pt idx="298">
                  <c:v>6555.4132145874282</c:v>
                </c:pt>
                <c:pt idx="299">
                  <c:v>-793.08260326637537</c:v>
                </c:pt>
                <c:pt idx="300">
                  <c:v>-720.58348061493598</c:v>
                </c:pt>
                <c:pt idx="301">
                  <c:v>-9198.8366212109213</c:v>
                </c:pt>
                <c:pt idx="302">
                  <c:v>-3090.9468839747078</c:v>
                </c:pt>
                <c:pt idx="303">
                  <c:v>-2335.6557519108728</c:v>
                </c:pt>
                <c:pt idx="304">
                  <c:v>-3125.8034786972567</c:v>
                </c:pt>
                <c:pt idx="305">
                  <c:v>12388.347506778555</c:v>
                </c:pt>
                <c:pt idx="306">
                  <c:v>15262.736063715794</c:v>
                </c:pt>
                <c:pt idx="307">
                  <c:v>-2682.4967139633618</c:v>
                </c:pt>
                <c:pt idx="308">
                  <c:v>-2129.2568070287671</c:v>
                </c:pt>
                <c:pt idx="309">
                  <c:v>-2307.3160313759745</c:v>
                </c:pt>
                <c:pt idx="310">
                  <c:v>-906.47930390329748</c:v>
                </c:pt>
                <c:pt idx="311">
                  <c:v>991.27508873604052</c:v>
                </c:pt>
                <c:pt idx="312">
                  <c:v>6330.8541101340379</c:v>
                </c:pt>
                <c:pt idx="313">
                  <c:v>-3949.0393868825686</c:v>
                </c:pt>
                <c:pt idx="314">
                  <c:v>6062.1717850415444</c:v>
                </c:pt>
                <c:pt idx="315">
                  <c:v>-2284.1946474580727</c:v>
                </c:pt>
                <c:pt idx="316">
                  <c:v>-2319.6654168282948</c:v>
                </c:pt>
                <c:pt idx="317">
                  <c:v>-1934.7185457692085</c:v>
                </c:pt>
                <c:pt idx="318">
                  <c:v>-718.9963758902295</c:v>
                </c:pt>
                <c:pt idx="319">
                  <c:v>-3970.6316970031303</c:v>
                </c:pt>
                <c:pt idx="320">
                  <c:v>-376.0478363846114</c:v>
                </c:pt>
                <c:pt idx="321">
                  <c:v>18636.660645204665</c:v>
                </c:pt>
                <c:pt idx="322">
                  <c:v>5103.1030754337844</c:v>
                </c:pt>
                <c:pt idx="323">
                  <c:v>-4206.5576289729815</c:v>
                </c:pt>
                <c:pt idx="324">
                  <c:v>-1263.1334916705496</c:v>
                </c:pt>
                <c:pt idx="325">
                  <c:v>-3061.2493244688594</c:v>
                </c:pt>
                <c:pt idx="326">
                  <c:v>759.0482047807759</c:v>
                </c:pt>
                <c:pt idx="327">
                  <c:v>6760.5000955701398</c:v>
                </c:pt>
                <c:pt idx="328">
                  <c:v>8364.951331453638</c:v>
                </c:pt>
                <c:pt idx="329">
                  <c:v>-3972.7864872602568</c:v>
                </c:pt>
                <c:pt idx="330">
                  <c:v>8896.0471771001685</c:v>
                </c:pt>
                <c:pt idx="331">
                  <c:v>-9529.0368307388562</c:v>
                </c:pt>
                <c:pt idx="332">
                  <c:v>-225.90488149314115</c:v>
                </c:pt>
                <c:pt idx="333">
                  <c:v>57.083536906517111</c:v>
                </c:pt>
                <c:pt idx="334">
                  <c:v>7716.2803224056897</c:v>
                </c:pt>
                <c:pt idx="335">
                  <c:v>-1680.6694889738592</c:v>
                </c:pt>
                <c:pt idx="336">
                  <c:v>489.92242923658705</c:v>
                </c:pt>
                <c:pt idx="337">
                  <c:v>713.25795988745449</c:v>
                </c:pt>
                <c:pt idx="338">
                  <c:v>6448.6885383404442</c:v>
                </c:pt>
                <c:pt idx="339">
                  <c:v>-920.8923613098541</c:v>
                </c:pt>
                <c:pt idx="340">
                  <c:v>15986.502683844743</c:v>
                </c:pt>
                <c:pt idx="341">
                  <c:v>-193.77938958451705</c:v>
                </c:pt>
                <c:pt idx="342">
                  <c:v>981.8872900939914</c:v>
                </c:pt>
                <c:pt idx="343">
                  <c:v>-1992.7660090788504</c:v>
                </c:pt>
                <c:pt idx="344">
                  <c:v>-4795.8371190050657</c:v>
                </c:pt>
                <c:pt idx="345">
                  <c:v>-1317.6934648126971</c:v>
                </c:pt>
                <c:pt idx="346">
                  <c:v>-3969.4571463759876</c:v>
                </c:pt>
                <c:pt idx="347">
                  <c:v>-2629.4877022916753</c:v>
                </c:pt>
                <c:pt idx="348">
                  <c:v>-1805.0723742569635</c:v>
                </c:pt>
                <c:pt idx="349">
                  <c:v>-119.37145917116004</c:v>
                </c:pt>
                <c:pt idx="350">
                  <c:v>1775.4391425011581</c:v>
                </c:pt>
                <c:pt idx="351">
                  <c:v>-97.017901062085002</c:v>
                </c:pt>
                <c:pt idx="352">
                  <c:v>-993.79670042151201</c:v>
                </c:pt>
                <c:pt idx="353">
                  <c:v>4654.9620431504718</c:v>
                </c:pt>
                <c:pt idx="354">
                  <c:v>9274.0443454827291</c:v>
                </c:pt>
                <c:pt idx="355">
                  <c:v>15961.641722576913</c:v>
                </c:pt>
                <c:pt idx="356">
                  <c:v>-6360.7578763439069</c:v>
                </c:pt>
                <c:pt idx="357">
                  <c:v>-1417.1610597268154</c:v>
                </c:pt>
                <c:pt idx="358">
                  <c:v>-5479.2796834826495</c:v>
                </c:pt>
                <c:pt idx="359">
                  <c:v>2377.6976811755371</c:v>
                </c:pt>
                <c:pt idx="360">
                  <c:v>-1573.562916529143</c:v>
                </c:pt>
                <c:pt idx="361">
                  <c:v>-2460.8634805745105</c:v>
                </c:pt>
                <c:pt idx="362">
                  <c:v>-9747.4405487558452</c:v>
                </c:pt>
                <c:pt idx="363">
                  <c:v>315.32937369944375</c:v>
                </c:pt>
                <c:pt idx="364">
                  <c:v>1876.1079849674886</c:v>
                </c:pt>
                <c:pt idx="365">
                  <c:v>-1133.5977759950329</c:v>
                </c:pt>
                <c:pt idx="366">
                  <c:v>-722.84529071781435</c:v>
                </c:pt>
                <c:pt idx="367">
                  <c:v>301.68933923646091</c:v>
                </c:pt>
                <c:pt idx="368">
                  <c:v>-2377.4174373979749</c:v>
                </c:pt>
                <c:pt idx="369">
                  <c:v>-261.44334676598419</c:v>
                </c:pt>
                <c:pt idx="370">
                  <c:v>3001.141445117868</c:v>
                </c:pt>
                <c:pt idx="371">
                  <c:v>2279.8774752003119</c:v>
                </c:pt>
                <c:pt idx="372">
                  <c:v>-2231.9781064304225</c:v>
                </c:pt>
                <c:pt idx="373">
                  <c:v>6136.5855570184322</c:v>
                </c:pt>
                <c:pt idx="374">
                  <c:v>-2389.9993251139795</c:v>
                </c:pt>
                <c:pt idx="375">
                  <c:v>-8716.8144508576843</c:v>
                </c:pt>
                <c:pt idx="376">
                  <c:v>-9536.2195170639025</c:v>
                </c:pt>
                <c:pt idx="377">
                  <c:v>7306.8940321720074</c:v>
                </c:pt>
                <c:pt idx="378">
                  <c:v>943.04676584738809</c:v>
                </c:pt>
                <c:pt idx="379">
                  <c:v>12518.137174778314</c:v>
                </c:pt>
                <c:pt idx="380">
                  <c:v>-10389.83433485</c:v>
                </c:pt>
                <c:pt idx="381">
                  <c:v>6537.3285328230486</c:v>
                </c:pt>
                <c:pt idx="382">
                  <c:v>8081.4390812611637</c:v>
                </c:pt>
                <c:pt idx="383">
                  <c:v>-5971.0902086015039</c:v>
                </c:pt>
                <c:pt idx="384">
                  <c:v>988.74122267320399</c:v>
                </c:pt>
                <c:pt idx="385">
                  <c:v>-2606.2005188237213</c:v>
                </c:pt>
                <c:pt idx="386">
                  <c:v>-3564.3878279192395</c:v>
                </c:pt>
                <c:pt idx="387">
                  <c:v>20384.171447513952</c:v>
                </c:pt>
                <c:pt idx="388">
                  <c:v>1298.4378693616832</c:v>
                </c:pt>
                <c:pt idx="389">
                  <c:v>-611.17672420829058</c:v>
                </c:pt>
                <c:pt idx="390">
                  <c:v>-2897.101662067822</c:v>
                </c:pt>
                <c:pt idx="391">
                  <c:v>-2705.1985694325949</c:v>
                </c:pt>
                <c:pt idx="392">
                  <c:v>-1904.066051554084</c:v>
                </c:pt>
                <c:pt idx="393">
                  <c:v>-1805.2607756145262</c:v>
                </c:pt>
                <c:pt idx="394">
                  <c:v>-1690.1079018684304</c:v>
                </c:pt>
                <c:pt idx="395">
                  <c:v>1378.0388375821049</c:v>
                </c:pt>
                <c:pt idx="396">
                  <c:v>-2954.9516413897327</c:v>
                </c:pt>
                <c:pt idx="397">
                  <c:v>13290.596908118865</c:v>
                </c:pt>
                <c:pt idx="398">
                  <c:v>1402.4323652212861</c:v>
                </c:pt>
                <c:pt idx="399">
                  <c:v>-3191.9215002047358</c:v>
                </c:pt>
                <c:pt idx="400">
                  <c:v>1587.1026058136222</c:v>
                </c:pt>
                <c:pt idx="401">
                  <c:v>-7700.1186448962217</c:v>
                </c:pt>
                <c:pt idx="402">
                  <c:v>-316.76118561259864</c:v>
                </c:pt>
                <c:pt idx="403">
                  <c:v>-2078.7037394053223</c:v>
                </c:pt>
                <c:pt idx="404">
                  <c:v>803.86503298898288</c:v>
                </c:pt>
                <c:pt idx="405">
                  <c:v>-3208.1662751251388</c:v>
                </c:pt>
                <c:pt idx="406">
                  <c:v>-45.374066780870635</c:v>
                </c:pt>
                <c:pt idx="407">
                  <c:v>454.31811106558416</c:v>
                </c:pt>
                <c:pt idx="408">
                  <c:v>739.00832499334865</c:v>
                </c:pt>
                <c:pt idx="409">
                  <c:v>-2212.6610992480719</c:v>
                </c:pt>
                <c:pt idx="410">
                  <c:v>3199.0064172495945</c:v>
                </c:pt>
                <c:pt idx="411">
                  <c:v>-10445.364642398188</c:v>
                </c:pt>
                <c:pt idx="412">
                  <c:v>-10438.313161360322</c:v>
                </c:pt>
                <c:pt idx="413">
                  <c:v>676.86758929775806</c:v>
                </c:pt>
                <c:pt idx="414">
                  <c:v>-1974.5465709546306</c:v>
                </c:pt>
                <c:pt idx="415">
                  <c:v>-3583.3191498211909</c:v>
                </c:pt>
                <c:pt idx="416">
                  <c:v>-3139.5868398731036</c:v>
                </c:pt>
                <c:pt idx="417">
                  <c:v>-10603.797067020634</c:v>
                </c:pt>
                <c:pt idx="418">
                  <c:v>-3058.5219417597327</c:v>
                </c:pt>
                <c:pt idx="419">
                  <c:v>-7686.231078293109</c:v>
                </c:pt>
                <c:pt idx="420">
                  <c:v>7773.9367347721636</c:v>
                </c:pt>
                <c:pt idx="421">
                  <c:v>7620.0666791376352</c:v>
                </c:pt>
                <c:pt idx="422">
                  <c:v>6080.5393952944214</c:v>
                </c:pt>
                <c:pt idx="423">
                  <c:v>-1461.507617980837</c:v>
                </c:pt>
                <c:pt idx="424">
                  <c:v>-1972.593970562597</c:v>
                </c:pt>
                <c:pt idx="425">
                  <c:v>96.688267525742049</c:v>
                </c:pt>
                <c:pt idx="426">
                  <c:v>-389.2223143742558</c:v>
                </c:pt>
                <c:pt idx="427">
                  <c:v>5398.416882380383</c:v>
                </c:pt>
                <c:pt idx="428">
                  <c:v>3969.9518699324653</c:v>
                </c:pt>
                <c:pt idx="429">
                  <c:v>12740.795487260813</c:v>
                </c:pt>
                <c:pt idx="430">
                  <c:v>19633.302604869856</c:v>
                </c:pt>
                <c:pt idx="431">
                  <c:v>2071.8754980268486</c:v>
                </c:pt>
                <c:pt idx="432">
                  <c:v>-1414.9896661128132</c:v>
                </c:pt>
                <c:pt idx="433">
                  <c:v>-546.4738482875855</c:v>
                </c:pt>
                <c:pt idx="434">
                  <c:v>-1323.8185288405766</c:v>
                </c:pt>
                <c:pt idx="435">
                  <c:v>-1525.3850563406195</c:v>
                </c:pt>
                <c:pt idx="436">
                  <c:v>-1527.4680952287508</c:v>
                </c:pt>
                <c:pt idx="437">
                  <c:v>-1717.1298671202167</c:v>
                </c:pt>
                <c:pt idx="438">
                  <c:v>-6126.9351635435578</c:v>
                </c:pt>
                <c:pt idx="439">
                  <c:v>-1182.5181260722097</c:v>
                </c:pt>
                <c:pt idx="440">
                  <c:v>-2143.9033094469287</c:v>
                </c:pt>
                <c:pt idx="441">
                  <c:v>6079.6857950928679</c:v>
                </c:pt>
                <c:pt idx="442">
                  <c:v>-5231.9546899562047</c:v>
                </c:pt>
                <c:pt idx="443">
                  <c:v>12950.030598392847</c:v>
                </c:pt>
                <c:pt idx="444">
                  <c:v>-9104.199392716695</c:v>
                </c:pt>
                <c:pt idx="445">
                  <c:v>-2808.6558857194004</c:v>
                </c:pt>
                <c:pt idx="446">
                  <c:v>-176.8770418441436</c:v>
                </c:pt>
                <c:pt idx="447">
                  <c:v>861.72998481371906</c:v>
                </c:pt>
                <c:pt idx="448">
                  <c:v>-1827.0684391233744</c:v>
                </c:pt>
                <c:pt idx="449">
                  <c:v>-5056.6008435883341</c:v>
                </c:pt>
                <c:pt idx="450">
                  <c:v>-1861.905193976314</c:v>
                </c:pt>
                <c:pt idx="451">
                  <c:v>159.74819217579352</c:v>
                </c:pt>
                <c:pt idx="452">
                  <c:v>352.67237577783681</c:v>
                </c:pt>
                <c:pt idx="453">
                  <c:v>-854.94063189981921</c:v>
                </c:pt>
                <c:pt idx="454">
                  <c:v>-7384.7765616739025</c:v>
                </c:pt>
                <c:pt idx="455">
                  <c:v>6649.4063794384037</c:v>
                </c:pt>
                <c:pt idx="456">
                  <c:v>-844.589837704616</c:v>
                </c:pt>
                <c:pt idx="457">
                  <c:v>-568.73606928231129</c:v>
                </c:pt>
                <c:pt idx="458">
                  <c:v>-4480.7065848211969</c:v>
                </c:pt>
                <c:pt idx="459">
                  <c:v>-2570.1441554209669</c:v>
                </c:pt>
                <c:pt idx="460">
                  <c:v>-3360.3016137077739</c:v>
                </c:pt>
                <c:pt idx="461">
                  <c:v>-10049.819860936099</c:v>
                </c:pt>
                <c:pt idx="462">
                  <c:v>-1861.509898618955</c:v>
                </c:pt>
                <c:pt idx="463">
                  <c:v>481.39843500397365</c:v>
                </c:pt>
                <c:pt idx="464">
                  <c:v>733.05587238646467</c:v>
                </c:pt>
                <c:pt idx="465">
                  <c:v>-9529.792615914881</c:v>
                </c:pt>
                <c:pt idx="466">
                  <c:v>145.85436128077345</c:v>
                </c:pt>
                <c:pt idx="467">
                  <c:v>-1525.4443074906339</c:v>
                </c:pt>
                <c:pt idx="468">
                  <c:v>19870.983140296674</c:v>
                </c:pt>
                <c:pt idx="469">
                  <c:v>1435.6727362537126</c:v>
                </c:pt>
                <c:pt idx="470">
                  <c:v>-2877.0143505512706</c:v>
                </c:pt>
                <c:pt idx="471">
                  <c:v>-27.60495031876917</c:v>
                </c:pt>
                <c:pt idx="472">
                  <c:v>-643.07806575414293</c:v>
                </c:pt>
                <c:pt idx="473">
                  <c:v>10130.491905923793</c:v>
                </c:pt>
                <c:pt idx="474">
                  <c:v>-9749.1840216158962</c:v>
                </c:pt>
                <c:pt idx="475">
                  <c:v>-8153.902044957038</c:v>
                </c:pt>
                <c:pt idx="476">
                  <c:v>8077.744875272132</c:v>
                </c:pt>
                <c:pt idx="477">
                  <c:v>-3275.0307312863415</c:v>
                </c:pt>
                <c:pt idx="478">
                  <c:v>-3637.9899704454037</c:v>
                </c:pt>
                <c:pt idx="479">
                  <c:v>-2482.9655669173144</c:v>
                </c:pt>
                <c:pt idx="480">
                  <c:v>-3307.576952672247</c:v>
                </c:pt>
                <c:pt idx="481">
                  <c:v>-4246.8053326622157</c:v>
                </c:pt>
                <c:pt idx="482">
                  <c:v>-1006.3747328276679</c:v>
                </c:pt>
                <c:pt idx="483">
                  <c:v>-4354.1202234311186</c:v>
                </c:pt>
                <c:pt idx="484">
                  <c:v>-3170.9880377573918</c:v>
                </c:pt>
                <c:pt idx="485">
                  <c:v>-1541.8557783125498</c:v>
                </c:pt>
                <c:pt idx="486">
                  <c:v>2323.59071671323</c:v>
                </c:pt>
                <c:pt idx="487">
                  <c:v>-779.57052262880893</c:v>
                </c:pt>
                <c:pt idx="488">
                  <c:v>13581.462417503019</c:v>
                </c:pt>
                <c:pt idx="489">
                  <c:v>-1603.6671383961184</c:v>
                </c:pt>
                <c:pt idx="490">
                  <c:v>-1636.5084145619026</c:v>
                </c:pt>
                <c:pt idx="491">
                  <c:v>12815.007547781432</c:v>
                </c:pt>
                <c:pt idx="492">
                  <c:v>1585.918262986736</c:v>
                </c:pt>
                <c:pt idx="493">
                  <c:v>-5020.3524522695825</c:v>
                </c:pt>
                <c:pt idx="494">
                  <c:v>-9346.954436964701</c:v>
                </c:pt>
                <c:pt idx="495">
                  <c:v>-76.507749771431463</c:v>
                </c:pt>
                <c:pt idx="496">
                  <c:v>498.38391280545511</c:v>
                </c:pt>
                <c:pt idx="497">
                  <c:v>-1656.6303443097104</c:v>
                </c:pt>
                <c:pt idx="498">
                  <c:v>303.48998443116852</c:v>
                </c:pt>
                <c:pt idx="499">
                  <c:v>-3029.6150676668476</c:v>
                </c:pt>
                <c:pt idx="500">
                  <c:v>5939.7445618571946</c:v>
                </c:pt>
                <c:pt idx="501">
                  <c:v>-525.18275297131459</c:v>
                </c:pt>
                <c:pt idx="502">
                  <c:v>-10584.513817163293</c:v>
                </c:pt>
                <c:pt idx="503">
                  <c:v>6204.5644569517863</c:v>
                </c:pt>
                <c:pt idx="504">
                  <c:v>-1505.7906001048741</c:v>
                </c:pt>
                <c:pt idx="505">
                  <c:v>-1998.4682023923233</c:v>
                </c:pt>
                <c:pt idx="506">
                  <c:v>-1490.1950776949143</c:v>
                </c:pt>
                <c:pt idx="507">
                  <c:v>1174.0497756828333</c:v>
                </c:pt>
                <c:pt idx="508">
                  <c:v>825.4095524647696</c:v>
                </c:pt>
                <c:pt idx="509">
                  <c:v>-376.50780118233342</c:v>
                </c:pt>
                <c:pt idx="510">
                  <c:v>-1381.9529930863391</c:v>
                </c:pt>
                <c:pt idx="511">
                  <c:v>-3194.2711393640698</c:v>
                </c:pt>
                <c:pt idx="512">
                  <c:v>1097.8628526426164</c:v>
                </c:pt>
                <c:pt idx="513">
                  <c:v>-1324.35490745887</c:v>
                </c:pt>
                <c:pt idx="514">
                  <c:v>-10264.498269660791</c:v>
                </c:pt>
                <c:pt idx="515">
                  <c:v>-2979.8421284011802</c:v>
                </c:pt>
                <c:pt idx="516">
                  <c:v>22831.992681714593</c:v>
                </c:pt>
                <c:pt idx="517">
                  <c:v>-1848.8586124096873</c:v>
                </c:pt>
                <c:pt idx="518">
                  <c:v>-2132.0941819951167</c:v>
                </c:pt>
                <c:pt idx="519">
                  <c:v>-1969.9682117727184</c:v>
                </c:pt>
                <c:pt idx="520">
                  <c:v>16061.014929937381</c:v>
                </c:pt>
                <c:pt idx="521">
                  <c:v>-6386.5060900190547</c:v>
                </c:pt>
                <c:pt idx="522">
                  <c:v>-2096.8410230171212</c:v>
                </c:pt>
                <c:pt idx="523">
                  <c:v>-4441.3486295617213</c:v>
                </c:pt>
                <c:pt idx="524">
                  <c:v>6843.1151366840459</c:v>
                </c:pt>
                <c:pt idx="525">
                  <c:v>8039.7875179840648</c:v>
                </c:pt>
                <c:pt idx="526">
                  <c:v>20470.869894909651</c:v>
                </c:pt>
                <c:pt idx="527">
                  <c:v>36.200995493492883</c:v>
                </c:pt>
                <c:pt idx="528">
                  <c:v>-4577.8930315662474</c:v>
                </c:pt>
                <c:pt idx="529">
                  <c:v>975.14292990707418</c:v>
                </c:pt>
                <c:pt idx="530">
                  <c:v>8236.3633970988303</c:v>
                </c:pt>
                <c:pt idx="531">
                  <c:v>-52.768388442989817</c:v>
                </c:pt>
                <c:pt idx="532">
                  <c:v>-690.45684977590645</c:v>
                </c:pt>
                <c:pt idx="533">
                  <c:v>10129.240838144104</c:v>
                </c:pt>
                <c:pt idx="534">
                  <c:v>-3597.0286779643102</c:v>
                </c:pt>
                <c:pt idx="535">
                  <c:v>-1121.7729805335775</c:v>
                </c:pt>
                <c:pt idx="536">
                  <c:v>-4374.4128808716314</c:v>
                </c:pt>
                <c:pt idx="537">
                  <c:v>-1600.1389559018844</c:v>
                </c:pt>
                <c:pt idx="538">
                  <c:v>-1026.6446242474558</c:v>
                </c:pt>
                <c:pt idx="539">
                  <c:v>15692.746110609873</c:v>
                </c:pt>
                <c:pt idx="540">
                  <c:v>-4118.5261256448939</c:v>
                </c:pt>
                <c:pt idx="541">
                  <c:v>-1176.4933958301581</c:v>
                </c:pt>
                <c:pt idx="542">
                  <c:v>-1937.7515067576842</c:v>
                </c:pt>
                <c:pt idx="543">
                  <c:v>22878.949127634129</c:v>
                </c:pt>
                <c:pt idx="544">
                  <c:v>-1312.734997481497</c:v>
                </c:pt>
                <c:pt idx="545">
                  <c:v>-9799.6606075207856</c:v>
                </c:pt>
                <c:pt idx="546">
                  <c:v>-3252.9746867375798</c:v>
                </c:pt>
                <c:pt idx="547">
                  <c:v>-6260.1481614247405</c:v>
                </c:pt>
                <c:pt idx="548">
                  <c:v>-333.18716931261815</c:v>
                </c:pt>
                <c:pt idx="549">
                  <c:v>8197.510905705909</c:v>
                </c:pt>
                <c:pt idx="550">
                  <c:v>-664.2137911310183</c:v>
                </c:pt>
                <c:pt idx="551">
                  <c:v>-1486.6512405769149</c:v>
                </c:pt>
                <c:pt idx="552">
                  <c:v>2185.5979029067366</c:v>
                </c:pt>
                <c:pt idx="553">
                  <c:v>-1277.0979462310752</c:v>
                </c:pt>
                <c:pt idx="554">
                  <c:v>10234.923172518746</c:v>
                </c:pt>
                <c:pt idx="555">
                  <c:v>123.58915422828068</c:v>
                </c:pt>
                <c:pt idx="556">
                  <c:v>-2659.9315855615914</c:v>
                </c:pt>
                <c:pt idx="557">
                  <c:v>-3739.4704622392301</c:v>
                </c:pt>
                <c:pt idx="558">
                  <c:v>6852.8137350757534</c:v>
                </c:pt>
                <c:pt idx="559">
                  <c:v>-2585.3219040342919</c:v>
                </c:pt>
                <c:pt idx="560">
                  <c:v>2067.590423220543</c:v>
                </c:pt>
                <c:pt idx="561">
                  <c:v>-1415.2746624992924</c:v>
                </c:pt>
                <c:pt idx="562">
                  <c:v>-2181.6131063858393</c:v>
                </c:pt>
                <c:pt idx="563">
                  <c:v>-6613.765309073955</c:v>
                </c:pt>
                <c:pt idx="564">
                  <c:v>-1022.1346441070459</c:v>
                </c:pt>
                <c:pt idx="565">
                  <c:v>-482.79879072878566</c:v>
                </c:pt>
                <c:pt idx="566">
                  <c:v>-4851.358972162383</c:v>
                </c:pt>
                <c:pt idx="567">
                  <c:v>-2004.7763663581782</c:v>
                </c:pt>
                <c:pt idx="568">
                  <c:v>-1613.5238093604839</c:v>
                </c:pt>
                <c:pt idx="569">
                  <c:v>7613.7087929727204</c:v>
                </c:pt>
                <c:pt idx="570">
                  <c:v>-1495.1491717295671</c:v>
                </c:pt>
                <c:pt idx="571">
                  <c:v>-2794.417781250293</c:v>
                </c:pt>
                <c:pt idx="572">
                  <c:v>-5704.3161633246546</c:v>
                </c:pt>
                <c:pt idx="573">
                  <c:v>15399.155999435769</c:v>
                </c:pt>
                <c:pt idx="574">
                  <c:v>-1355.494031170565</c:v>
                </c:pt>
                <c:pt idx="575">
                  <c:v>625.69363783436347</c:v>
                </c:pt>
                <c:pt idx="576">
                  <c:v>-543.41183533522235</c:v>
                </c:pt>
                <c:pt idx="577">
                  <c:v>26134.677798152385</c:v>
                </c:pt>
                <c:pt idx="578">
                  <c:v>-1774.2896843381968</c:v>
                </c:pt>
                <c:pt idx="579">
                  <c:v>1310.7799272628017</c:v>
                </c:pt>
                <c:pt idx="580">
                  <c:v>1135.8018138166553</c:v>
                </c:pt>
                <c:pt idx="581">
                  <c:v>-1002.2425739987013</c:v>
                </c:pt>
                <c:pt idx="582">
                  <c:v>-7165.8045698610613</c:v>
                </c:pt>
                <c:pt idx="583">
                  <c:v>13392.536650878865</c:v>
                </c:pt>
                <c:pt idx="584">
                  <c:v>1784.1207001008909</c:v>
                </c:pt>
                <c:pt idx="585">
                  <c:v>-1198.9035375778949</c:v>
                </c:pt>
                <c:pt idx="586">
                  <c:v>2615.969241123873</c:v>
                </c:pt>
                <c:pt idx="587">
                  <c:v>13271.72918756428</c:v>
                </c:pt>
                <c:pt idx="588">
                  <c:v>-1548.0965449889009</c:v>
                </c:pt>
                <c:pt idx="589">
                  <c:v>-2069.8026691054092</c:v>
                </c:pt>
                <c:pt idx="590">
                  <c:v>-343.75072936505603</c:v>
                </c:pt>
                <c:pt idx="591">
                  <c:v>1639.7775645156698</c:v>
                </c:pt>
                <c:pt idx="592">
                  <c:v>-1453.9888699549583</c:v>
                </c:pt>
                <c:pt idx="593">
                  <c:v>-9270.3210893885607</c:v>
                </c:pt>
                <c:pt idx="594">
                  <c:v>-5717.6335007410562</c:v>
                </c:pt>
                <c:pt idx="595">
                  <c:v>-2262.2630353713357</c:v>
                </c:pt>
                <c:pt idx="596">
                  <c:v>-1521.7847165347885</c:v>
                </c:pt>
                <c:pt idx="597">
                  <c:v>-2244.3298310574883</c:v>
                </c:pt>
                <c:pt idx="598">
                  <c:v>-2982.618800729726</c:v>
                </c:pt>
                <c:pt idx="599">
                  <c:v>19142.088374304098</c:v>
                </c:pt>
                <c:pt idx="600">
                  <c:v>-3509.1782890175355</c:v>
                </c:pt>
                <c:pt idx="601">
                  <c:v>-2055.1890245391587</c:v>
                </c:pt>
                <c:pt idx="602">
                  <c:v>590.89147580814097</c:v>
                </c:pt>
                <c:pt idx="603">
                  <c:v>-2303.2758185388466</c:v>
                </c:pt>
                <c:pt idx="604">
                  <c:v>-8250.4004215362584</c:v>
                </c:pt>
                <c:pt idx="605">
                  <c:v>-2739.1263325427462</c:v>
                </c:pt>
                <c:pt idx="606">
                  <c:v>596.84381374361737</c:v>
                </c:pt>
                <c:pt idx="607">
                  <c:v>-8856.3679345246528</c:v>
                </c:pt>
                <c:pt idx="608">
                  <c:v>-312.47810680677503</c:v>
                </c:pt>
                <c:pt idx="609">
                  <c:v>6684.3386537750739</c:v>
                </c:pt>
                <c:pt idx="610">
                  <c:v>-1394.7441833282119</c:v>
                </c:pt>
                <c:pt idx="611">
                  <c:v>-3271.4013503286133</c:v>
                </c:pt>
                <c:pt idx="612">
                  <c:v>-1001.8076149560557</c:v>
                </c:pt>
                <c:pt idx="613">
                  <c:v>2553.2405283381431</c:v>
                </c:pt>
                <c:pt idx="614">
                  <c:v>-1795.2470621763784</c:v>
                </c:pt>
                <c:pt idx="615">
                  <c:v>6879.3761860290615</c:v>
                </c:pt>
                <c:pt idx="616">
                  <c:v>117.97110344634712</c:v>
                </c:pt>
                <c:pt idx="617">
                  <c:v>-10223.109870838896</c:v>
                </c:pt>
                <c:pt idx="618">
                  <c:v>7175.5848448259239</c:v>
                </c:pt>
                <c:pt idx="619">
                  <c:v>-3305.9965703878097</c:v>
                </c:pt>
                <c:pt idx="620">
                  <c:v>-2553.0062064798217</c:v>
                </c:pt>
                <c:pt idx="621">
                  <c:v>6064.0416618834206</c:v>
                </c:pt>
                <c:pt idx="622">
                  <c:v>1321.3763229396618</c:v>
                </c:pt>
                <c:pt idx="623">
                  <c:v>7474.6322059487647</c:v>
                </c:pt>
                <c:pt idx="624">
                  <c:v>-245.22998508455021</c:v>
                </c:pt>
                <c:pt idx="625">
                  <c:v>-16.193650346331651</c:v>
                </c:pt>
                <c:pt idx="626">
                  <c:v>-1146.7971463937492</c:v>
                </c:pt>
                <c:pt idx="627">
                  <c:v>781.13765610529845</c:v>
                </c:pt>
                <c:pt idx="628">
                  <c:v>-3716.9033549359683</c:v>
                </c:pt>
                <c:pt idx="629">
                  <c:v>7393.3375689743407</c:v>
                </c:pt>
                <c:pt idx="630">
                  <c:v>-3569.7464684317092</c:v>
                </c:pt>
                <c:pt idx="631">
                  <c:v>-1538.0499009853179</c:v>
                </c:pt>
                <c:pt idx="632">
                  <c:v>-3443.5769773378511</c:v>
                </c:pt>
                <c:pt idx="633">
                  <c:v>707.5083523751382</c:v>
                </c:pt>
                <c:pt idx="634">
                  <c:v>-4907.2125039993625</c:v>
                </c:pt>
                <c:pt idx="635">
                  <c:v>-2280.1720654579312</c:v>
                </c:pt>
                <c:pt idx="636">
                  <c:v>1550.6604397300466</c:v>
                </c:pt>
                <c:pt idx="637">
                  <c:v>14785.149099300659</c:v>
                </c:pt>
                <c:pt idx="638">
                  <c:v>-10115.533902745075</c:v>
                </c:pt>
                <c:pt idx="639">
                  <c:v>-2115.1751141276873</c:v>
                </c:pt>
                <c:pt idx="640">
                  <c:v>-5754.032421907521</c:v>
                </c:pt>
                <c:pt idx="641">
                  <c:v>-282.97133677192323</c:v>
                </c:pt>
                <c:pt idx="642">
                  <c:v>-1397.776096320682</c:v>
                </c:pt>
                <c:pt idx="643">
                  <c:v>-2033.5798803736943</c:v>
                </c:pt>
                <c:pt idx="644">
                  <c:v>7509.8083975705849</c:v>
                </c:pt>
                <c:pt idx="645">
                  <c:v>-1459.9638997563234</c:v>
                </c:pt>
                <c:pt idx="646">
                  <c:v>-742.2387057355445</c:v>
                </c:pt>
                <c:pt idx="647">
                  <c:v>1098.8991539399076</c:v>
                </c:pt>
                <c:pt idx="648">
                  <c:v>0.94026526978927905</c:v>
                </c:pt>
                <c:pt idx="649">
                  <c:v>-1031.3801416304632</c:v>
                </c:pt>
                <c:pt idx="650">
                  <c:v>-5414.5907853512854</c:v>
                </c:pt>
                <c:pt idx="651">
                  <c:v>-4202.3613783759538</c:v>
                </c:pt>
                <c:pt idx="652">
                  <c:v>-2012.6184441132791</c:v>
                </c:pt>
                <c:pt idx="653">
                  <c:v>-3603.137005902925</c:v>
                </c:pt>
                <c:pt idx="654">
                  <c:v>-2194.98993431093</c:v>
                </c:pt>
                <c:pt idx="655">
                  <c:v>-9539.2309719776022</c:v>
                </c:pt>
                <c:pt idx="656">
                  <c:v>-5310.9956084117348</c:v>
                </c:pt>
                <c:pt idx="657">
                  <c:v>-2418.4428120209054</c:v>
                </c:pt>
                <c:pt idx="658">
                  <c:v>14087.067134759904</c:v>
                </c:pt>
                <c:pt idx="659">
                  <c:v>641.2437673928689</c:v>
                </c:pt>
                <c:pt idx="660">
                  <c:v>-7398.2914138715059</c:v>
                </c:pt>
                <c:pt idx="661">
                  <c:v>11406.285604682364</c:v>
                </c:pt>
                <c:pt idx="662">
                  <c:v>-1624.5578175383034</c:v>
                </c:pt>
                <c:pt idx="663">
                  <c:v>-2235.6405733908668</c:v>
                </c:pt>
                <c:pt idx="664">
                  <c:v>-8572.4485882870285</c:v>
                </c:pt>
                <c:pt idx="665">
                  <c:v>6567.602093741727</c:v>
                </c:pt>
                <c:pt idx="666">
                  <c:v>-1539.0380580853107</c:v>
                </c:pt>
                <c:pt idx="667">
                  <c:v>6485.037079748603</c:v>
                </c:pt>
                <c:pt idx="668">
                  <c:v>7710.8352157317349</c:v>
                </c:pt>
                <c:pt idx="669">
                  <c:v>-1778.8676492658542</c:v>
                </c:pt>
                <c:pt idx="670">
                  <c:v>-2376.4892760544744</c:v>
                </c:pt>
                <c:pt idx="671">
                  <c:v>-1460.1606469217513</c:v>
                </c:pt>
                <c:pt idx="672">
                  <c:v>-2339.0685500860745</c:v>
                </c:pt>
                <c:pt idx="673">
                  <c:v>-2267.5701384882532</c:v>
                </c:pt>
                <c:pt idx="674">
                  <c:v>8073.9136078471056</c:v>
                </c:pt>
                <c:pt idx="675">
                  <c:v>842.7540125938167</c:v>
                </c:pt>
                <c:pt idx="676">
                  <c:v>-4148.4153215661772</c:v>
                </c:pt>
                <c:pt idx="677">
                  <c:v>7440.3771666443863</c:v>
                </c:pt>
                <c:pt idx="678">
                  <c:v>-3012.5986215144221</c:v>
                </c:pt>
                <c:pt idx="679">
                  <c:v>1217.4065700523588</c:v>
                </c:pt>
                <c:pt idx="680">
                  <c:v>3199.4819992703569</c:v>
                </c:pt>
                <c:pt idx="681">
                  <c:v>1912.3052612373756</c:v>
                </c:pt>
                <c:pt idx="682">
                  <c:v>6030.7695949049012</c:v>
                </c:pt>
                <c:pt idx="683">
                  <c:v>472.79117258359838</c:v>
                </c:pt>
                <c:pt idx="684">
                  <c:v>1932.0043681807506</c:v>
                </c:pt>
                <c:pt idx="685">
                  <c:v>234.02220955381745</c:v>
                </c:pt>
                <c:pt idx="686">
                  <c:v>-352.63666000252215</c:v>
                </c:pt>
                <c:pt idx="687">
                  <c:v>-6190.4467994736342</c:v>
                </c:pt>
                <c:pt idx="688">
                  <c:v>17990.301409644977</c:v>
                </c:pt>
                <c:pt idx="689">
                  <c:v>5643.1640482628536</c:v>
                </c:pt>
                <c:pt idx="690">
                  <c:v>-13.811257482297151</c:v>
                </c:pt>
                <c:pt idx="691">
                  <c:v>-4072.4955647336947</c:v>
                </c:pt>
                <c:pt idx="692">
                  <c:v>-1591.8702790032703</c:v>
                </c:pt>
                <c:pt idx="693">
                  <c:v>653.95466805332717</c:v>
                </c:pt>
                <c:pt idx="694">
                  <c:v>-2955.0994541488744</c:v>
                </c:pt>
                <c:pt idx="695">
                  <c:v>-4333.6712355726286</c:v>
                </c:pt>
                <c:pt idx="696">
                  <c:v>16280.422946819079</c:v>
                </c:pt>
                <c:pt idx="697">
                  <c:v>6013.4952645114608</c:v>
                </c:pt>
                <c:pt idx="698">
                  <c:v>-2214.9957931290719</c:v>
                </c:pt>
                <c:pt idx="699">
                  <c:v>-3913.2662110734982</c:v>
                </c:pt>
                <c:pt idx="700">
                  <c:v>-2514.4763928198017</c:v>
                </c:pt>
                <c:pt idx="701">
                  <c:v>-5649.2514084570994</c:v>
                </c:pt>
                <c:pt idx="702">
                  <c:v>-5406.1218861431971</c:v>
                </c:pt>
                <c:pt idx="703">
                  <c:v>-252.37383562359446</c:v>
                </c:pt>
                <c:pt idx="704">
                  <c:v>-1067.8248788254241</c:v>
                </c:pt>
                <c:pt idx="705">
                  <c:v>-2567.1421482785336</c:v>
                </c:pt>
                <c:pt idx="706">
                  <c:v>7291.7866661905282</c:v>
                </c:pt>
                <c:pt idx="707">
                  <c:v>-921.83807514854561</c:v>
                </c:pt>
                <c:pt idx="708">
                  <c:v>-1012.6998253305273</c:v>
                </c:pt>
                <c:pt idx="709">
                  <c:v>-638.96420051729638</c:v>
                </c:pt>
                <c:pt idx="710">
                  <c:v>-2613.6534493121599</c:v>
                </c:pt>
                <c:pt idx="711">
                  <c:v>794.12795769916738</c:v>
                </c:pt>
                <c:pt idx="712">
                  <c:v>-1496.9351642888032</c:v>
                </c:pt>
                <c:pt idx="713">
                  <c:v>-4095.0937414002356</c:v>
                </c:pt>
                <c:pt idx="714">
                  <c:v>1098.0414980508062</c:v>
                </c:pt>
                <c:pt idx="715">
                  <c:v>-522.73560374164481</c:v>
                </c:pt>
                <c:pt idx="716">
                  <c:v>1284.5718852176742</c:v>
                </c:pt>
                <c:pt idx="717">
                  <c:v>1443.4753057252838</c:v>
                </c:pt>
                <c:pt idx="718">
                  <c:v>-2948.7167689363087</c:v>
                </c:pt>
                <c:pt idx="719">
                  <c:v>-1383.5993579800379</c:v>
                </c:pt>
                <c:pt idx="720">
                  <c:v>-4258.3531351810998</c:v>
                </c:pt>
                <c:pt idx="721">
                  <c:v>-3498.9818009439623</c:v>
                </c:pt>
                <c:pt idx="722">
                  <c:v>-2941.7845425526648</c:v>
                </c:pt>
                <c:pt idx="723">
                  <c:v>-2926.6619216649333</c:v>
                </c:pt>
                <c:pt idx="724">
                  <c:v>128.79916420130212</c:v>
                </c:pt>
                <c:pt idx="725">
                  <c:v>7499.5095846777331</c:v>
                </c:pt>
                <c:pt idx="726">
                  <c:v>-1420.0658356043068</c:v>
                </c:pt>
                <c:pt idx="727">
                  <c:v>-10003.928364761494</c:v>
                </c:pt>
                <c:pt idx="728">
                  <c:v>-3285.0950601996947</c:v>
                </c:pt>
                <c:pt idx="729">
                  <c:v>-3773.6071524106119</c:v>
                </c:pt>
                <c:pt idx="730">
                  <c:v>-10651.482628407106</c:v>
                </c:pt>
                <c:pt idx="731">
                  <c:v>1141.0361533341165</c:v>
                </c:pt>
                <c:pt idx="732">
                  <c:v>-958.92596989575759</c:v>
                </c:pt>
                <c:pt idx="733">
                  <c:v>-75.537387677815786</c:v>
                </c:pt>
                <c:pt idx="734">
                  <c:v>-855.06653214064136</c:v>
                </c:pt>
                <c:pt idx="735">
                  <c:v>-2612.2387733314736</c:v>
                </c:pt>
                <c:pt idx="736">
                  <c:v>6814.0815058779044</c:v>
                </c:pt>
                <c:pt idx="737">
                  <c:v>308.13030917311517</c:v>
                </c:pt>
                <c:pt idx="738">
                  <c:v>6917.0806047879014</c:v>
                </c:pt>
                <c:pt idx="739">
                  <c:v>13026.460287640213</c:v>
                </c:pt>
                <c:pt idx="740">
                  <c:v>421.32204994454423</c:v>
                </c:pt>
                <c:pt idx="741">
                  <c:v>-9806.0400585657262</c:v>
                </c:pt>
                <c:pt idx="742">
                  <c:v>6903.0215497668105</c:v>
                </c:pt>
                <c:pt idx="743">
                  <c:v>-700.40489268336023</c:v>
                </c:pt>
                <c:pt idx="744">
                  <c:v>-462.59163736346818</c:v>
                </c:pt>
                <c:pt idx="745">
                  <c:v>-1045.403500435983</c:v>
                </c:pt>
                <c:pt idx="746">
                  <c:v>5436.7424211542666</c:v>
                </c:pt>
                <c:pt idx="747">
                  <c:v>1829.0338701034116</c:v>
                </c:pt>
                <c:pt idx="748">
                  <c:v>-3519.4032841654516</c:v>
                </c:pt>
                <c:pt idx="749">
                  <c:v>-1991.6706897816503</c:v>
                </c:pt>
                <c:pt idx="750">
                  <c:v>-10206.69627405595</c:v>
                </c:pt>
                <c:pt idx="751">
                  <c:v>-731.3564730708556</c:v>
                </c:pt>
                <c:pt idx="752">
                  <c:v>-2388.8405156481895</c:v>
                </c:pt>
                <c:pt idx="753">
                  <c:v>1652.7238103356995</c:v>
                </c:pt>
                <c:pt idx="754">
                  <c:v>10324.935362528939</c:v>
                </c:pt>
                <c:pt idx="755">
                  <c:v>-703.88241168724926</c:v>
                </c:pt>
                <c:pt idx="756">
                  <c:v>1273.7346608897542</c:v>
                </c:pt>
                <c:pt idx="757">
                  <c:v>-9719.2611534224452</c:v>
                </c:pt>
                <c:pt idx="758">
                  <c:v>-3671.3930967039805</c:v>
                </c:pt>
                <c:pt idx="759">
                  <c:v>7672.8086537797426</c:v>
                </c:pt>
                <c:pt idx="760">
                  <c:v>-1720.7877244178526</c:v>
                </c:pt>
                <c:pt idx="761">
                  <c:v>-3213.4859859639391</c:v>
                </c:pt>
                <c:pt idx="762">
                  <c:v>-10372.463542269201</c:v>
                </c:pt>
                <c:pt idx="763">
                  <c:v>-166.15063568561936</c:v>
                </c:pt>
                <c:pt idx="764">
                  <c:v>544.99605070556208</c:v>
                </c:pt>
                <c:pt idx="765">
                  <c:v>-994.94963506112435</c:v>
                </c:pt>
                <c:pt idx="766">
                  <c:v>-2822.696093652964</c:v>
                </c:pt>
                <c:pt idx="767">
                  <c:v>-1483.4609276251849</c:v>
                </c:pt>
                <c:pt idx="768">
                  <c:v>-2858.0687837481655</c:v>
                </c:pt>
                <c:pt idx="769">
                  <c:v>2022.669598212965</c:v>
                </c:pt>
                <c:pt idx="770">
                  <c:v>11275.894441833796</c:v>
                </c:pt>
                <c:pt idx="771">
                  <c:v>47.088402729867084</c:v>
                </c:pt>
                <c:pt idx="772">
                  <c:v>1813.4614800076597</c:v>
                </c:pt>
                <c:pt idx="773">
                  <c:v>-8154.3334211557485</c:v>
                </c:pt>
                <c:pt idx="774">
                  <c:v>-3161.6420306149557</c:v>
                </c:pt>
                <c:pt idx="775">
                  <c:v>-2634.8779989924824</c:v>
                </c:pt>
                <c:pt idx="776">
                  <c:v>-2567.3188578862937</c:v>
                </c:pt>
                <c:pt idx="777">
                  <c:v>-4863.3495417697286</c:v>
                </c:pt>
                <c:pt idx="778">
                  <c:v>-3454.0306705195899</c:v>
                </c:pt>
                <c:pt idx="779">
                  <c:v>-988.51282437233021</c:v>
                </c:pt>
                <c:pt idx="780">
                  <c:v>-10458.580863698502</c:v>
                </c:pt>
                <c:pt idx="781">
                  <c:v>-4632.6918666431375</c:v>
                </c:pt>
                <c:pt idx="782">
                  <c:v>-3711.8914714016373</c:v>
                </c:pt>
                <c:pt idx="783">
                  <c:v>-9437.4428683058613</c:v>
                </c:pt>
                <c:pt idx="784">
                  <c:v>-1430.9253117299832</c:v>
                </c:pt>
                <c:pt idx="785">
                  <c:v>-843.57618371076205</c:v>
                </c:pt>
                <c:pt idx="786">
                  <c:v>-2521.0522536276112</c:v>
                </c:pt>
                <c:pt idx="787">
                  <c:v>-3258.1945844738148</c:v>
                </c:pt>
                <c:pt idx="788">
                  <c:v>1167.7211840030604</c:v>
                </c:pt>
                <c:pt idx="789">
                  <c:v>-55.733249300394164</c:v>
                </c:pt>
                <c:pt idx="790">
                  <c:v>-5744.5250464558121</c:v>
                </c:pt>
                <c:pt idx="791">
                  <c:v>-427.06297950347675</c:v>
                </c:pt>
                <c:pt idx="792">
                  <c:v>1701.4768990636162</c:v>
                </c:pt>
                <c:pt idx="793">
                  <c:v>-10905.530675714981</c:v>
                </c:pt>
                <c:pt idx="794">
                  <c:v>-1964.37101747628</c:v>
                </c:pt>
                <c:pt idx="795">
                  <c:v>-9532.5901467189396</c:v>
                </c:pt>
                <c:pt idx="796">
                  <c:v>-6545.823706449989</c:v>
                </c:pt>
                <c:pt idx="797">
                  <c:v>1244.5179746846911</c:v>
                </c:pt>
                <c:pt idx="798">
                  <c:v>-1657.642481014027</c:v>
                </c:pt>
                <c:pt idx="799">
                  <c:v>-10293.442743174386</c:v>
                </c:pt>
                <c:pt idx="800">
                  <c:v>-579.75977161296487</c:v>
                </c:pt>
                <c:pt idx="801">
                  <c:v>-1662.7477511504421</c:v>
                </c:pt>
                <c:pt idx="802">
                  <c:v>1140.2211253484143</c:v>
                </c:pt>
                <c:pt idx="803">
                  <c:v>8847.7607442160006</c:v>
                </c:pt>
                <c:pt idx="804">
                  <c:v>-544.17407972797901</c:v>
                </c:pt>
                <c:pt idx="805">
                  <c:v>-3295.7086444332908</c:v>
                </c:pt>
                <c:pt idx="806">
                  <c:v>16460.936663747671</c:v>
                </c:pt>
                <c:pt idx="807">
                  <c:v>-2431.2041200033591</c:v>
                </c:pt>
                <c:pt idx="808">
                  <c:v>-1107.6164353898009</c:v>
                </c:pt>
                <c:pt idx="809">
                  <c:v>176.18172996910016</c:v>
                </c:pt>
                <c:pt idx="810">
                  <c:v>-1676.9181131524365</c:v>
                </c:pt>
                <c:pt idx="811">
                  <c:v>-5286.0769483501281</c:v>
                </c:pt>
                <c:pt idx="812">
                  <c:v>1483.5052775660115</c:v>
                </c:pt>
                <c:pt idx="813">
                  <c:v>1118.3820068792393</c:v>
                </c:pt>
                <c:pt idx="814">
                  <c:v>-3623.8556166166554</c:v>
                </c:pt>
                <c:pt idx="815">
                  <c:v>-1301.7365018009123</c:v>
                </c:pt>
                <c:pt idx="816">
                  <c:v>960.2917684338363</c:v>
                </c:pt>
                <c:pt idx="817">
                  <c:v>-3591.3672824538894</c:v>
                </c:pt>
                <c:pt idx="818">
                  <c:v>-9308.1217271240021</c:v>
                </c:pt>
                <c:pt idx="819">
                  <c:v>23482.357547325199</c:v>
                </c:pt>
                <c:pt idx="820">
                  <c:v>-3374.4350429699534</c:v>
                </c:pt>
                <c:pt idx="821">
                  <c:v>2392.5171993972726</c:v>
                </c:pt>
                <c:pt idx="822">
                  <c:v>-935.87322420259989</c:v>
                </c:pt>
                <c:pt idx="823">
                  <c:v>-1564.7999941331</c:v>
                </c:pt>
                <c:pt idx="824">
                  <c:v>1327.9776212711076</c:v>
                </c:pt>
                <c:pt idx="825">
                  <c:v>479.56018253473849</c:v>
                </c:pt>
                <c:pt idx="826">
                  <c:v>6487.0024942615055</c:v>
                </c:pt>
                <c:pt idx="827">
                  <c:v>-9710.9728118883868</c:v>
                </c:pt>
                <c:pt idx="828">
                  <c:v>5989.8538055406461</c:v>
                </c:pt>
                <c:pt idx="829">
                  <c:v>658.17762468055298</c:v>
                </c:pt>
                <c:pt idx="830">
                  <c:v>-1401.2750176658064</c:v>
                </c:pt>
                <c:pt idx="831">
                  <c:v>-230.08753511899249</c:v>
                </c:pt>
                <c:pt idx="832">
                  <c:v>981.16844110042712</c:v>
                </c:pt>
                <c:pt idx="833">
                  <c:v>-2177.0376906791898</c:v>
                </c:pt>
                <c:pt idx="834">
                  <c:v>-3160.8718453376932</c:v>
                </c:pt>
                <c:pt idx="835">
                  <c:v>-4090.5792209742576</c:v>
                </c:pt>
                <c:pt idx="836">
                  <c:v>-2915.8990752002555</c:v>
                </c:pt>
                <c:pt idx="837">
                  <c:v>209.30265325609253</c:v>
                </c:pt>
                <c:pt idx="838">
                  <c:v>981.08022286759569</c:v>
                </c:pt>
                <c:pt idx="839">
                  <c:v>-578.21353337226174</c:v>
                </c:pt>
                <c:pt idx="840">
                  <c:v>-1795.3369041084316</c:v>
                </c:pt>
                <c:pt idx="841">
                  <c:v>1263.8547955218019</c:v>
                </c:pt>
                <c:pt idx="842">
                  <c:v>6884.5484473504512</c:v>
                </c:pt>
                <c:pt idx="843">
                  <c:v>-8466.529804351605</c:v>
                </c:pt>
                <c:pt idx="844">
                  <c:v>-1306.058039960888</c:v>
                </c:pt>
                <c:pt idx="845">
                  <c:v>7385.2765701565222</c:v>
                </c:pt>
                <c:pt idx="846">
                  <c:v>-2655.674788372693</c:v>
                </c:pt>
                <c:pt idx="847">
                  <c:v>-8078.0900810935445</c:v>
                </c:pt>
                <c:pt idx="848">
                  <c:v>358.33987179792075</c:v>
                </c:pt>
                <c:pt idx="849">
                  <c:v>-2026.0010530995642</c:v>
                </c:pt>
                <c:pt idx="850">
                  <c:v>6114.502781499541</c:v>
                </c:pt>
                <c:pt idx="851">
                  <c:v>-849.23551182376832</c:v>
                </c:pt>
                <c:pt idx="852">
                  <c:v>7106.5765520305795</c:v>
                </c:pt>
                <c:pt idx="853">
                  <c:v>1575.449541111444</c:v>
                </c:pt>
                <c:pt idx="854">
                  <c:v>-9331.3973743983915</c:v>
                </c:pt>
                <c:pt idx="855">
                  <c:v>-705.67829251625608</c:v>
                </c:pt>
                <c:pt idx="856">
                  <c:v>6232.2581322456026</c:v>
                </c:pt>
                <c:pt idx="857">
                  <c:v>-10103.156801642128</c:v>
                </c:pt>
                <c:pt idx="858">
                  <c:v>13027.920065813754</c:v>
                </c:pt>
                <c:pt idx="859">
                  <c:v>-673.23095947760703</c:v>
                </c:pt>
                <c:pt idx="860">
                  <c:v>8597.3173546186954</c:v>
                </c:pt>
                <c:pt idx="861">
                  <c:v>-976.76612655419467</c:v>
                </c:pt>
                <c:pt idx="862">
                  <c:v>-1549.5563503505309</c:v>
                </c:pt>
                <c:pt idx="863">
                  <c:v>1887.8739108856635</c:v>
                </c:pt>
                <c:pt idx="864">
                  <c:v>-440.11212782419716</c:v>
                </c:pt>
                <c:pt idx="865">
                  <c:v>-2181.2114910673854</c:v>
                </c:pt>
                <c:pt idx="866">
                  <c:v>-3398.9154657044701</c:v>
                </c:pt>
                <c:pt idx="867">
                  <c:v>-5556.9311593463444</c:v>
                </c:pt>
                <c:pt idx="868">
                  <c:v>1890.1578968301583</c:v>
                </c:pt>
                <c:pt idx="869">
                  <c:v>806.68765925291973</c:v>
                </c:pt>
                <c:pt idx="870">
                  <c:v>-3982.9087711789398</c:v>
                </c:pt>
                <c:pt idx="871">
                  <c:v>-1170.6342837032689</c:v>
                </c:pt>
                <c:pt idx="872">
                  <c:v>-761.24840431674147</c:v>
                </c:pt>
                <c:pt idx="873">
                  <c:v>-2296.9629780808737</c:v>
                </c:pt>
                <c:pt idx="874">
                  <c:v>1195.5704569371264</c:v>
                </c:pt>
                <c:pt idx="875">
                  <c:v>-188.11693830233071</c:v>
                </c:pt>
                <c:pt idx="876">
                  <c:v>16412.828486460628</c:v>
                </c:pt>
                <c:pt idx="877">
                  <c:v>-2882.6982524502564</c:v>
                </c:pt>
                <c:pt idx="878">
                  <c:v>-1929.6481397265861</c:v>
                </c:pt>
                <c:pt idx="879">
                  <c:v>-1567.3314079398333</c:v>
                </c:pt>
                <c:pt idx="880">
                  <c:v>-2747.791548588742</c:v>
                </c:pt>
                <c:pt idx="881">
                  <c:v>-318.06858768883194</c:v>
                </c:pt>
                <c:pt idx="882">
                  <c:v>2149.5995223630384</c:v>
                </c:pt>
                <c:pt idx="883">
                  <c:v>8051.0557364226843</c:v>
                </c:pt>
                <c:pt idx="884">
                  <c:v>48.680233902392501</c:v>
                </c:pt>
                <c:pt idx="885">
                  <c:v>-10024.783402138262</c:v>
                </c:pt>
                <c:pt idx="886">
                  <c:v>-8513.2595829791899</c:v>
                </c:pt>
                <c:pt idx="887">
                  <c:v>-1569.6161989952625</c:v>
                </c:pt>
                <c:pt idx="888">
                  <c:v>-4600.4531953049727</c:v>
                </c:pt>
                <c:pt idx="889">
                  <c:v>-1946.8848327353371</c:v>
                </c:pt>
                <c:pt idx="890">
                  <c:v>-7532.9907023535525</c:v>
                </c:pt>
                <c:pt idx="891">
                  <c:v>-1176.5732863941657</c:v>
                </c:pt>
                <c:pt idx="892">
                  <c:v>866.11411506299009</c:v>
                </c:pt>
                <c:pt idx="893">
                  <c:v>6895.1980299200368</c:v>
                </c:pt>
                <c:pt idx="894">
                  <c:v>-663.54372152265023</c:v>
                </c:pt>
                <c:pt idx="895">
                  <c:v>-4723.6292939743089</c:v>
                </c:pt>
                <c:pt idx="896">
                  <c:v>-10396.62068407383</c:v>
                </c:pt>
                <c:pt idx="897">
                  <c:v>726.77822376098129</c:v>
                </c:pt>
                <c:pt idx="898">
                  <c:v>-3861.685832142869</c:v>
                </c:pt>
                <c:pt idx="899">
                  <c:v>2074.4832039440894</c:v>
                </c:pt>
                <c:pt idx="900">
                  <c:v>910.51798403341127</c:v>
                </c:pt>
                <c:pt idx="901">
                  <c:v>8323.7984880914591</c:v>
                </c:pt>
                <c:pt idx="902">
                  <c:v>-135.81685750163069</c:v>
                </c:pt>
                <c:pt idx="903">
                  <c:v>-4266.29617569537</c:v>
                </c:pt>
                <c:pt idx="904">
                  <c:v>-2020.5963013571636</c:v>
                </c:pt>
                <c:pt idx="905">
                  <c:v>-432.07897389394293</c:v>
                </c:pt>
                <c:pt idx="906">
                  <c:v>-1920.282027947238</c:v>
                </c:pt>
                <c:pt idx="907">
                  <c:v>-2491.0650277755476</c:v>
                </c:pt>
                <c:pt idx="908">
                  <c:v>-3201.8733633393967</c:v>
                </c:pt>
                <c:pt idx="909">
                  <c:v>-10381.053212289989</c:v>
                </c:pt>
                <c:pt idx="910">
                  <c:v>-515.99241305762826</c:v>
                </c:pt>
                <c:pt idx="911">
                  <c:v>7170.4200880771459</c:v>
                </c:pt>
                <c:pt idx="912">
                  <c:v>1260.0273002161139</c:v>
                </c:pt>
                <c:pt idx="913">
                  <c:v>-940.03183802407693</c:v>
                </c:pt>
                <c:pt idx="914">
                  <c:v>-14.914761710675521</c:v>
                </c:pt>
                <c:pt idx="915">
                  <c:v>-2552.0138803106038</c:v>
                </c:pt>
                <c:pt idx="916">
                  <c:v>-9674.8120484160791</c:v>
                </c:pt>
                <c:pt idx="917">
                  <c:v>4388.7283342596493</c:v>
                </c:pt>
                <c:pt idx="918">
                  <c:v>339.66087091684676</c:v>
                </c:pt>
                <c:pt idx="919">
                  <c:v>-3160.775285115411</c:v>
                </c:pt>
                <c:pt idx="920">
                  <c:v>1520.9368526783692</c:v>
                </c:pt>
                <c:pt idx="921">
                  <c:v>-1106.8466506195728</c:v>
                </c:pt>
                <c:pt idx="922">
                  <c:v>-2658.1457039861853</c:v>
                </c:pt>
                <c:pt idx="923">
                  <c:v>-3870.8110637993741</c:v>
                </c:pt>
                <c:pt idx="924">
                  <c:v>-201.27698293068261</c:v>
                </c:pt>
                <c:pt idx="925">
                  <c:v>13261.973635349976</c:v>
                </c:pt>
                <c:pt idx="926">
                  <c:v>1638.8702813379703</c:v>
                </c:pt>
                <c:pt idx="927">
                  <c:v>2494.9579477062689</c:v>
                </c:pt>
                <c:pt idx="928">
                  <c:v>-3016.7966115531963</c:v>
                </c:pt>
                <c:pt idx="929">
                  <c:v>-3663.3443290975465</c:v>
                </c:pt>
                <c:pt idx="930">
                  <c:v>-7123.5012021459452</c:v>
                </c:pt>
                <c:pt idx="931">
                  <c:v>-2648.7363155783614</c:v>
                </c:pt>
                <c:pt idx="932">
                  <c:v>-332.61573003802005</c:v>
                </c:pt>
                <c:pt idx="933">
                  <c:v>-3513.6709719700666</c:v>
                </c:pt>
                <c:pt idx="934">
                  <c:v>-4388.4624451085638</c:v>
                </c:pt>
                <c:pt idx="935">
                  <c:v>272.56286756640657</c:v>
                </c:pt>
                <c:pt idx="936">
                  <c:v>22348.79776107999</c:v>
                </c:pt>
                <c:pt idx="937">
                  <c:v>848.07258074937999</c:v>
                </c:pt>
                <c:pt idx="938">
                  <c:v>392.40608876975443</c:v>
                </c:pt>
                <c:pt idx="939">
                  <c:v>-1563.7896660770566</c:v>
                </c:pt>
                <c:pt idx="940">
                  <c:v>1113.1810862998022</c:v>
                </c:pt>
                <c:pt idx="941">
                  <c:v>-6547.7743608243545</c:v>
                </c:pt>
                <c:pt idx="942">
                  <c:v>-3254.6511769297808</c:v>
                </c:pt>
                <c:pt idx="943">
                  <c:v>1555.0394206741746</c:v>
                </c:pt>
                <c:pt idx="944">
                  <c:v>-3752.5518917409318</c:v>
                </c:pt>
                <c:pt idx="945">
                  <c:v>-2658.455569570413</c:v>
                </c:pt>
                <c:pt idx="946">
                  <c:v>-4036.1007824912513</c:v>
                </c:pt>
                <c:pt idx="947">
                  <c:v>6317.4024682367708</c:v>
                </c:pt>
                <c:pt idx="948">
                  <c:v>-2427.5991254862956</c:v>
                </c:pt>
                <c:pt idx="949">
                  <c:v>-9200.9037621051539</c:v>
                </c:pt>
                <c:pt idx="950">
                  <c:v>3039.0745892668328</c:v>
                </c:pt>
                <c:pt idx="951">
                  <c:v>7849.5088453474164</c:v>
                </c:pt>
                <c:pt idx="952">
                  <c:v>-721.22425497039058</c:v>
                </c:pt>
                <c:pt idx="953">
                  <c:v>5277.6202127433062</c:v>
                </c:pt>
                <c:pt idx="954">
                  <c:v>-9898.1162306878432</c:v>
                </c:pt>
                <c:pt idx="955">
                  <c:v>-5198.2454627955885</c:v>
                </c:pt>
                <c:pt idx="956">
                  <c:v>5980.4906132808319</c:v>
                </c:pt>
                <c:pt idx="957">
                  <c:v>9428.366804600304</c:v>
                </c:pt>
                <c:pt idx="958">
                  <c:v>6512.6347580953079</c:v>
                </c:pt>
                <c:pt idx="959">
                  <c:v>15919.118768600581</c:v>
                </c:pt>
                <c:pt idx="960">
                  <c:v>-3289.9091001864667</c:v>
                </c:pt>
                <c:pt idx="961">
                  <c:v>-357.53366797697299</c:v>
                </c:pt>
                <c:pt idx="962">
                  <c:v>-1469.7462791781782</c:v>
                </c:pt>
                <c:pt idx="963">
                  <c:v>341.45256090904513</c:v>
                </c:pt>
                <c:pt idx="964">
                  <c:v>12381.820940463418</c:v>
                </c:pt>
                <c:pt idx="965">
                  <c:v>-1371.2947109143879</c:v>
                </c:pt>
                <c:pt idx="966">
                  <c:v>-9818.8825062124306</c:v>
                </c:pt>
                <c:pt idx="967">
                  <c:v>-361.84669295808635</c:v>
                </c:pt>
                <c:pt idx="968">
                  <c:v>734.72932701461377</c:v>
                </c:pt>
                <c:pt idx="969">
                  <c:v>-2769.9853309326609</c:v>
                </c:pt>
                <c:pt idx="970">
                  <c:v>-570.90603897305846</c:v>
                </c:pt>
                <c:pt idx="971">
                  <c:v>745.44347801968433</c:v>
                </c:pt>
                <c:pt idx="972">
                  <c:v>2445.235680430987</c:v>
                </c:pt>
                <c:pt idx="973">
                  <c:v>-4072.0150761551167</c:v>
                </c:pt>
                <c:pt idx="974">
                  <c:v>-3678.6727010342502</c:v>
                </c:pt>
                <c:pt idx="975">
                  <c:v>-10416.292048454654</c:v>
                </c:pt>
                <c:pt idx="976">
                  <c:v>-5392.1802977410152</c:v>
                </c:pt>
                <c:pt idx="977">
                  <c:v>-1553.8820207656699</c:v>
                </c:pt>
                <c:pt idx="978">
                  <c:v>-4088.7442549470288</c:v>
                </c:pt>
                <c:pt idx="979">
                  <c:v>-1920.5700587111405</c:v>
                </c:pt>
                <c:pt idx="980">
                  <c:v>15028.170550468438</c:v>
                </c:pt>
                <c:pt idx="981">
                  <c:v>956.65159322773434</c:v>
                </c:pt>
                <c:pt idx="982">
                  <c:v>-10258.479475290678</c:v>
                </c:pt>
                <c:pt idx="983">
                  <c:v>11618.307851812628</c:v>
                </c:pt>
                <c:pt idx="984">
                  <c:v>-199.22754270859696</c:v>
                </c:pt>
                <c:pt idx="985">
                  <c:v>-395.24745319401518</c:v>
                </c:pt>
                <c:pt idx="986">
                  <c:v>-1687.7745802151367</c:v>
                </c:pt>
                <c:pt idx="987">
                  <c:v>19468.646001233588</c:v>
                </c:pt>
                <c:pt idx="988">
                  <c:v>-3305.4850645603919</c:v>
                </c:pt>
                <c:pt idx="989">
                  <c:v>-9929.5186300549922</c:v>
                </c:pt>
                <c:pt idx="990">
                  <c:v>1931.4320957996665</c:v>
                </c:pt>
                <c:pt idx="991">
                  <c:v>-456.38772953956959</c:v>
                </c:pt>
                <c:pt idx="992">
                  <c:v>-1788.7909492010058</c:v>
                </c:pt>
                <c:pt idx="993">
                  <c:v>-1783.2860742296734</c:v>
                </c:pt>
                <c:pt idx="994">
                  <c:v>-10122.090882333956</c:v>
                </c:pt>
                <c:pt idx="995">
                  <c:v>1121.5154445401795</c:v>
                </c:pt>
                <c:pt idx="996">
                  <c:v>-2930.4791912159462</c:v>
                </c:pt>
                <c:pt idx="997">
                  <c:v>-2114.0052783203519</c:v>
                </c:pt>
                <c:pt idx="998">
                  <c:v>-2955.0086194560654</c:v>
                </c:pt>
                <c:pt idx="999">
                  <c:v>-564.96965108806216</c:v>
                </c:pt>
                <c:pt idx="1000">
                  <c:v>-10428.717970146568</c:v>
                </c:pt>
                <c:pt idx="1001">
                  <c:v>6051.2814833390366</c:v>
                </c:pt>
                <c:pt idx="1002">
                  <c:v>-416.43499104107354</c:v>
                </c:pt>
                <c:pt idx="1003">
                  <c:v>11431.373802233777</c:v>
                </c:pt>
                <c:pt idx="1004">
                  <c:v>1961.5528975953321</c:v>
                </c:pt>
                <c:pt idx="1005">
                  <c:v>-2100.8282776328888</c:v>
                </c:pt>
                <c:pt idx="1006">
                  <c:v>-1043.1301052847393</c:v>
                </c:pt>
                <c:pt idx="1007">
                  <c:v>-9413.8807901537766</c:v>
                </c:pt>
                <c:pt idx="1008">
                  <c:v>19909.544263852513</c:v>
                </c:pt>
                <c:pt idx="1009">
                  <c:v>-491.49412601845688</c:v>
                </c:pt>
                <c:pt idx="1010">
                  <c:v>656.82504155402057</c:v>
                </c:pt>
                <c:pt idx="1011">
                  <c:v>-11454.29495331533</c:v>
                </c:pt>
                <c:pt idx="1012">
                  <c:v>20332.915112158134</c:v>
                </c:pt>
                <c:pt idx="1013">
                  <c:v>-2378.0606009833209</c:v>
                </c:pt>
                <c:pt idx="1014">
                  <c:v>-1195.0746187802397</c:v>
                </c:pt>
                <c:pt idx="1015">
                  <c:v>820.30412936247922</c:v>
                </c:pt>
                <c:pt idx="1016">
                  <c:v>1520.2166564601321</c:v>
                </c:pt>
                <c:pt idx="1017">
                  <c:v>-2567.7144206596172</c:v>
                </c:pt>
                <c:pt idx="1018">
                  <c:v>-2273.4281570439616</c:v>
                </c:pt>
                <c:pt idx="1019">
                  <c:v>21241.771748310806</c:v>
                </c:pt>
                <c:pt idx="1020">
                  <c:v>-4157.4644007822626</c:v>
                </c:pt>
                <c:pt idx="1021">
                  <c:v>6809.932708135515</c:v>
                </c:pt>
                <c:pt idx="1022">
                  <c:v>6297.6799575917321</c:v>
                </c:pt>
                <c:pt idx="1023">
                  <c:v>1193.4280164414458</c:v>
                </c:pt>
                <c:pt idx="1024">
                  <c:v>-6506.1035586455509</c:v>
                </c:pt>
                <c:pt idx="1025">
                  <c:v>-2427.9518140526761</c:v>
                </c:pt>
                <c:pt idx="1026">
                  <c:v>-9008.1707386041162</c:v>
                </c:pt>
                <c:pt idx="1027">
                  <c:v>21744.164005419276</c:v>
                </c:pt>
                <c:pt idx="1028">
                  <c:v>-2141.1763474307827</c:v>
                </c:pt>
                <c:pt idx="1029">
                  <c:v>2928.5023207513723</c:v>
                </c:pt>
                <c:pt idx="1030">
                  <c:v>-9979.3216547758457</c:v>
                </c:pt>
                <c:pt idx="1031">
                  <c:v>7204.2802489949681</c:v>
                </c:pt>
                <c:pt idx="1032">
                  <c:v>-484.50282307499037</c:v>
                </c:pt>
                <c:pt idx="1033">
                  <c:v>-9542.7747020419265</c:v>
                </c:pt>
                <c:pt idx="1034">
                  <c:v>-3028.6362100066963</c:v>
                </c:pt>
                <c:pt idx="1035">
                  <c:v>1450.2847703661737</c:v>
                </c:pt>
                <c:pt idx="1036">
                  <c:v>7225.0935364920042</c:v>
                </c:pt>
                <c:pt idx="1037">
                  <c:v>6125.2988571206079</c:v>
                </c:pt>
                <c:pt idx="1038">
                  <c:v>-614.15309713129545</c:v>
                </c:pt>
                <c:pt idx="1039">
                  <c:v>19975.005209356685</c:v>
                </c:pt>
                <c:pt idx="1040">
                  <c:v>-9518.3939890122056</c:v>
                </c:pt>
                <c:pt idx="1041">
                  <c:v>1736.2388116549544</c:v>
                </c:pt>
                <c:pt idx="1042">
                  <c:v>6734.1862893855032</c:v>
                </c:pt>
                <c:pt idx="1043">
                  <c:v>-259.32902036249698</c:v>
                </c:pt>
                <c:pt idx="1044">
                  <c:v>-2502.0429336631823</c:v>
                </c:pt>
                <c:pt idx="1045">
                  <c:v>-9812.0735642996733</c:v>
                </c:pt>
                <c:pt idx="1046">
                  <c:v>268.25557972783827</c:v>
                </c:pt>
                <c:pt idx="1047">
                  <c:v>9723.6294939706204</c:v>
                </c:pt>
                <c:pt idx="1048">
                  <c:v>1530.71584441613</c:v>
                </c:pt>
                <c:pt idx="1049">
                  <c:v>5439.1493251943248</c:v>
                </c:pt>
                <c:pt idx="1050">
                  <c:v>-3586.994451887741</c:v>
                </c:pt>
                <c:pt idx="1051">
                  <c:v>1494.8632600115488</c:v>
                </c:pt>
                <c:pt idx="1052">
                  <c:v>-1318.1594432958809</c:v>
                </c:pt>
                <c:pt idx="1053">
                  <c:v>-9529.7470636571015</c:v>
                </c:pt>
                <c:pt idx="1054">
                  <c:v>1584.1533612703106</c:v>
                </c:pt>
                <c:pt idx="1055">
                  <c:v>-382.03395652414474</c:v>
                </c:pt>
                <c:pt idx="1056">
                  <c:v>-1297.9895157773753</c:v>
                </c:pt>
                <c:pt idx="1057">
                  <c:v>8197.1888520025896</c:v>
                </c:pt>
                <c:pt idx="1058">
                  <c:v>-4314.5515959372733</c:v>
                </c:pt>
                <c:pt idx="1059">
                  <c:v>-3044.2098160162677</c:v>
                </c:pt>
                <c:pt idx="1060">
                  <c:v>-2406.5003026850018</c:v>
                </c:pt>
                <c:pt idx="1061">
                  <c:v>-506.45945056883829</c:v>
                </c:pt>
                <c:pt idx="1062">
                  <c:v>8334.0271712509202</c:v>
                </c:pt>
                <c:pt idx="1063">
                  <c:v>-1255.465696584004</c:v>
                </c:pt>
                <c:pt idx="1064">
                  <c:v>200.59549069209606</c:v>
                </c:pt>
                <c:pt idx="1065">
                  <c:v>-297.75373711269822</c:v>
                </c:pt>
                <c:pt idx="1066">
                  <c:v>-4244.6653167067943</c:v>
                </c:pt>
                <c:pt idx="1067">
                  <c:v>-5924.51959588505</c:v>
                </c:pt>
                <c:pt idx="1068">
                  <c:v>2763.3011152918425</c:v>
                </c:pt>
                <c:pt idx="1069">
                  <c:v>-1632.8170838289698</c:v>
                </c:pt>
                <c:pt idx="1070">
                  <c:v>6218.1082420824823</c:v>
                </c:pt>
                <c:pt idx="1071">
                  <c:v>-287.91134596359916</c:v>
                </c:pt>
                <c:pt idx="1072">
                  <c:v>-1462.0084715488201</c:v>
                </c:pt>
                <c:pt idx="1073">
                  <c:v>33.474037205669447</c:v>
                </c:pt>
                <c:pt idx="1074">
                  <c:v>3934.9390672757654</c:v>
                </c:pt>
                <c:pt idx="1075">
                  <c:v>-1582.6580819979381</c:v>
                </c:pt>
                <c:pt idx="1076">
                  <c:v>-2237.5576728006017</c:v>
                </c:pt>
                <c:pt idx="1077">
                  <c:v>412.40240829651566</c:v>
                </c:pt>
                <c:pt idx="1078">
                  <c:v>5547.4780849156487</c:v>
                </c:pt>
                <c:pt idx="1079">
                  <c:v>-1234.2403498943531</c:v>
                </c:pt>
                <c:pt idx="1080">
                  <c:v>11388.598661271089</c:v>
                </c:pt>
                <c:pt idx="1081">
                  <c:v>-1126.2483700116099</c:v>
                </c:pt>
                <c:pt idx="1082">
                  <c:v>1265.9527974092143</c:v>
                </c:pt>
                <c:pt idx="1083">
                  <c:v>-2683.7393614246544</c:v>
                </c:pt>
                <c:pt idx="1084">
                  <c:v>373.99676297426231</c:v>
                </c:pt>
                <c:pt idx="1085">
                  <c:v>-10998.893503431962</c:v>
                </c:pt>
                <c:pt idx="1086">
                  <c:v>-608.24772230295639</c:v>
                </c:pt>
                <c:pt idx="1087">
                  <c:v>-1392.6181852513782</c:v>
                </c:pt>
                <c:pt idx="1088">
                  <c:v>-7395.1826901730674</c:v>
                </c:pt>
                <c:pt idx="1089">
                  <c:v>1127.3679649000223</c:v>
                </c:pt>
                <c:pt idx="1090">
                  <c:v>6200.7215188250266</c:v>
                </c:pt>
                <c:pt idx="1091">
                  <c:v>-393.24217173219404</c:v>
                </c:pt>
                <c:pt idx="1092">
                  <c:v>-2181.3371099525534</c:v>
                </c:pt>
                <c:pt idx="1093">
                  <c:v>6741.9457245345402</c:v>
                </c:pt>
                <c:pt idx="1094">
                  <c:v>-2230.7645262592014</c:v>
                </c:pt>
                <c:pt idx="1095">
                  <c:v>38.616004989038629</c:v>
                </c:pt>
                <c:pt idx="1096">
                  <c:v>7583.3123839066393</c:v>
                </c:pt>
                <c:pt idx="1097">
                  <c:v>-2764.2093570248253</c:v>
                </c:pt>
                <c:pt idx="1098">
                  <c:v>11802.999134289808</c:v>
                </c:pt>
                <c:pt idx="1099">
                  <c:v>-2529.5787031867826</c:v>
                </c:pt>
                <c:pt idx="1100">
                  <c:v>-10534.117378071118</c:v>
                </c:pt>
                <c:pt idx="1101">
                  <c:v>-935.29057821426068</c:v>
                </c:pt>
                <c:pt idx="1102">
                  <c:v>-4909.8526765722081</c:v>
                </c:pt>
                <c:pt idx="1103">
                  <c:v>-3101.6174614808388</c:v>
                </c:pt>
                <c:pt idx="1104">
                  <c:v>13391.770402299449</c:v>
                </c:pt>
                <c:pt idx="1105">
                  <c:v>-1536.8102424079461</c:v>
                </c:pt>
                <c:pt idx="1106">
                  <c:v>-1175.1009110199739</c:v>
                </c:pt>
                <c:pt idx="1107">
                  <c:v>318.291398084717</c:v>
                </c:pt>
                <c:pt idx="1108">
                  <c:v>-1826.2742131806995</c:v>
                </c:pt>
                <c:pt idx="1109">
                  <c:v>1134.7200538685902</c:v>
                </c:pt>
                <c:pt idx="1110">
                  <c:v>-1178.001644965454</c:v>
                </c:pt>
                <c:pt idx="1111">
                  <c:v>6665.9500519100911</c:v>
                </c:pt>
                <c:pt idx="1112">
                  <c:v>-9644.8390297646692</c:v>
                </c:pt>
                <c:pt idx="1113">
                  <c:v>305.12636053680853</c:v>
                </c:pt>
                <c:pt idx="1114">
                  <c:v>679.7487259544464</c:v>
                </c:pt>
                <c:pt idx="1115">
                  <c:v>-2259.8548713470609</c:v>
                </c:pt>
                <c:pt idx="1116">
                  <c:v>-1153.8449802964988</c:v>
                </c:pt>
                <c:pt idx="1117">
                  <c:v>6295.3936611270728</c:v>
                </c:pt>
                <c:pt idx="1118">
                  <c:v>6085.3953231543092</c:v>
                </c:pt>
                <c:pt idx="1119">
                  <c:v>2219.2722249604158</c:v>
                </c:pt>
                <c:pt idx="1120">
                  <c:v>6420.9698143629721</c:v>
                </c:pt>
                <c:pt idx="1121">
                  <c:v>-4643.2163365463475</c:v>
                </c:pt>
                <c:pt idx="1122">
                  <c:v>8002.8383883017959</c:v>
                </c:pt>
                <c:pt idx="1123">
                  <c:v>13144.445569684238</c:v>
                </c:pt>
                <c:pt idx="1124">
                  <c:v>9032.3805765693905</c:v>
                </c:pt>
                <c:pt idx="1125">
                  <c:v>2040.825433120719</c:v>
                </c:pt>
                <c:pt idx="1126">
                  <c:v>-1487.6744699310784</c:v>
                </c:pt>
                <c:pt idx="1127">
                  <c:v>-3574.0389153492315</c:v>
                </c:pt>
                <c:pt idx="1128">
                  <c:v>6664.0222002210585</c:v>
                </c:pt>
                <c:pt idx="1129">
                  <c:v>2946.0896460674367</c:v>
                </c:pt>
                <c:pt idx="1130">
                  <c:v>578.83632875800959</c:v>
                </c:pt>
                <c:pt idx="1131">
                  <c:v>-6885.7233412321566</c:v>
                </c:pt>
                <c:pt idx="1132">
                  <c:v>5150.1932539164245</c:v>
                </c:pt>
                <c:pt idx="1133">
                  <c:v>2784.487125918612</c:v>
                </c:pt>
                <c:pt idx="1134">
                  <c:v>13671.304428850977</c:v>
                </c:pt>
                <c:pt idx="1135">
                  <c:v>-175.08758285941258</c:v>
                </c:pt>
                <c:pt idx="1136">
                  <c:v>-138.87833092104484</c:v>
                </c:pt>
                <c:pt idx="1137">
                  <c:v>1420.213202441344</c:v>
                </c:pt>
                <c:pt idx="1138">
                  <c:v>-2437.9147996576735</c:v>
                </c:pt>
                <c:pt idx="1139">
                  <c:v>9834.0099145874701</c:v>
                </c:pt>
                <c:pt idx="1140">
                  <c:v>-4146.2125071966166</c:v>
                </c:pt>
                <c:pt idx="1141">
                  <c:v>-2427.4061016148389</c:v>
                </c:pt>
                <c:pt idx="1142">
                  <c:v>17811.3629223797</c:v>
                </c:pt>
                <c:pt idx="1143">
                  <c:v>-2970.96480666959</c:v>
                </c:pt>
                <c:pt idx="1144">
                  <c:v>-2502.1139311898532</c:v>
                </c:pt>
                <c:pt idx="1145">
                  <c:v>-1985.4824777459653</c:v>
                </c:pt>
                <c:pt idx="1146">
                  <c:v>14854.502479162104</c:v>
                </c:pt>
                <c:pt idx="1147">
                  <c:v>-1066.1487471078699</c:v>
                </c:pt>
                <c:pt idx="1148">
                  <c:v>1319.6989983892818</c:v>
                </c:pt>
                <c:pt idx="1149">
                  <c:v>-3722.3117665695445</c:v>
                </c:pt>
                <c:pt idx="1150">
                  <c:v>-88.492516858600538</c:v>
                </c:pt>
                <c:pt idx="1151">
                  <c:v>-2357.802022617323</c:v>
                </c:pt>
                <c:pt idx="1152">
                  <c:v>6245.1374938225708</c:v>
                </c:pt>
                <c:pt idx="1153">
                  <c:v>-3292.1158866755541</c:v>
                </c:pt>
                <c:pt idx="1154">
                  <c:v>-142.15121720469324</c:v>
                </c:pt>
                <c:pt idx="1155">
                  <c:v>1503.7149657702294</c:v>
                </c:pt>
                <c:pt idx="1156">
                  <c:v>8670.2841333848482</c:v>
                </c:pt>
                <c:pt idx="1157">
                  <c:v>12190.784360641614</c:v>
                </c:pt>
                <c:pt idx="1158">
                  <c:v>-439.93508132905708</c:v>
                </c:pt>
                <c:pt idx="1159">
                  <c:v>-5386.6665131544723</c:v>
                </c:pt>
                <c:pt idx="1160">
                  <c:v>-2860.6300628095041</c:v>
                </c:pt>
                <c:pt idx="1161">
                  <c:v>-6046.5294038332786</c:v>
                </c:pt>
                <c:pt idx="1162">
                  <c:v>10359.463770409971</c:v>
                </c:pt>
                <c:pt idx="1163">
                  <c:v>581.27171507953472</c:v>
                </c:pt>
                <c:pt idx="1164">
                  <c:v>-900.6220523343909</c:v>
                </c:pt>
                <c:pt idx="1165">
                  <c:v>-102.34247759838308</c:v>
                </c:pt>
                <c:pt idx="1166">
                  <c:v>-4605.2923723392832</c:v>
                </c:pt>
                <c:pt idx="1167">
                  <c:v>290.06152462495538</c:v>
                </c:pt>
                <c:pt idx="1168">
                  <c:v>-3753.9488674829654</c:v>
                </c:pt>
                <c:pt idx="1169">
                  <c:v>-2775.5538024777916</c:v>
                </c:pt>
                <c:pt idx="1170">
                  <c:v>-8450.5958970525753</c:v>
                </c:pt>
                <c:pt idx="1171">
                  <c:v>-9857.9963699820983</c:v>
                </c:pt>
                <c:pt idx="1172">
                  <c:v>-4731.972425384396</c:v>
                </c:pt>
                <c:pt idx="1173">
                  <c:v>-1602.0451785882988</c:v>
                </c:pt>
                <c:pt idx="1174">
                  <c:v>-2222.6036107125501</c:v>
                </c:pt>
                <c:pt idx="1175">
                  <c:v>-137.73180007393785</c:v>
                </c:pt>
                <c:pt idx="1176">
                  <c:v>-9468.918815107565</c:v>
                </c:pt>
                <c:pt idx="1177">
                  <c:v>-1006.5556684185294</c:v>
                </c:pt>
                <c:pt idx="1178">
                  <c:v>-2149.6290504663089</c:v>
                </c:pt>
                <c:pt idx="1179">
                  <c:v>-9945.9866137623467</c:v>
                </c:pt>
                <c:pt idx="1180">
                  <c:v>-4850.1476676431294</c:v>
                </c:pt>
                <c:pt idx="1181">
                  <c:v>-866.33822776107536</c:v>
                </c:pt>
                <c:pt idx="1182">
                  <c:v>-1462.5738111568853</c:v>
                </c:pt>
                <c:pt idx="1183">
                  <c:v>-105.9812709477319</c:v>
                </c:pt>
                <c:pt idx="1184">
                  <c:v>-8953.9798189149224</c:v>
                </c:pt>
                <c:pt idx="1185">
                  <c:v>573.54126629411985</c:v>
                </c:pt>
                <c:pt idx="1186">
                  <c:v>7713.260012712446</c:v>
                </c:pt>
                <c:pt idx="1187">
                  <c:v>-557.20672114213994</c:v>
                </c:pt>
                <c:pt idx="1188">
                  <c:v>-9631.5042483733378</c:v>
                </c:pt>
                <c:pt idx="1189">
                  <c:v>10287.068830038615</c:v>
                </c:pt>
                <c:pt idx="1190">
                  <c:v>-2058.8495082626687</c:v>
                </c:pt>
                <c:pt idx="1191">
                  <c:v>7781.0317932897569</c:v>
                </c:pt>
                <c:pt idx="1192">
                  <c:v>-733.21955755679664</c:v>
                </c:pt>
                <c:pt idx="1193">
                  <c:v>-3374.5308325836832</c:v>
                </c:pt>
                <c:pt idx="1194">
                  <c:v>1241.6397821391402</c:v>
                </c:pt>
                <c:pt idx="1195">
                  <c:v>15632.515810921454</c:v>
                </c:pt>
                <c:pt idx="1196">
                  <c:v>7037.8005796052639</c:v>
                </c:pt>
                <c:pt idx="1197">
                  <c:v>-3567.3374876765211</c:v>
                </c:pt>
                <c:pt idx="1198">
                  <c:v>-1739.0577609731017</c:v>
                </c:pt>
                <c:pt idx="1199">
                  <c:v>-206.63117344521197</c:v>
                </c:pt>
                <c:pt idx="1200">
                  <c:v>-13.34134122235173</c:v>
                </c:pt>
                <c:pt idx="1201">
                  <c:v>-4966.8337798112225</c:v>
                </c:pt>
                <c:pt idx="1202">
                  <c:v>-1849.2434283084117</c:v>
                </c:pt>
                <c:pt idx="1203">
                  <c:v>-1952.7981229743873</c:v>
                </c:pt>
                <c:pt idx="1204">
                  <c:v>-8327.0836159169266</c:v>
                </c:pt>
                <c:pt idx="1205">
                  <c:v>1972.7686513384156</c:v>
                </c:pt>
                <c:pt idx="1206">
                  <c:v>21652.822995733914</c:v>
                </c:pt>
                <c:pt idx="1207">
                  <c:v>5727.4197822942733</c:v>
                </c:pt>
                <c:pt idx="1208">
                  <c:v>-9650.6137542009492</c:v>
                </c:pt>
                <c:pt idx="1209">
                  <c:v>-3177.3689152550578</c:v>
                </c:pt>
                <c:pt idx="1210">
                  <c:v>-2217.1130639703215</c:v>
                </c:pt>
                <c:pt idx="1211">
                  <c:v>13687.517324329876</c:v>
                </c:pt>
                <c:pt idx="1212">
                  <c:v>2253.7839272435135</c:v>
                </c:pt>
                <c:pt idx="1213">
                  <c:v>-2163.2223486917774</c:v>
                </c:pt>
                <c:pt idx="1214">
                  <c:v>-1436.0638310767781</c:v>
                </c:pt>
                <c:pt idx="1215">
                  <c:v>7754.2719390392867</c:v>
                </c:pt>
                <c:pt idx="1216">
                  <c:v>-867.58289828109446</c:v>
                </c:pt>
                <c:pt idx="1217">
                  <c:v>-4265.5936774300308</c:v>
                </c:pt>
                <c:pt idx="1218">
                  <c:v>6482.3333411270796</c:v>
                </c:pt>
                <c:pt idx="1219">
                  <c:v>-1301.9858268332737</c:v>
                </c:pt>
                <c:pt idx="1220">
                  <c:v>1548.9564073838424</c:v>
                </c:pt>
                <c:pt idx="1221">
                  <c:v>-601.3367750602074</c:v>
                </c:pt>
                <c:pt idx="1222">
                  <c:v>-489.87948020972362</c:v>
                </c:pt>
                <c:pt idx="1223">
                  <c:v>1400.442928185701</c:v>
                </c:pt>
                <c:pt idx="1224">
                  <c:v>210.79427808170749</c:v>
                </c:pt>
                <c:pt idx="1225">
                  <c:v>-4900.2327403939007</c:v>
                </c:pt>
                <c:pt idx="1226">
                  <c:v>2586.0969297705906</c:v>
                </c:pt>
                <c:pt idx="1227">
                  <c:v>-4478.3375184121242</c:v>
                </c:pt>
                <c:pt idx="1228">
                  <c:v>-2823.9211321321272</c:v>
                </c:pt>
                <c:pt idx="1229">
                  <c:v>-667.95281007283847</c:v>
                </c:pt>
                <c:pt idx="1230">
                  <c:v>22385.041577380034</c:v>
                </c:pt>
                <c:pt idx="1231">
                  <c:v>-3714.6451963703221</c:v>
                </c:pt>
                <c:pt idx="1232">
                  <c:v>1318.944268806028</c:v>
                </c:pt>
                <c:pt idx="1233">
                  <c:v>993.87926682985562</c:v>
                </c:pt>
                <c:pt idx="1234">
                  <c:v>-888.82892383785475</c:v>
                </c:pt>
                <c:pt idx="1235">
                  <c:v>-1900.0632416607696</c:v>
                </c:pt>
                <c:pt idx="1236">
                  <c:v>3336.8034308376664</c:v>
                </c:pt>
                <c:pt idx="1237">
                  <c:v>290.81142186529723</c:v>
                </c:pt>
                <c:pt idx="1238">
                  <c:v>819.70155882038307</c:v>
                </c:pt>
                <c:pt idx="1239">
                  <c:v>-5138.1345223142525</c:v>
                </c:pt>
                <c:pt idx="1240">
                  <c:v>7752.6558811423893</c:v>
                </c:pt>
                <c:pt idx="1241">
                  <c:v>8524.0309829295875</c:v>
                </c:pt>
                <c:pt idx="1242">
                  <c:v>2456.8466178244498</c:v>
                </c:pt>
                <c:pt idx="1243">
                  <c:v>-2601.9018751317594</c:v>
                </c:pt>
                <c:pt idx="1244">
                  <c:v>-2129.8883104532679</c:v>
                </c:pt>
                <c:pt idx="1245">
                  <c:v>309.85150617020463</c:v>
                </c:pt>
                <c:pt idx="1246">
                  <c:v>-90.748451331895922</c:v>
                </c:pt>
                <c:pt idx="1247">
                  <c:v>-1703.5318694259358</c:v>
                </c:pt>
                <c:pt idx="1248">
                  <c:v>-3720.682814892737</c:v>
                </c:pt>
                <c:pt idx="1249">
                  <c:v>6350.3480045080396</c:v>
                </c:pt>
                <c:pt idx="1250">
                  <c:v>-8849.4242905066822</c:v>
                </c:pt>
                <c:pt idx="1251">
                  <c:v>2072.5359626579816</c:v>
                </c:pt>
                <c:pt idx="1252">
                  <c:v>-9419.3169119969916</c:v>
                </c:pt>
                <c:pt idx="1253">
                  <c:v>6293.3554195456945</c:v>
                </c:pt>
                <c:pt idx="1254">
                  <c:v>-1170.6759577997591</c:v>
                </c:pt>
                <c:pt idx="1255">
                  <c:v>-4451.0650973661513</c:v>
                </c:pt>
                <c:pt idx="1256">
                  <c:v>-2741.8875346723871</c:v>
                </c:pt>
                <c:pt idx="1257">
                  <c:v>113.74623526038886</c:v>
                </c:pt>
                <c:pt idx="1258">
                  <c:v>14425.494470227375</c:v>
                </c:pt>
                <c:pt idx="1259">
                  <c:v>1431.8516791529364</c:v>
                </c:pt>
                <c:pt idx="1260">
                  <c:v>1791.4291573176815</c:v>
                </c:pt>
                <c:pt idx="1261">
                  <c:v>-4254.0451880140226</c:v>
                </c:pt>
                <c:pt idx="1262">
                  <c:v>-1200.3020875956754</c:v>
                </c:pt>
                <c:pt idx="1263">
                  <c:v>-1743.8706975126315</c:v>
                </c:pt>
                <c:pt idx="1264">
                  <c:v>-1840.0835398285653</c:v>
                </c:pt>
                <c:pt idx="1265">
                  <c:v>-8931.6738684747615</c:v>
                </c:pt>
                <c:pt idx="1266">
                  <c:v>-1190.9513116358066</c:v>
                </c:pt>
                <c:pt idx="1267">
                  <c:v>6358.720926984417</c:v>
                </c:pt>
                <c:pt idx="1268">
                  <c:v>-1891.385483028741</c:v>
                </c:pt>
                <c:pt idx="1269">
                  <c:v>-1156.5789764460806</c:v>
                </c:pt>
                <c:pt idx="1270">
                  <c:v>-2697.8806553040463</c:v>
                </c:pt>
                <c:pt idx="1271">
                  <c:v>-2420.7047320473598</c:v>
                </c:pt>
                <c:pt idx="1272">
                  <c:v>4912.4113847485896</c:v>
                </c:pt>
                <c:pt idx="1273">
                  <c:v>-1534.7300263634061</c:v>
                </c:pt>
                <c:pt idx="1274">
                  <c:v>-10078.675219297234</c:v>
                </c:pt>
                <c:pt idx="1275">
                  <c:v>736.79921302372713</c:v>
                </c:pt>
                <c:pt idx="1276">
                  <c:v>-612.25442944993802</c:v>
                </c:pt>
                <c:pt idx="1277">
                  <c:v>-1361.6227198640909</c:v>
                </c:pt>
                <c:pt idx="1278">
                  <c:v>-9407.6229992777626</c:v>
                </c:pt>
                <c:pt idx="1279">
                  <c:v>276.24108172412434</c:v>
                </c:pt>
                <c:pt idx="1280">
                  <c:v>-2717.6335303639462</c:v>
                </c:pt>
                <c:pt idx="1281">
                  <c:v>-9136.4453749884669</c:v>
                </c:pt>
                <c:pt idx="1282">
                  <c:v>-9037.7635853118409</c:v>
                </c:pt>
                <c:pt idx="1283">
                  <c:v>-956.86799662308954</c:v>
                </c:pt>
                <c:pt idx="1284">
                  <c:v>7809.7213463416774</c:v>
                </c:pt>
                <c:pt idx="1285">
                  <c:v>691.08821656573491</c:v>
                </c:pt>
                <c:pt idx="1286">
                  <c:v>3050.7975178162224</c:v>
                </c:pt>
                <c:pt idx="1287">
                  <c:v>-516.81753483528882</c:v>
                </c:pt>
                <c:pt idx="1288">
                  <c:v>7850.9954825326895</c:v>
                </c:pt>
                <c:pt idx="1289">
                  <c:v>-3614.5786054011478</c:v>
                </c:pt>
                <c:pt idx="1290">
                  <c:v>2070.4504818633905</c:v>
                </c:pt>
                <c:pt idx="1291">
                  <c:v>6988.2689337401534</c:v>
                </c:pt>
                <c:pt idx="1292">
                  <c:v>733.10356430873435</c:v>
                </c:pt>
                <c:pt idx="1293">
                  <c:v>-162.98567179010752</c:v>
                </c:pt>
                <c:pt idx="1294">
                  <c:v>976.01408650258418</c:v>
                </c:pt>
                <c:pt idx="1295">
                  <c:v>1356.3260535311356</c:v>
                </c:pt>
                <c:pt idx="1296">
                  <c:v>762.03614701766764</c:v>
                </c:pt>
                <c:pt idx="1297">
                  <c:v>-255.86124747140639</c:v>
                </c:pt>
                <c:pt idx="1298">
                  <c:v>-928.22985980812973</c:v>
                </c:pt>
                <c:pt idx="1299">
                  <c:v>1154.8906572211495</c:v>
                </c:pt>
                <c:pt idx="1300">
                  <c:v>29509.606212049999</c:v>
                </c:pt>
                <c:pt idx="1301">
                  <c:v>7665.1942683332527</c:v>
                </c:pt>
                <c:pt idx="1302">
                  <c:v>1697.3072002888093</c:v>
                </c:pt>
                <c:pt idx="1303">
                  <c:v>6086.0959179842102</c:v>
                </c:pt>
                <c:pt idx="1304">
                  <c:v>-10145.090173699406</c:v>
                </c:pt>
                <c:pt idx="1305">
                  <c:v>-542.7208844962006</c:v>
                </c:pt>
                <c:pt idx="1306">
                  <c:v>-10103.414832485591</c:v>
                </c:pt>
                <c:pt idx="1307">
                  <c:v>-9431.8066124743491</c:v>
                </c:pt>
                <c:pt idx="1308">
                  <c:v>6025.8724831117142</c:v>
                </c:pt>
                <c:pt idx="1309">
                  <c:v>-2903.7192249325317</c:v>
                </c:pt>
                <c:pt idx="1310">
                  <c:v>-729.02211099652777</c:v>
                </c:pt>
                <c:pt idx="1311">
                  <c:v>-426.67456255716297</c:v>
                </c:pt>
                <c:pt idx="1312">
                  <c:v>-6408.7823684751893</c:v>
                </c:pt>
                <c:pt idx="1313">
                  <c:v>7674.5565832167449</c:v>
                </c:pt>
                <c:pt idx="1314">
                  <c:v>-9712.1421685817986</c:v>
                </c:pt>
                <c:pt idx="1315">
                  <c:v>9148.6941162637941</c:v>
                </c:pt>
                <c:pt idx="1316">
                  <c:v>2305.1668403850108</c:v>
                </c:pt>
                <c:pt idx="1317">
                  <c:v>-8475.024086709278</c:v>
                </c:pt>
                <c:pt idx="1318">
                  <c:v>7900.027352620451</c:v>
                </c:pt>
                <c:pt idx="1319">
                  <c:v>-168.18490455128449</c:v>
                </c:pt>
                <c:pt idx="1320">
                  <c:v>-1884.3627249500196</c:v>
                </c:pt>
                <c:pt idx="1321">
                  <c:v>-8185.7901211530116</c:v>
                </c:pt>
                <c:pt idx="1322">
                  <c:v>-3400.0443486155982</c:v>
                </c:pt>
                <c:pt idx="1323">
                  <c:v>7417.9207605088886</c:v>
                </c:pt>
                <c:pt idx="1324">
                  <c:v>-471.391197282951</c:v>
                </c:pt>
                <c:pt idx="1325">
                  <c:v>-1276.0007632410197</c:v>
                </c:pt>
                <c:pt idx="1326">
                  <c:v>-2256.1442410748514</c:v>
                </c:pt>
                <c:pt idx="1327">
                  <c:v>-1808.3507385248358</c:v>
                </c:pt>
                <c:pt idx="1328">
                  <c:v>19824.120044672549</c:v>
                </c:pt>
                <c:pt idx="1329">
                  <c:v>-4350.6677837502066</c:v>
                </c:pt>
                <c:pt idx="1330">
                  <c:v>803.05332013600855</c:v>
                </c:pt>
                <c:pt idx="1331">
                  <c:v>6218.3311546960686</c:v>
                </c:pt>
                <c:pt idx="1332">
                  <c:v>-5700.9846566274264</c:v>
                </c:pt>
                <c:pt idx="1333">
                  <c:v>-1577.4025809568648</c:v>
                </c:pt>
                <c:pt idx="1334">
                  <c:v>-606.03773244715876</c:v>
                </c:pt>
                <c:pt idx="1335">
                  <c:v>-2768.9124484543363</c:v>
                </c:pt>
                <c:pt idx="1336">
                  <c:v>392.10853094999425</c:v>
                </c:pt>
                <c:pt idx="1337">
                  <c:v>-7652.3103955705301</c:v>
                </c:pt>
              </c:numCache>
            </c:numRef>
          </c:yVal>
          <c:smooth val="0"/>
          <c:extLst>
            <c:ext xmlns:c16="http://schemas.microsoft.com/office/drawing/2014/chart" uri="{C3380CC4-5D6E-409C-BE32-E72D297353CC}">
              <c16:uniqueId val="{00000000-97D2-40EA-8930-71776EAFA936}"/>
            </c:ext>
          </c:extLst>
        </c:ser>
        <c:dLbls>
          <c:showLegendKey val="0"/>
          <c:showVal val="0"/>
          <c:showCatName val="0"/>
          <c:showSerName val="0"/>
          <c:showPercent val="0"/>
          <c:showBubbleSize val="0"/>
        </c:dLbls>
        <c:axId val="672579296"/>
        <c:axId val="672584096"/>
      </c:scatterChart>
      <c:valAx>
        <c:axId val="672579296"/>
        <c:scaling>
          <c:orientation val="minMax"/>
        </c:scaling>
        <c:delete val="0"/>
        <c:axPos val="b"/>
        <c:title>
          <c:tx>
            <c:rich>
              <a:bodyPr/>
              <a:lstStyle/>
              <a:p>
                <a:pPr>
                  <a:defRPr/>
                </a:pPr>
                <a:r>
                  <a:rPr lang="en-GB"/>
                  <a:t>smoker2</a:t>
                </a:r>
              </a:p>
            </c:rich>
          </c:tx>
          <c:overlay val="0"/>
        </c:title>
        <c:numFmt formatCode="General" sourceLinked="1"/>
        <c:majorTickMark val="out"/>
        <c:minorTickMark val="none"/>
        <c:tickLblPos val="nextTo"/>
        <c:crossAx val="672584096"/>
        <c:crosses val="autoZero"/>
        <c:crossBetween val="midCat"/>
      </c:valAx>
      <c:valAx>
        <c:axId val="672584096"/>
        <c:scaling>
          <c:orientation val="minMax"/>
        </c:scaling>
        <c:delete val="0"/>
        <c:axPos val="l"/>
        <c:title>
          <c:tx>
            <c:rich>
              <a:bodyPr/>
              <a:lstStyle/>
              <a:p>
                <a:pPr>
                  <a:defRPr/>
                </a:pPr>
                <a:r>
                  <a:rPr lang="en-GB"/>
                  <a:t>Residuals</a:t>
                </a:r>
              </a:p>
            </c:rich>
          </c:tx>
          <c:overlay val="0"/>
        </c:title>
        <c:numFmt formatCode="General" sourceLinked="1"/>
        <c:majorTickMark val="out"/>
        <c:minorTickMark val="none"/>
        <c:tickLblPos val="nextTo"/>
        <c:crossAx val="672579296"/>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bmi  Residual Plot</a:t>
            </a:r>
          </a:p>
        </c:rich>
      </c:tx>
      <c:overlay val="0"/>
    </c:title>
    <c:autoTitleDeleted val="0"/>
    <c:plotArea>
      <c:layout/>
      <c:scatterChart>
        <c:scatterStyle val="lineMarker"/>
        <c:varyColors val="0"/>
        <c:ser>
          <c:idx val="0"/>
          <c:order val="0"/>
          <c:spPr>
            <a:ln w="38100">
              <a:noFill/>
            </a:ln>
          </c:spPr>
          <c:xVal>
            <c:numRef>
              <c:f>'insurance (Clean)'!$I$2:$I$1339</c:f>
              <c:numCache>
                <c:formatCode>General</c:formatCode>
                <c:ptCount val="1338"/>
                <c:pt idx="0">
                  <c:v>27.9</c:v>
                </c:pt>
                <c:pt idx="1">
                  <c:v>33.770000000000003</c:v>
                </c:pt>
                <c:pt idx="2">
                  <c:v>33</c:v>
                </c:pt>
                <c:pt idx="3">
                  <c:v>22.704999999999998</c:v>
                </c:pt>
                <c:pt idx="4">
                  <c:v>28.88</c:v>
                </c:pt>
                <c:pt idx="5">
                  <c:v>25.74</c:v>
                </c:pt>
                <c:pt idx="6">
                  <c:v>33.44</c:v>
                </c:pt>
                <c:pt idx="7">
                  <c:v>27.74</c:v>
                </c:pt>
                <c:pt idx="8">
                  <c:v>29.83</c:v>
                </c:pt>
                <c:pt idx="9">
                  <c:v>25.84</c:v>
                </c:pt>
                <c:pt idx="10">
                  <c:v>26.22</c:v>
                </c:pt>
                <c:pt idx="11">
                  <c:v>26.29</c:v>
                </c:pt>
                <c:pt idx="12">
                  <c:v>34.4</c:v>
                </c:pt>
                <c:pt idx="13">
                  <c:v>39.82</c:v>
                </c:pt>
                <c:pt idx="14">
                  <c:v>42.13</c:v>
                </c:pt>
                <c:pt idx="15">
                  <c:v>24.6</c:v>
                </c:pt>
                <c:pt idx="16">
                  <c:v>30.78</c:v>
                </c:pt>
                <c:pt idx="17">
                  <c:v>23.844999999999999</c:v>
                </c:pt>
                <c:pt idx="18">
                  <c:v>40.299999999999997</c:v>
                </c:pt>
                <c:pt idx="19">
                  <c:v>35.299999999999997</c:v>
                </c:pt>
                <c:pt idx="20">
                  <c:v>36.005000000000003</c:v>
                </c:pt>
                <c:pt idx="21">
                  <c:v>32.4</c:v>
                </c:pt>
                <c:pt idx="22">
                  <c:v>34.1</c:v>
                </c:pt>
                <c:pt idx="23">
                  <c:v>31.92</c:v>
                </c:pt>
                <c:pt idx="24">
                  <c:v>28.024999999999999</c:v>
                </c:pt>
                <c:pt idx="25">
                  <c:v>27.72</c:v>
                </c:pt>
                <c:pt idx="26">
                  <c:v>23.085000000000001</c:v>
                </c:pt>
                <c:pt idx="27">
                  <c:v>32.774999999999999</c:v>
                </c:pt>
                <c:pt idx="28">
                  <c:v>17.385000000000002</c:v>
                </c:pt>
                <c:pt idx="29">
                  <c:v>36.299999999999997</c:v>
                </c:pt>
                <c:pt idx="30">
                  <c:v>35.6</c:v>
                </c:pt>
                <c:pt idx="31">
                  <c:v>26.315000000000001</c:v>
                </c:pt>
                <c:pt idx="32">
                  <c:v>28.6</c:v>
                </c:pt>
                <c:pt idx="33">
                  <c:v>28.31</c:v>
                </c:pt>
                <c:pt idx="34">
                  <c:v>36.4</c:v>
                </c:pt>
                <c:pt idx="35">
                  <c:v>20.425000000000001</c:v>
                </c:pt>
                <c:pt idx="36">
                  <c:v>32.965000000000003</c:v>
                </c:pt>
                <c:pt idx="37">
                  <c:v>20.8</c:v>
                </c:pt>
                <c:pt idx="38">
                  <c:v>36.67</c:v>
                </c:pt>
                <c:pt idx="39">
                  <c:v>39.9</c:v>
                </c:pt>
                <c:pt idx="40">
                  <c:v>26.6</c:v>
                </c:pt>
                <c:pt idx="41">
                  <c:v>36.630000000000003</c:v>
                </c:pt>
                <c:pt idx="42">
                  <c:v>21.78</c:v>
                </c:pt>
                <c:pt idx="43">
                  <c:v>30.8</c:v>
                </c:pt>
                <c:pt idx="44">
                  <c:v>37.049999999999997</c:v>
                </c:pt>
                <c:pt idx="45">
                  <c:v>37.299999999999997</c:v>
                </c:pt>
                <c:pt idx="46">
                  <c:v>38.664999999999999</c:v>
                </c:pt>
                <c:pt idx="47">
                  <c:v>34.770000000000003</c:v>
                </c:pt>
                <c:pt idx="48">
                  <c:v>24.53</c:v>
                </c:pt>
                <c:pt idx="49">
                  <c:v>35.200000000000003</c:v>
                </c:pt>
                <c:pt idx="50">
                  <c:v>35.625</c:v>
                </c:pt>
                <c:pt idx="51">
                  <c:v>33.630000000000003</c:v>
                </c:pt>
                <c:pt idx="52">
                  <c:v>28</c:v>
                </c:pt>
                <c:pt idx="53">
                  <c:v>34.43</c:v>
                </c:pt>
                <c:pt idx="54">
                  <c:v>28.69</c:v>
                </c:pt>
                <c:pt idx="55">
                  <c:v>36.954999999999998</c:v>
                </c:pt>
                <c:pt idx="56">
                  <c:v>31.824999999999999</c:v>
                </c:pt>
                <c:pt idx="57">
                  <c:v>31.68</c:v>
                </c:pt>
                <c:pt idx="58">
                  <c:v>22.88</c:v>
                </c:pt>
                <c:pt idx="59">
                  <c:v>37.335000000000001</c:v>
                </c:pt>
                <c:pt idx="60">
                  <c:v>27.36</c:v>
                </c:pt>
                <c:pt idx="61">
                  <c:v>33.659999999999997</c:v>
                </c:pt>
                <c:pt idx="62">
                  <c:v>24.7</c:v>
                </c:pt>
                <c:pt idx="63">
                  <c:v>25.934999999999999</c:v>
                </c:pt>
                <c:pt idx="64">
                  <c:v>22.42</c:v>
                </c:pt>
                <c:pt idx="65">
                  <c:v>28.9</c:v>
                </c:pt>
                <c:pt idx="66">
                  <c:v>39.1</c:v>
                </c:pt>
                <c:pt idx="67">
                  <c:v>26.315000000000001</c:v>
                </c:pt>
                <c:pt idx="68">
                  <c:v>36.19</c:v>
                </c:pt>
                <c:pt idx="69">
                  <c:v>23.98</c:v>
                </c:pt>
                <c:pt idx="70">
                  <c:v>24.75</c:v>
                </c:pt>
                <c:pt idx="71">
                  <c:v>28.5</c:v>
                </c:pt>
                <c:pt idx="72">
                  <c:v>28.1</c:v>
                </c:pt>
                <c:pt idx="73">
                  <c:v>32.01</c:v>
                </c:pt>
                <c:pt idx="74">
                  <c:v>27.4</c:v>
                </c:pt>
                <c:pt idx="75">
                  <c:v>34.01</c:v>
                </c:pt>
                <c:pt idx="76">
                  <c:v>29.59</c:v>
                </c:pt>
                <c:pt idx="77">
                  <c:v>35.53</c:v>
                </c:pt>
                <c:pt idx="78">
                  <c:v>39.805</c:v>
                </c:pt>
                <c:pt idx="79">
                  <c:v>32.965000000000003</c:v>
                </c:pt>
                <c:pt idx="80">
                  <c:v>26.885000000000002</c:v>
                </c:pt>
                <c:pt idx="81">
                  <c:v>38.284999999999997</c:v>
                </c:pt>
                <c:pt idx="82">
                  <c:v>37.619999999999997</c:v>
                </c:pt>
                <c:pt idx="83">
                  <c:v>41.23</c:v>
                </c:pt>
                <c:pt idx="84">
                  <c:v>34.799999999999997</c:v>
                </c:pt>
                <c:pt idx="85">
                  <c:v>22.895</c:v>
                </c:pt>
                <c:pt idx="86">
                  <c:v>31.16</c:v>
                </c:pt>
                <c:pt idx="87">
                  <c:v>27.2</c:v>
                </c:pt>
                <c:pt idx="88">
                  <c:v>27.74</c:v>
                </c:pt>
                <c:pt idx="89">
                  <c:v>26.98</c:v>
                </c:pt>
                <c:pt idx="90">
                  <c:v>39.49</c:v>
                </c:pt>
                <c:pt idx="91">
                  <c:v>24.795000000000002</c:v>
                </c:pt>
                <c:pt idx="92">
                  <c:v>29.83</c:v>
                </c:pt>
                <c:pt idx="93">
                  <c:v>34.770000000000003</c:v>
                </c:pt>
                <c:pt idx="94">
                  <c:v>31.3</c:v>
                </c:pt>
                <c:pt idx="95">
                  <c:v>37.619999999999997</c:v>
                </c:pt>
                <c:pt idx="96">
                  <c:v>30.8</c:v>
                </c:pt>
                <c:pt idx="97">
                  <c:v>38.28</c:v>
                </c:pt>
                <c:pt idx="98">
                  <c:v>19.95</c:v>
                </c:pt>
                <c:pt idx="99">
                  <c:v>19.3</c:v>
                </c:pt>
                <c:pt idx="100">
                  <c:v>31.6</c:v>
                </c:pt>
                <c:pt idx="101">
                  <c:v>25.46</c:v>
                </c:pt>
                <c:pt idx="102">
                  <c:v>30.114999999999998</c:v>
                </c:pt>
                <c:pt idx="103">
                  <c:v>29.92</c:v>
                </c:pt>
                <c:pt idx="104">
                  <c:v>27.5</c:v>
                </c:pt>
                <c:pt idx="105">
                  <c:v>28.024999999999999</c:v>
                </c:pt>
                <c:pt idx="106">
                  <c:v>28.4</c:v>
                </c:pt>
                <c:pt idx="107">
                  <c:v>30.875</c:v>
                </c:pt>
                <c:pt idx="108">
                  <c:v>27.94</c:v>
                </c:pt>
                <c:pt idx="109">
                  <c:v>35.090000000000003</c:v>
                </c:pt>
                <c:pt idx="110">
                  <c:v>33.630000000000003</c:v>
                </c:pt>
                <c:pt idx="111">
                  <c:v>29.7</c:v>
                </c:pt>
                <c:pt idx="112">
                  <c:v>30.8</c:v>
                </c:pt>
                <c:pt idx="113">
                  <c:v>35.72</c:v>
                </c:pt>
                <c:pt idx="114">
                  <c:v>32.204999999999998</c:v>
                </c:pt>
                <c:pt idx="115">
                  <c:v>28.594999999999999</c:v>
                </c:pt>
                <c:pt idx="116">
                  <c:v>49.06</c:v>
                </c:pt>
                <c:pt idx="117">
                  <c:v>27.94</c:v>
                </c:pt>
                <c:pt idx="118">
                  <c:v>27.17</c:v>
                </c:pt>
                <c:pt idx="119">
                  <c:v>23.37</c:v>
                </c:pt>
                <c:pt idx="120">
                  <c:v>37.1</c:v>
                </c:pt>
                <c:pt idx="121">
                  <c:v>23.75</c:v>
                </c:pt>
                <c:pt idx="122">
                  <c:v>28.975000000000001</c:v>
                </c:pt>
                <c:pt idx="123">
                  <c:v>31.35</c:v>
                </c:pt>
                <c:pt idx="124">
                  <c:v>33.914999999999999</c:v>
                </c:pt>
                <c:pt idx="125">
                  <c:v>28.785</c:v>
                </c:pt>
                <c:pt idx="126">
                  <c:v>28.3</c:v>
                </c:pt>
                <c:pt idx="127">
                  <c:v>37.4</c:v>
                </c:pt>
                <c:pt idx="128">
                  <c:v>17.765000000000001</c:v>
                </c:pt>
                <c:pt idx="129">
                  <c:v>34.700000000000003</c:v>
                </c:pt>
                <c:pt idx="130">
                  <c:v>26.504999999999999</c:v>
                </c:pt>
                <c:pt idx="131">
                  <c:v>22.04</c:v>
                </c:pt>
                <c:pt idx="132">
                  <c:v>35.9</c:v>
                </c:pt>
                <c:pt idx="133">
                  <c:v>25.555</c:v>
                </c:pt>
                <c:pt idx="134">
                  <c:v>28.785</c:v>
                </c:pt>
                <c:pt idx="135">
                  <c:v>28.05</c:v>
                </c:pt>
                <c:pt idx="136">
                  <c:v>34.1</c:v>
                </c:pt>
                <c:pt idx="137">
                  <c:v>25.175000000000001</c:v>
                </c:pt>
                <c:pt idx="138">
                  <c:v>31.9</c:v>
                </c:pt>
                <c:pt idx="139">
                  <c:v>36</c:v>
                </c:pt>
                <c:pt idx="140">
                  <c:v>22.42</c:v>
                </c:pt>
                <c:pt idx="141">
                  <c:v>32.49</c:v>
                </c:pt>
                <c:pt idx="142">
                  <c:v>25.3</c:v>
                </c:pt>
                <c:pt idx="143">
                  <c:v>29.734999999999999</c:v>
                </c:pt>
                <c:pt idx="144">
                  <c:v>28.69</c:v>
                </c:pt>
                <c:pt idx="145">
                  <c:v>38.83</c:v>
                </c:pt>
                <c:pt idx="146">
                  <c:v>30.495000000000001</c:v>
                </c:pt>
                <c:pt idx="147">
                  <c:v>37.729999999999997</c:v>
                </c:pt>
                <c:pt idx="148">
                  <c:v>37.43</c:v>
                </c:pt>
                <c:pt idx="149">
                  <c:v>28.4</c:v>
                </c:pt>
                <c:pt idx="150">
                  <c:v>24.13</c:v>
                </c:pt>
                <c:pt idx="151">
                  <c:v>29.7</c:v>
                </c:pt>
                <c:pt idx="152">
                  <c:v>37.145000000000003</c:v>
                </c:pt>
                <c:pt idx="153">
                  <c:v>23.37</c:v>
                </c:pt>
                <c:pt idx="154">
                  <c:v>25.46</c:v>
                </c:pt>
                <c:pt idx="155">
                  <c:v>39.520000000000003</c:v>
                </c:pt>
                <c:pt idx="156">
                  <c:v>24.42</c:v>
                </c:pt>
                <c:pt idx="157">
                  <c:v>25.175000000000001</c:v>
                </c:pt>
                <c:pt idx="158">
                  <c:v>35.53</c:v>
                </c:pt>
                <c:pt idx="159">
                  <c:v>27.83</c:v>
                </c:pt>
                <c:pt idx="160">
                  <c:v>26.6</c:v>
                </c:pt>
                <c:pt idx="161">
                  <c:v>36.85</c:v>
                </c:pt>
                <c:pt idx="162">
                  <c:v>39.6</c:v>
                </c:pt>
                <c:pt idx="163">
                  <c:v>29.8</c:v>
                </c:pt>
                <c:pt idx="164">
                  <c:v>29.64</c:v>
                </c:pt>
                <c:pt idx="165">
                  <c:v>28.215</c:v>
                </c:pt>
                <c:pt idx="166">
                  <c:v>37</c:v>
                </c:pt>
                <c:pt idx="167">
                  <c:v>33.155000000000001</c:v>
                </c:pt>
                <c:pt idx="168">
                  <c:v>31.824999999999999</c:v>
                </c:pt>
                <c:pt idx="169">
                  <c:v>18.905000000000001</c:v>
                </c:pt>
                <c:pt idx="170">
                  <c:v>41.47</c:v>
                </c:pt>
                <c:pt idx="171">
                  <c:v>30.3</c:v>
                </c:pt>
                <c:pt idx="172">
                  <c:v>15.96</c:v>
                </c:pt>
                <c:pt idx="173">
                  <c:v>34.799999999999997</c:v>
                </c:pt>
                <c:pt idx="174">
                  <c:v>33.344999999999999</c:v>
                </c:pt>
                <c:pt idx="175">
                  <c:v>37.700000000000003</c:v>
                </c:pt>
                <c:pt idx="176">
                  <c:v>27.835000000000001</c:v>
                </c:pt>
                <c:pt idx="177">
                  <c:v>29.2</c:v>
                </c:pt>
                <c:pt idx="178">
                  <c:v>28.9</c:v>
                </c:pt>
                <c:pt idx="179">
                  <c:v>33.155000000000001</c:v>
                </c:pt>
                <c:pt idx="180">
                  <c:v>28.594999999999999</c:v>
                </c:pt>
                <c:pt idx="181">
                  <c:v>38.28</c:v>
                </c:pt>
                <c:pt idx="182">
                  <c:v>19.95</c:v>
                </c:pt>
                <c:pt idx="183">
                  <c:v>26.41</c:v>
                </c:pt>
                <c:pt idx="184">
                  <c:v>30.69</c:v>
                </c:pt>
                <c:pt idx="185">
                  <c:v>41.895000000000003</c:v>
                </c:pt>
                <c:pt idx="186">
                  <c:v>29.92</c:v>
                </c:pt>
                <c:pt idx="187">
                  <c:v>30.9</c:v>
                </c:pt>
                <c:pt idx="188">
                  <c:v>32.200000000000003</c:v>
                </c:pt>
                <c:pt idx="189">
                  <c:v>32.11</c:v>
                </c:pt>
                <c:pt idx="190">
                  <c:v>31.57</c:v>
                </c:pt>
                <c:pt idx="191">
                  <c:v>26.2</c:v>
                </c:pt>
                <c:pt idx="192">
                  <c:v>25.74</c:v>
                </c:pt>
                <c:pt idx="193">
                  <c:v>26.6</c:v>
                </c:pt>
                <c:pt idx="194">
                  <c:v>34.43</c:v>
                </c:pt>
                <c:pt idx="195">
                  <c:v>30.59</c:v>
                </c:pt>
                <c:pt idx="196">
                  <c:v>32.799999999999997</c:v>
                </c:pt>
                <c:pt idx="197">
                  <c:v>28.6</c:v>
                </c:pt>
                <c:pt idx="198">
                  <c:v>18.05</c:v>
                </c:pt>
                <c:pt idx="199">
                  <c:v>39.33</c:v>
                </c:pt>
                <c:pt idx="200">
                  <c:v>32.11</c:v>
                </c:pt>
                <c:pt idx="201">
                  <c:v>32.229999999999997</c:v>
                </c:pt>
                <c:pt idx="202">
                  <c:v>24.035</c:v>
                </c:pt>
                <c:pt idx="203">
                  <c:v>36.08</c:v>
                </c:pt>
                <c:pt idx="204">
                  <c:v>22.3</c:v>
                </c:pt>
                <c:pt idx="205">
                  <c:v>28.88</c:v>
                </c:pt>
                <c:pt idx="206">
                  <c:v>26.4</c:v>
                </c:pt>
                <c:pt idx="207">
                  <c:v>27.74</c:v>
                </c:pt>
                <c:pt idx="208">
                  <c:v>31.8</c:v>
                </c:pt>
                <c:pt idx="209">
                  <c:v>41.23</c:v>
                </c:pt>
                <c:pt idx="210">
                  <c:v>33</c:v>
                </c:pt>
                <c:pt idx="211">
                  <c:v>30.875</c:v>
                </c:pt>
                <c:pt idx="212">
                  <c:v>28.5</c:v>
                </c:pt>
                <c:pt idx="213">
                  <c:v>26.73</c:v>
                </c:pt>
                <c:pt idx="214">
                  <c:v>30.9</c:v>
                </c:pt>
                <c:pt idx="215">
                  <c:v>37.1</c:v>
                </c:pt>
                <c:pt idx="216">
                  <c:v>26.6</c:v>
                </c:pt>
                <c:pt idx="217">
                  <c:v>23.1</c:v>
                </c:pt>
                <c:pt idx="218">
                  <c:v>29.92</c:v>
                </c:pt>
                <c:pt idx="219">
                  <c:v>23.21</c:v>
                </c:pt>
                <c:pt idx="220">
                  <c:v>33.700000000000003</c:v>
                </c:pt>
                <c:pt idx="221">
                  <c:v>33.25</c:v>
                </c:pt>
                <c:pt idx="222">
                  <c:v>30.8</c:v>
                </c:pt>
                <c:pt idx="223">
                  <c:v>34.799999999999997</c:v>
                </c:pt>
                <c:pt idx="224">
                  <c:v>24.64</c:v>
                </c:pt>
                <c:pt idx="225">
                  <c:v>33.880000000000003</c:v>
                </c:pt>
                <c:pt idx="226">
                  <c:v>38.06</c:v>
                </c:pt>
                <c:pt idx="227">
                  <c:v>41.91</c:v>
                </c:pt>
                <c:pt idx="228">
                  <c:v>31.635000000000002</c:v>
                </c:pt>
                <c:pt idx="229">
                  <c:v>25.46</c:v>
                </c:pt>
                <c:pt idx="230">
                  <c:v>36.195</c:v>
                </c:pt>
                <c:pt idx="231">
                  <c:v>27.83</c:v>
                </c:pt>
                <c:pt idx="232">
                  <c:v>17.8</c:v>
                </c:pt>
                <c:pt idx="233">
                  <c:v>27.5</c:v>
                </c:pt>
                <c:pt idx="234">
                  <c:v>24.51</c:v>
                </c:pt>
                <c:pt idx="235">
                  <c:v>22.22</c:v>
                </c:pt>
                <c:pt idx="236">
                  <c:v>26.73</c:v>
                </c:pt>
                <c:pt idx="237">
                  <c:v>38.39</c:v>
                </c:pt>
                <c:pt idx="238">
                  <c:v>29.07</c:v>
                </c:pt>
                <c:pt idx="239">
                  <c:v>38.06</c:v>
                </c:pt>
                <c:pt idx="240">
                  <c:v>36.67</c:v>
                </c:pt>
                <c:pt idx="241">
                  <c:v>22.135000000000002</c:v>
                </c:pt>
                <c:pt idx="242">
                  <c:v>26.8</c:v>
                </c:pt>
                <c:pt idx="243">
                  <c:v>35.299999999999997</c:v>
                </c:pt>
                <c:pt idx="244">
                  <c:v>27.74</c:v>
                </c:pt>
                <c:pt idx="245">
                  <c:v>30.02</c:v>
                </c:pt>
                <c:pt idx="246">
                  <c:v>38.06</c:v>
                </c:pt>
                <c:pt idx="247">
                  <c:v>35.86</c:v>
                </c:pt>
                <c:pt idx="248">
                  <c:v>20.9</c:v>
                </c:pt>
                <c:pt idx="249">
                  <c:v>28.975000000000001</c:v>
                </c:pt>
                <c:pt idx="250">
                  <c:v>17.29</c:v>
                </c:pt>
                <c:pt idx="251">
                  <c:v>32.200000000000003</c:v>
                </c:pt>
                <c:pt idx="252">
                  <c:v>34.21</c:v>
                </c:pt>
                <c:pt idx="253">
                  <c:v>30.3</c:v>
                </c:pt>
                <c:pt idx="254">
                  <c:v>31.824999999999999</c:v>
                </c:pt>
                <c:pt idx="255">
                  <c:v>25.364999999999998</c:v>
                </c:pt>
                <c:pt idx="256">
                  <c:v>33.630000000000003</c:v>
                </c:pt>
                <c:pt idx="257">
                  <c:v>40.15</c:v>
                </c:pt>
                <c:pt idx="258">
                  <c:v>24.414999999999999</c:v>
                </c:pt>
                <c:pt idx="259">
                  <c:v>31.92</c:v>
                </c:pt>
                <c:pt idx="260">
                  <c:v>25.2</c:v>
                </c:pt>
                <c:pt idx="261">
                  <c:v>26.84</c:v>
                </c:pt>
                <c:pt idx="262">
                  <c:v>24.32</c:v>
                </c:pt>
                <c:pt idx="263">
                  <c:v>36.954999999999998</c:v>
                </c:pt>
                <c:pt idx="264">
                  <c:v>38.06</c:v>
                </c:pt>
                <c:pt idx="265">
                  <c:v>42.35</c:v>
                </c:pt>
                <c:pt idx="266">
                  <c:v>19.8</c:v>
                </c:pt>
                <c:pt idx="267">
                  <c:v>32.395000000000003</c:v>
                </c:pt>
                <c:pt idx="268">
                  <c:v>30.2</c:v>
                </c:pt>
                <c:pt idx="269">
                  <c:v>25.84</c:v>
                </c:pt>
                <c:pt idx="270">
                  <c:v>29.37</c:v>
                </c:pt>
                <c:pt idx="271">
                  <c:v>34.200000000000003</c:v>
                </c:pt>
                <c:pt idx="272">
                  <c:v>37.049999999999997</c:v>
                </c:pt>
                <c:pt idx="273">
                  <c:v>27.454999999999998</c:v>
                </c:pt>
                <c:pt idx="274">
                  <c:v>27.55</c:v>
                </c:pt>
                <c:pt idx="275">
                  <c:v>26.6</c:v>
                </c:pt>
                <c:pt idx="276">
                  <c:v>20.614999999999998</c:v>
                </c:pt>
                <c:pt idx="277">
                  <c:v>24.3</c:v>
                </c:pt>
                <c:pt idx="278">
                  <c:v>31.79</c:v>
                </c:pt>
                <c:pt idx="279">
                  <c:v>21.56</c:v>
                </c:pt>
                <c:pt idx="280">
                  <c:v>28.12</c:v>
                </c:pt>
                <c:pt idx="281">
                  <c:v>40.564999999999998</c:v>
                </c:pt>
                <c:pt idx="282">
                  <c:v>27.645</c:v>
                </c:pt>
                <c:pt idx="283">
                  <c:v>32.395000000000003</c:v>
                </c:pt>
                <c:pt idx="284">
                  <c:v>31.2</c:v>
                </c:pt>
                <c:pt idx="285">
                  <c:v>26.62</c:v>
                </c:pt>
                <c:pt idx="286">
                  <c:v>48.07</c:v>
                </c:pt>
                <c:pt idx="287">
                  <c:v>26.22</c:v>
                </c:pt>
                <c:pt idx="288">
                  <c:v>36.765000000000001</c:v>
                </c:pt>
                <c:pt idx="289">
                  <c:v>26.4</c:v>
                </c:pt>
                <c:pt idx="290">
                  <c:v>33.4</c:v>
                </c:pt>
                <c:pt idx="291">
                  <c:v>29.64</c:v>
                </c:pt>
                <c:pt idx="292">
                  <c:v>45.54</c:v>
                </c:pt>
                <c:pt idx="293">
                  <c:v>28.82</c:v>
                </c:pt>
                <c:pt idx="294">
                  <c:v>26.8</c:v>
                </c:pt>
                <c:pt idx="295">
                  <c:v>22.99</c:v>
                </c:pt>
                <c:pt idx="296">
                  <c:v>27.7</c:v>
                </c:pt>
                <c:pt idx="297">
                  <c:v>25.41</c:v>
                </c:pt>
                <c:pt idx="298">
                  <c:v>34.39</c:v>
                </c:pt>
                <c:pt idx="299">
                  <c:v>28.88</c:v>
                </c:pt>
                <c:pt idx="300">
                  <c:v>27.55</c:v>
                </c:pt>
                <c:pt idx="301">
                  <c:v>22.61</c:v>
                </c:pt>
                <c:pt idx="302">
                  <c:v>37.51</c:v>
                </c:pt>
                <c:pt idx="303">
                  <c:v>33</c:v>
                </c:pt>
                <c:pt idx="304">
                  <c:v>38</c:v>
                </c:pt>
                <c:pt idx="305">
                  <c:v>33.344999999999999</c:v>
                </c:pt>
                <c:pt idx="306">
                  <c:v>27.5</c:v>
                </c:pt>
                <c:pt idx="307">
                  <c:v>33.33</c:v>
                </c:pt>
                <c:pt idx="308">
                  <c:v>34.865000000000002</c:v>
                </c:pt>
                <c:pt idx="309">
                  <c:v>33.06</c:v>
                </c:pt>
                <c:pt idx="310">
                  <c:v>26.6</c:v>
                </c:pt>
                <c:pt idx="311">
                  <c:v>24.7</c:v>
                </c:pt>
                <c:pt idx="312">
                  <c:v>35.97</c:v>
                </c:pt>
                <c:pt idx="313">
                  <c:v>35.86</c:v>
                </c:pt>
                <c:pt idx="314">
                  <c:v>31.4</c:v>
                </c:pt>
                <c:pt idx="315">
                  <c:v>33.25</c:v>
                </c:pt>
                <c:pt idx="316">
                  <c:v>32.204999999999998</c:v>
                </c:pt>
                <c:pt idx="317">
                  <c:v>32.774999999999999</c:v>
                </c:pt>
                <c:pt idx="318">
                  <c:v>27.645</c:v>
                </c:pt>
                <c:pt idx="319">
                  <c:v>37.335000000000001</c:v>
                </c:pt>
                <c:pt idx="320">
                  <c:v>25.27</c:v>
                </c:pt>
                <c:pt idx="321">
                  <c:v>29.64</c:v>
                </c:pt>
                <c:pt idx="322">
                  <c:v>30.8</c:v>
                </c:pt>
                <c:pt idx="323">
                  <c:v>40.945</c:v>
                </c:pt>
                <c:pt idx="324">
                  <c:v>27.2</c:v>
                </c:pt>
                <c:pt idx="325">
                  <c:v>34.104999999999997</c:v>
                </c:pt>
                <c:pt idx="326">
                  <c:v>23.21</c:v>
                </c:pt>
                <c:pt idx="327">
                  <c:v>36.479999999999997</c:v>
                </c:pt>
                <c:pt idx="328">
                  <c:v>33.799999999999997</c:v>
                </c:pt>
                <c:pt idx="329">
                  <c:v>36.700000000000003</c:v>
                </c:pt>
                <c:pt idx="330">
                  <c:v>36.384999999999998</c:v>
                </c:pt>
                <c:pt idx="331">
                  <c:v>27.36</c:v>
                </c:pt>
                <c:pt idx="332">
                  <c:v>31.16</c:v>
                </c:pt>
                <c:pt idx="333">
                  <c:v>28.785</c:v>
                </c:pt>
                <c:pt idx="334">
                  <c:v>35.72</c:v>
                </c:pt>
                <c:pt idx="335">
                  <c:v>34.5</c:v>
                </c:pt>
                <c:pt idx="336">
                  <c:v>25.74</c:v>
                </c:pt>
                <c:pt idx="337">
                  <c:v>27.55</c:v>
                </c:pt>
                <c:pt idx="338">
                  <c:v>32.299999999999997</c:v>
                </c:pt>
                <c:pt idx="339">
                  <c:v>27.72</c:v>
                </c:pt>
                <c:pt idx="340">
                  <c:v>27.6</c:v>
                </c:pt>
                <c:pt idx="341">
                  <c:v>30.02</c:v>
                </c:pt>
                <c:pt idx="342">
                  <c:v>27.55</c:v>
                </c:pt>
                <c:pt idx="343">
                  <c:v>36.765000000000001</c:v>
                </c:pt>
                <c:pt idx="344">
                  <c:v>41.47</c:v>
                </c:pt>
                <c:pt idx="345">
                  <c:v>29.26</c:v>
                </c:pt>
                <c:pt idx="346">
                  <c:v>35.75</c:v>
                </c:pt>
                <c:pt idx="347">
                  <c:v>33.344999999999999</c:v>
                </c:pt>
                <c:pt idx="348">
                  <c:v>29.92</c:v>
                </c:pt>
                <c:pt idx="349">
                  <c:v>27.835000000000001</c:v>
                </c:pt>
                <c:pt idx="350">
                  <c:v>23.18</c:v>
                </c:pt>
                <c:pt idx="351">
                  <c:v>25.6</c:v>
                </c:pt>
                <c:pt idx="352">
                  <c:v>27.7</c:v>
                </c:pt>
                <c:pt idx="353">
                  <c:v>35.244999999999997</c:v>
                </c:pt>
                <c:pt idx="354">
                  <c:v>38.28</c:v>
                </c:pt>
                <c:pt idx="355">
                  <c:v>27.6</c:v>
                </c:pt>
                <c:pt idx="356">
                  <c:v>43.89</c:v>
                </c:pt>
                <c:pt idx="357">
                  <c:v>29.83</c:v>
                </c:pt>
                <c:pt idx="358">
                  <c:v>41.91</c:v>
                </c:pt>
                <c:pt idx="359">
                  <c:v>20.79</c:v>
                </c:pt>
                <c:pt idx="360">
                  <c:v>32.299999999999997</c:v>
                </c:pt>
                <c:pt idx="361">
                  <c:v>30.5</c:v>
                </c:pt>
                <c:pt idx="362">
                  <c:v>21.7</c:v>
                </c:pt>
                <c:pt idx="363">
                  <c:v>26.4</c:v>
                </c:pt>
                <c:pt idx="364">
                  <c:v>21.89</c:v>
                </c:pt>
                <c:pt idx="365">
                  <c:v>30.78</c:v>
                </c:pt>
                <c:pt idx="366">
                  <c:v>32.299999999999997</c:v>
                </c:pt>
                <c:pt idx="367">
                  <c:v>24.984999999999999</c:v>
                </c:pt>
                <c:pt idx="368">
                  <c:v>32.015000000000001</c:v>
                </c:pt>
                <c:pt idx="369">
                  <c:v>30.4</c:v>
                </c:pt>
                <c:pt idx="370">
                  <c:v>21.09</c:v>
                </c:pt>
                <c:pt idx="371">
                  <c:v>22.23</c:v>
                </c:pt>
                <c:pt idx="372">
                  <c:v>33.155000000000001</c:v>
                </c:pt>
                <c:pt idx="373">
                  <c:v>32.9</c:v>
                </c:pt>
                <c:pt idx="374">
                  <c:v>33.33</c:v>
                </c:pt>
                <c:pt idx="375">
                  <c:v>28.31</c:v>
                </c:pt>
                <c:pt idx="376">
                  <c:v>24.89</c:v>
                </c:pt>
                <c:pt idx="377">
                  <c:v>40.15</c:v>
                </c:pt>
                <c:pt idx="378">
                  <c:v>30.114999999999998</c:v>
                </c:pt>
                <c:pt idx="379">
                  <c:v>31.46</c:v>
                </c:pt>
                <c:pt idx="380">
                  <c:v>17.954999999999998</c:v>
                </c:pt>
                <c:pt idx="381">
                  <c:v>30.684999999999999</c:v>
                </c:pt>
                <c:pt idx="382">
                  <c:v>33</c:v>
                </c:pt>
                <c:pt idx="383">
                  <c:v>43.34</c:v>
                </c:pt>
                <c:pt idx="384">
                  <c:v>22.135000000000002</c:v>
                </c:pt>
                <c:pt idx="385">
                  <c:v>34.4</c:v>
                </c:pt>
                <c:pt idx="386">
                  <c:v>39.049999999999997</c:v>
                </c:pt>
                <c:pt idx="387">
                  <c:v>25.364999999999998</c:v>
                </c:pt>
                <c:pt idx="388">
                  <c:v>22.61</c:v>
                </c:pt>
                <c:pt idx="389">
                  <c:v>30.21</c:v>
                </c:pt>
                <c:pt idx="390">
                  <c:v>35.625</c:v>
                </c:pt>
                <c:pt idx="391">
                  <c:v>37.43</c:v>
                </c:pt>
                <c:pt idx="392">
                  <c:v>31.445</c:v>
                </c:pt>
                <c:pt idx="393">
                  <c:v>31.35</c:v>
                </c:pt>
                <c:pt idx="394">
                  <c:v>32.299999999999997</c:v>
                </c:pt>
                <c:pt idx="395">
                  <c:v>19.855</c:v>
                </c:pt>
                <c:pt idx="396">
                  <c:v>34.4</c:v>
                </c:pt>
                <c:pt idx="397">
                  <c:v>31.02</c:v>
                </c:pt>
                <c:pt idx="398">
                  <c:v>25.6</c:v>
                </c:pt>
                <c:pt idx="399">
                  <c:v>38.17</c:v>
                </c:pt>
                <c:pt idx="400">
                  <c:v>20.6</c:v>
                </c:pt>
                <c:pt idx="401">
                  <c:v>47.52</c:v>
                </c:pt>
                <c:pt idx="402">
                  <c:v>32.965000000000003</c:v>
                </c:pt>
                <c:pt idx="403">
                  <c:v>32.299999999999997</c:v>
                </c:pt>
                <c:pt idx="404">
                  <c:v>20.399999999999999</c:v>
                </c:pt>
                <c:pt idx="405">
                  <c:v>38.380000000000003</c:v>
                </c:pt>
                <c:pt idx="406">
                  <c:v>24.31</c:v>
                </c:pt>
                <c:pt idx="407">
                  <c:v>23.6</c:v>
                </c:pt>
                <c:pt idx="408">
                  <c:v>21.12</c:v>
                </c:pt>
                <c:pt idx="409">
                  <c:v>30.03</c:v>
                </c:pt>
                <c:pt idx="410">
                  <c:v>17.48</c:v>
                </c:pt>
                <c:pt idx="411">
                  <c:v>20.234999999999999</c:v>
                </c:pt>
                <c:pt idx="412">
                  <c:v>17.195</c:v>
                </c:pt>
                <c:pt idx="413">
                  <c:v>23.9</c:v>
                </c:pt>
                <c:pt idx="414">
                  <c:v>35.15</c:v>
                </c:pt>
                <c:pt idx="415">
                  <c:v>35.64</c:v>
                </c:pt>
                <c:pt idx="416">
                  <c:v>34.1</c:v>
                </c:pt>
                <c:pt idx="417">
                  <c:v>22.6</c:v>
                </c:pt>
                <c:pt idx="418">
                  <c:v>39.159999999999997</c:v>
                </c:pt>
                <c:pt idx="419">
                  <c:v>26.98</c:v>
                </c:pt>
                <c:pt idx="420">
                  <c:v>33.880000000000003</c:v>
                </c:pt>
                <c:pt idx="421">
                  <c:v>35.86</c:v>
                </c:pt>
                <c:pt idx="422">
                  <c:v>32.774999999999999</c:v>
                </c:pt>
                <c:pt idx="423">
                  <c:v>30.59</c:v>
                </c:pt>
                <c:pt idx="424">
                  <c:v>30.2</c:v>
                </c:pt>
                <c:pt idx="425">
                  <c:v>24.31</c:v>
                </c:pt>
                <c:pt idx="426">
                  <c:v>27.265000000000001</c:v>
                </c:pt>
                <c:pt idx="427">
                  <c:v>29.164999999999999</c:v>
                </c:pt>
                <c:pt idx="428">
                  <c:v>16.815000000000001</c:v>
                </c:pt>
                <c:pt idx="429">
                  <c:v>30.4</c:v>
                </c:pt>
                <c:pt idx="430">
                  <c:v>33.1</c:v>
                </c:pt>
                <c:pt idx="431">
                  <c:v>20.234999999999999</c:v>
                </c:pt>
                <c:pt idx="432">
                  <c:v>26.9</c:v>
                </c:pt>
                <c:pt idx="433">
                  <c:v>30.5</c:v>
                </c:pt>
                <c:pt idx="434">
                  <c:v>28.594999999999999</c:v>
                </c:pt>
                <c:pt idx="435">
                  <c:v>33.11</c:v>
                </c:pt>
                <c:pt idx="436">
                  <c:v>31.73</c:v>
                </c:pt>
                <c:pt idx="437">
                  <c:v>28.9</c:v>
                </c:pt>
                <c:pt idx="438">
                  <c:v>46.75</c:v>
                </c:pt>
                <c:pt idx="439">
                  <c:v>29.45</c:v>
                </c:pt>
                <c:pt idx="440">
                  <c:v>32.68</c:v>
                </c:pt>
                <c:pt idx="441">
                  <c:v>33.5</c:v>
                </c:pt>
                <c:pt idx="442">
                  <c:v>43.01</c:v>
                </c:pt>
                <c:pt idx="443">
                  <c:v>36.520000000000003</c:v>
                </c:pt>
                <c:pt idx="444">
                  <c:v>26.695</c:v>
                </c:pt>
                <c:pt idx="445">
                  <c:v>33.1</c:v>
                </c:pt>
                <c:pt idx="446">
                  <c:v>29.64</c:v>
                </c:pt>
                <c:pt idx="447">
                  <c:v>25.65</c:v>
                </c:pt>
                <c:pt idx="448">
                  <c:v>29.6</c:v>
                </c:pt>
                <c:pt idx="449">
                  <c:v>38.6</c:v>
                </c:pt>
                <c:pt idx="450">
                  <c:v>29.6</c:v>
                </c:pt>
                <c:pt idx="451">
                  <c:v>24.13</c:v>
                </c:pt>
                <c:pt idx="452">
                  <c:v>23.4</c:v>
                </c:pt>
                <c:pt idx="453">
                  <c:v>29.734999999999999</c:v>
                </c:pt>
                <c:pt idx="454">
                  <c:v>46.53</c:v>
                </c:pt>
                <c:pt idx="455">
                  <c:v>37.4</c:v>
                </c:pt>
                <c:pt idx="456">
                  <c:v>30.14</c:v>
                </c:pt>
                <c:pt idx="457">
                  <c:v>30.495000000000001</c:v>
                </c:pt>
                <c:pt idx="458">
                  <c:v>39.6</c:v>
                </c:pt>
                <c:pt idx="459">
                  <c:v>33</c:v>
                </c:pt>
                <c:pt idx="460">
                  <c:v>36.630000000000003</c:v>
                </c:pt>
                <c:pt idx="461">
                  <c:v>30</c:v>
                </c:pt>
                <c:pt idx="462">
                  <c:v>38.094999999999999</c:v>
                </c:pt>
                <c:pt idx="463">
                  <c:v>25.934999999999999</c:v>
                </c:pt>
                <c:pt idx="464">
                  <c:v>25.175000000000001</c:v>
                </c:pt>
                <c:pt idx="465">
                  <c:v>28.38</c:v>
                </c:pt>
                <c:pt idx="466">
                  <c:v>28.7</c:v>
                </c:pt>
                <c:pt idx="467">
                  <c:v>33.82</c:v>
                </c:pt>
                <c:pt idx="468">
                  <c:v>24.32</c:v>
                </c:pt>
                <c:pt idx="469">
                  <c:v>24.09</c:v>
                </c:pt>
                <c:pt idx="470">
                  <c:v>32.67</c:v>
                </c:pt>
                <c:pt idx="471">
                  <c:v>30.114999999999998</c:v>
                </c:pt>
                <c:pt idx="472">
                  <c:v>29.8</c:v>
                </c:pt>
                <c:pt idx="473">
                  <c:v>33.344999999999999</c:v>
                </c:pt>
                <c:pt idx="474">
                  <c:v>25.1</c:v>
                </c:pt>
                <c:pt idx="475">
                  <c:v>28.31</c:v>
                </c:pt>
                <c:pt idx="476">
                  <c:v>28.5</c:v>
                </c:pt>
                <c:pt idx="477">
                  <c:v>35.625</c:v>
                </c:pt>
                <c:pt idx="478">
                  <c:v>36.85</c:v>
                </c:pt>
                <c:pt idx="479">
                  <c:v>32.56</c:v>
                </c:pt>
                <c:pt idx="480">
                  <c:v>41.325000000000003</c:v>
                </c:pt>
                <c:pt idx="481">
                  <c:v>37.51</c:v>
                </c:pt>
                <c:pt idx="482">
                  <c:v>31.35</c:v>
                </c:pt>
                <c:pt idx="483">
                  <c:v>39.5</c:v>
                </c:pt>
                <c:pt idx="484">
                  <c:v>34.299999999999997</c:v>
                </c:pt>
                <c:pt idx="485">
                  <c:v>31.065000000000001</c:v>
                </c:pt>
                <c:pt idx="486">
                  <c:v>21.47</c:v>
                </c:pt>
                <c:pt idx="487">
                  <c:v>28.7</c:v>
                </c:pt>
                <c:pt idx="488">
                  <c:v>38.06</c:v>
                </c:pt>
                <c:pt idx="489">
                  <c:v>31.16</c:v>
                </c:pt>
                <c:pt idx="490">
                  <c:v>32.9</c:v>
                </c:pt>
                <c:pt idx="491">
                  <c:v>25.08</c:v>
                </c:pt>
                <c:pt idx="492">
                  <c:v>25.08</c:v>
                </c:pt>
                <c:pt idx="493">
                  <c:v>43.4</c:v>
                </c:pt>
                <c:pt idx="494">
                  <c:v>25.7</c:v>
                </c:pt>
                <c:pt idx="495">
                  <c:v>27.93</c:v>
                </c:pt>
                <c:pt idx="496">
                  <c:v>23.6</c:v>
                </c:pt>
                <c:pt idx="497">
                  <c:v>28.7</c:v>
                </c:pt>
                <c:pt idx="498">
                  <c:v>23.98</c:v>
                </c:pt>
                <c:pt idx="499">
                  <c:v>39.200000000000003</c:v>
                </c:pt>
                <c:pt idx="500">
                  <c:v>34.4</c:v>
                </c:pt>
                <c:pt idx="501">
                  <c:v>26.03</c:v>
                </c:pt>
                <c:pt idx="502">
                  <c:v>23.21</c:v>
                </c:pt>
                <c:pt idx="503">
                  <c:v>30.25</c:v>
                </c:pt>
                <c:pt idx="504">
                  <c:v>28.93</c:v>
                </c:pt>
                <c:pt idx="505">
                  <c:v>30.875</c:v>
                </c:pt>
                <c:pt idx="506">
                  <c:v>31.35</c:v>
                </c:pt>
                <c:pt idx="507">
                  <c:v>23.75</c:v>
                </c:pt>
                <c:pt idx="508">
                  <c:v>25.27</c:v>
                </c:pt>
                <c:pt idx="509">
                  <c:v>28.7</c:v>
                </c:pt>
                <c:pt idx="510">
                  <c:v>32.11</c:v>
                </c:pt>
                <c:pt idx="511">
                  <c:v>33.659999999999997</c:v>
                </c:pt>
                <c:pt idx="512">
                  <c:v>22.42</c:v>
                </c:pt>
                <c:pt idx="513">
                  <c:v>30.4</c:v>
                </c:pt>
                <c:pt idx="514">
                  <c:v>28.3</c:v>
                </c:pt>
                <c:pt idx="515">
                  <c:v>35.700000000000003</c:v>
                </c:pt>
                <c:pt idx="516">
                  <c:v>35.31</c:v>
                </c:pt>
                <c:pt idx="517">
                  <c:v>30.495000000000001</c:v>
                </c:pt>
                <c:pt idx="518">
                  <c:v>31</c:v>
                </c:pt>
                <c:pt idx="519">
                  <c:v>30.875</c:v>
                </c:pt>
                <c:pt idx="520">
                  <c:v>27.36</c:v>
                </c:pt>
                <c:pt idx="521">
                  <c:v>44.22</c:v>
                </c:pt>
                <c:pt idx="522">
                  <c:v>33.914999999999999</c:v>
                </c:pt>
                <c:pt idx="523">
                  <c:v>37.729999999999997</c:v>
                </c:pt>
                <c:pt idx="524">
                  <c:v>26.07</c:v>
                </c:pt>
                <c:pt idx="525">
                  <c:v>33.880000000000003</c:v>
                </c:pt>
                <c:pt idx="526">
                  <c:v>30.59</c:v>
                </c:pt>
                <c:pt idx="527">
                  <c:v>25.8</c:v>
                </c:pt>
                <c:pt idx="528">
                  <c:v>39.424999999999997</c:v>
                </c:pt>
                <c:pt idx="529">
                  <c:v>25.46</c:v>
                </c:pt>
                <c:pt idx="530">
                  <c:v>42.13</c:v>
                </c:pt>
                <c:pt idx="531">
                  <c:v>31.73</c:v>
                </c:pt>
                <c:pt idx="532">
                  <c:v>29.7</c:v>
                </c:pt>
                <c:pt idx="533">
                  <c:v>36.19</c:v>
                </c:pt>
                <c:pt idx="534">
                  <c:v>40.479999999999997</c:v>
                </c:pt>
                <c:pt idx="535">
                  <c:v>28.024999999999999</c:v>
                </c:pt>
                <c:pt idx="536">
                  <c:v>38.9</c:v>
                </c:pt>
                <c:pt idx="537">
                  <c:v>30.2</c:v>
                </c:pt>
                <c:pt idx="538">
                  <c:v>28.05</c:v>
                </c:pt>
                <c:pt idx="539">
                  <c:v>31.35</c:v>
                </c:pt>
                <c:pt idx="540">
                  <c:v>38</c:v>
                </c:pt>
                <c:pt idx="541">
                  <c:v>31.79</c:v>
                </c:pt>
                <c:pt idx="542">
                  <c:v>36.299999999999997</c:v>
                </c:pt>
                <c:pt idx="543">
                  <c:v>47.41</c:v>
                </c:pt>
                <c:pt idx="544">
                  <c:v>30.21</c:v>
                </c:pt>
                <c:pt idx="545">
                  <c:v>25.84</c:v>
                </c:pt>
                <c:pt idx="546">
                  <c:v>35.435000000000002</c:v>
                </c:pt>
                <c:pt idx="547">
                  <c:v>46.7</c:v>
                </c:pt>
                <c:pt idx="548">
                  <c:v>28.594999999999999</c:v>
                </c:pt>
                <c:pt idx="549">
                  <c:v>46.2</c:v>
                </c:pt>
                <c:pt idx="550">
                  <c:v>30.8</c:v>
                </c:pt>
                <c:pt idx="551">
                  <c:v>28.93</c:v>
                </c:pt>
                <c:pt idx="552">
                  <c:v>21.4</c:v>
                </c:pt>
                <c:pt idx="553">
                  <c:v>31.73</c:v>
                </c:pt>
                <c:pt idx="554">
                  <c:v>41.325000000000003</c:v>
                </c:pt>
                <c:pt idx="555">
                  <c:v>23.8</c:v>
                </c:pt>
                <c:pt idx="556">
                  <c:v>33.44</c:v>
                </c:pt>
                <c:pt idx="557">
                  <c:v>34.21</c:v>
                </c:pt>
                <c:pt idx="558">
                  <c:v>34.104999999999997</c:v>
                </c:pt>
                <c:pt idx="559">
                  <c:v>35.53</c:v>
                </c:pt>
                <c:pt idx="560">
                  <c:v>19.95</c:v>
                </c:pt>
                <c:pt idx="561">
                  <c:v>32.68</c:v>
                </c:pt>
                <c:pt idx="562">
                  <c:v>30.5</c:v>
                </c:pt>
                <c:pt idx="563">
                  <c:v>44.77</c:v>
                </c:pt>
                <c:pt idx="564">
                  <c:v>32.119999999999997</c:v>
                </c:pt>
                <c:pt idx="565">
                  <c:v>30.495000000000001</c:v>
                </c:pt>
                <c:pt idx="566">
                  <c:v>40.564999999999998</c:v>
                </c:pt>
                <c:pt idx="567">
                  <c:v>30.59</c:v>
                </c:pt>
                <c:pt idx="568">
                  <c:v>31.9</c:v>
                </c:pt>
                <c:pt idx="569">
                  <c:v>40.564999999999998</c:v>
                </c:pt>
                <c:pt idx="570">
                  <c:v>29.1</c:v>
                </c:pt>
                <c:pt idx="571">
                  <c:v>37.29</c:v>
                </c:pt>
                <c:pt idx="572">
                  <c:v>43.12</c:v>
                </c:pt>
                <c:pt idx="573">
                  <c:v>36.86</c:v>
                </c:pt>
                <c:pt idx="574">
                  <c:v>34.295000000000002</c:v>
                </c:pt>
                <c:pt idx="575">
                  <c:v>27.17</c:v>
                </c:pt>
                <c:pt idx="576">
                  <c:v>26.84</c:v>
                </c:pt>
                <c:pt idx="577">
                  <c:v>38.094999999999999</c:v>
                </c:pt>
                <c:pt idx="578">
                  <c:v>30.2</c:v>
                </c:pt>
                <c:pt idx="579">
                  <c:v>23.465</c:v>
                </c:pt>
                <c:pt idx="580">
                  <c:v>25.46</c:v>
                </c:pt>
                <c:pt idx="581">
                  <c:v>30.59</c:v>
                </c:pt>
                <c:pt idx="582">
                  <c:v>45.43</c:v>
                </c:pt>
                <c:pt idx="583">
                  <c:v>23.65</c:v>
                </c:pt>
                <c:pt idx="584">
                  <c:v>20.7</c:v>
                </c:pt>
                <c:pt idx="585">
                  <c:v>28.27</c:v>
                </c:pt>
                <c:pt idx="586">
                  <c:v>20.234999999999999</c:v>
                </c:pt>
                <c:pt idx="587">
                  <c:v>30.21</c:v>
                </c:pt>
                <c:pt idx="588">
                  <c:v>35.909999999999997</c:v>
                </c:pt>
                <c:pt idx="589">
                  <c:v>30.69</c:v>
                </c:pt>
                <c:pt idx="590">
                  <c:v>29</c:v>
                </c:pt>
                <c:pt idx="591">
                  <c:v>19.57</c:v>
                </c:pt>
                <c:pt idx="592">
                  <c:v>31.13</c:v>
                </c:pt>
                <c:pt idx="593">
                  <c:v>21.85</c:v>
                </c:pt>
                <c:pt idx="594">
                  <c:v>40.26</c:v>
                </c:pt>
                <c:pt idx="595">
                  <c:v>33.725000000000001</c:v>
                </c:pt>
                <c:pt idx="596">
                  <c:v>29.48</c:v>
                </c:pt>
                <c:pt idx="597">
                  <c:v>33.25</c:v>
                </c:pt>
                <c:pt idx="598">
                  <c:v>32.6</c:v>
                </c:pt>
                <c:pt idx="599">
                  <c:v>37.524999999999999</c:v>
                </c:pt>
                <c:pt idx="600">
                  <c:v>39.159999999999997</c:v>
                </c:pt>
                <c:pt idx="601">
                  <c:v>31.635000000000002</c:v>
                </c:pt>
                <c:pt idx="602">
                  <c:v>25.3</c:v>
                </c:pt>
                <c:pt idx="603">
                  <c:v>39.049999999999997</c:v>
                </c:pt>
                <c:pt idx="604">
                  <c:v>28.31</c:v>
                </c:pt>
                <c:pt idx="605">
                  <c:v>34.1</c:v>
                </c:pt>
                <c:pt idx="606">
                  <c:v>25.175000000000001</c:v>
                </c:pt>
                <c:pt idx="607">
                  <c:v>23.655000000000001</c:v>
                </c:pt>
                <c:pt idx="608">
                  <c:v>26.98</c:v>
                </c:pt>
                <c:pt idx="609">
                  <c:v>37.799999999999997</c:v>
                </c:pt>
                <c:pt idx="610">
                  <c:v>29.37</c:v>
                </c:pt>
                <c:pt idx="611">
                  <c:v>34.799999999999997</c:v>
                </c:pt>
                <c:pt idx="612">
                  <c:v>33.155000000000001</c:v>
                </c:pt>
                <c:pt idx="613">
                  <c:v>19</c:v>
                </c:pt>
                <c:pt idx="614">
                  <c:v>33</c:v>
                </c:pt>
                <c:pt idx="615">
                  <c:v>36.630000000000003</c:v>
                </c:pt>
                <c:pt idx="616">
                  <c:v>28.594999999999999</c:v>
                </c:pt>
                <c:pt idx="617">
                  <c:v>25.6</c:v>
                </c:pt>
                <c:pt idx="618">
                  <c:v>33.11</c:v>
                </c:pt>
                <c:pt idx="619">
                  <c:v>37.1</c:v>
                </c:pt>
                <c:pt idx="620">
                  <c:v>31.4</c:v>
                </c:pt>
                <c:pt idx="621">
                  <c:v>34.1</c:v>
                </c:pt>
                <c:pt idx="622">
                  <c:v>21.3</c:v>
                </c:pt>
                <c:pt idx="623">
                  <c:v>33.534999999999997</c:v>
                </c:pt>
                <c:pt idx="624">
                  <c:v>28.785</c:v>
                </c:pt>
                <c:pt idx="625">
                  <c:v>26.03</c:v>
                </c:pt>
                <c:pt idx="626">
                  <c:v>28.88</c:v>
                </c:pt>
                <c:pt idx="627">
                  <c:v>42.46</c:v>
                </c:pt>
                <c:pt idx="628">
                  <c:v>38</c:v>
                </c:pt>
                <c:pt idx="629">
                  <c:v>38.950000000000003</c:v>
                </c:pt>
                <c:pt idx="630">
                  <c:v>36.1</c:v>
                </c:pt>
                <c:pt idx="631">
                  <c:v>29.3</c:v>
                </c:pt>
                <c:pt idx="632">
                  <c:v>35.53</c:v>
                </c:pt>
                <c:pt idx="633">
                  <c:v>22.704999999999998</c:v>
                </c:pt>
                <c:pt idx="634">
                  <c:v>39.700000000000003</c:v>
                </c:pt>
                <c:pt idx="635">
                  <c:v>38.19</c:v>
                </c:pt>
                <c:pt idx="636">
                  <c:v>24.51</c:v>
                </c:pt>
                <c:pt idx="637">
                  <c:v>38.094999999999999</c:v>
                </c:pt>
                <c:pt idx="638">
                  <c:v>26.41</c:v>
                </c:pt>
                <c:pt idx="639">
                  <c:v>33.659999999999997</c:v>
                </c:pt>
                <c:pt idx="640">
                  <c:v>42.4</c:v>
                </c:pt>
                <c:pt idx="641">
                  <c:v>28.31</c:v>
                </c:pt>
                <c:pt idx="642">
                  <c:v>33.914999999999999</c:v>
                </c:pt>
                <c:pt idx="643">
                  <c:v>34.96</c:v>
                </c:pt>
                <c:pt idx="644">
                  <c:v>35.31</c:v>
                </c:pt>
                <c:pt idx="645">
                  <c:v>30.78</c:v>
                </c:pt>
                <c:pt idx="646">
                  <c:v>26.22</c:v>
                </c:pt>
                <c:pt idx="647">
                  <c:v>23.37</c:v>
                </c:pt>
                <c:pt idx="648">
                  <c:v>28.5</c:v>
                </c:pt>
                <c:pt idx="649">
                  <c:v>32.965000000000003</c:v>
                </c:pt>
                <c:pt idx="650">
                  <c:v>42.68</c:v>
                </c:pt>
                <c:pt idx="651">
                  <c:v>39.6</c:v>
                </c:pt>
                <c:pt idx="652">
                  <c:v>31.13</c:v>
                </c:pt>
                <c:pt idx="653">
                  <c:v>36.299999999999997</c:v>
                </c:pt>
                <c:pt idx="654">
                  <c:v>35.200000000000003</c:v>
                </c:pt>
                <c:pt idx="655">
                  <c:v>25.3</c:v>
                </c:pt>
                <c:pt idx="656">
                  <c:v>42.4</c:v>
                </c:pt>
                <c:pt idx="657">
                  <c:v>33.155000000000001</c:v>
                </c:pt>
                <c:pt idx="658">
                  <c:v>35.909999999999997</c:v>
                </c:pt>
                <c:pt idx="659">
                  <c:v>28.785</c:v>
                </c:pt>
                <c:pt idx="660">
                  <c:v>46.53</c:v>
                </c:pt>
                <c:pt idx="661">
                  <c:v>23.98</c:v>
                </c:pt>
                <c:pt idx="662">
                  <c:v>31.54</c:v>
                </c:pt>
                <c:pt idx="663">
                  <c:v>33.659999999999997</c:v>
                </c:pt>
                <c:pt idx="664">
                  <c:v>22.99</c:v>
                </c:pt>
                <c:pt idx="665">
                  <c:v>38.06</c:v>
                </c:pt>
                <c:pt idx="666">
                  <c:v>28.7</c:v>
                </c:pt>
                <c:pt idx="667">
                  <c:v>32.774999999999999</c:v>
                </c:pt>
                <c:pt idx="668">
                  <c:v>32.015000000000001</c:v>
                </c:pt>
                <c:pt idx="669">
                  <c:v>29.81</c:v>
                </c:pt>
                <c:pt idx="670">
                  <c:v>31.57</c:v>
                </c:pt>
                <c:pt idx="671">
                  <c:v>31.16</c:v>
                </c:pt>
                <c:pt idx="672">
                  <c:v>29.7</c:v>
                </c:pt>
                <c:pt idx="673">
                  <c:v>31.02</c:v>
                </c:pt>
                <c:pt idx="674">
                  <c:v>43.89</c:v>
                </c:pt>
                <c:pt idx="675">
                  <c:v>21.375</c:v>
                </c:pt>
                <c:pt idx="676">
                  <c:v>40.81</c:v>
                </c:pt>
                <c:pt idx="677">
                  <c:v>31.35</c:v>
                </c:pt>
                <c:pt idx="678">
                  <c:v>36.1</c:v>
                </c:pt>
                <c:pt idx="679">
                  <c:v>23.18</c:v>
                </c:pt>
                <c:pt idx="680">
                  <c:v>17.399999999999999</c:v>
                </c:pt>
                <c:pt idx="681">
                  <c:v>20.3</c:v>
                </c:pt>
                <c:pt idx="682">
                  <c:v>35.299999999999997</c:v>
                </c:pt>
                <c:pt idx="683">
                  <c:v>24.32</c:v>
                </c:pt>
                <c:pt idx="684">
                  <c:v>18.5</c:v>
                </c:pt>
                <c:pt idx="685">
                  <c:v>26.41</c:v>
                </c:pt>
                <c:pt idx="686">
                  <c:v>26.125</c:v>
                </c:pt>
                <c:pt idx="687">
                  <c:v>41.69</c:v>
                </c:pt>
                <c:pt idx="688">
                  <c:v>24.1</c:v>
                </c:pt>
                <c:pt idx="689">
                  <c:v>31.13</c:v>
                </c:pt>
                <c:pt idx="690">
                  <c:v>27.36</c:v>
                </c:pt>
                <c:pt idx="691">
                  <c:v>36.200000000000003</c:v>
                </c:pt>
                <c:pt idx="692">
                  <c:v>32.395000000000003</c:v>
                </c:pt>
                <c:pt idx="693">
                  <c:v>23.655000000000001</c:v>
                </c:pt>
                <c:pt idx="694">
                  <c:v>34.799999999999997</c:v>
                </c:pt>
                <c:pt idx="695">
                  <c:v>40.185000000000002</c:v>
                </c:pt>
                <c:pt idx="696">
                  <c:v>32.299999999999997</c:v>
                </c:pt>
                <c:pt idx="697">
                  <c:v>35.75</c:v>
                </c:pt>
                <c:pt idx="698">
                  <c:v>33.725000000000001</c:v>
                </c:pt>
                <c:pt idx="699">
                  <c:v>39.270000000000003</c:v>
                </c:pt>
                <c:pt idx="700">
                  <c:v>34.869999999999997</c:v>
                </c:pt>
                <c:pt idx="701">
                  <c:v>44.744999999999997</c:v>
                </c:pt>
                <c:pt idx="702">
                  <c:v>41.47</c:v>
                </c:pt>
                <c:pt idx="703">
                  <c:v>26.41</c:v>
                </c:pt>
                <c:pt idx="704">
                  <c:v>29.545000000000002</c:v>
                </c:pt>
                <c:pt idx="705">
                  <c:v>32.9</c:v>
                </c:pt>
                <c:pt idx="706">
                  <c:v>38.06</c:v>
                </c:pt>
                <c:pt idx="707">
                  <c:v>28.69</c:v>
                </c:pt>
                <c:pt idx="708">
                  <c:v>30.495000000000001</c:v>
                </c:pt>
                <c:pt idx="709">
                  <c:v>27.74</c:v>
                </c:pt>
                <c:pt idx="710">
                  <c:v>35.200000000000003</c:v>
                </c:pt>
                <c:pt idx="711">
                  <c:v>23.54</c:v>
                </c:pt>
                <c:pt idx="712">
                  <c:v>30.684999999999999</c:v>
                </c:pt>
                <c:pt idx="713">
                  <c:v>40.47</c:v>
                </c:pt>
                <c:pt idx="714">
                  <c:v>22.6</c:v>
                </c:pt>
                <c:pt idx="715">
                  <c:v>28.9</c:v>
                </c:pt>
                <c:pt idx="716">
                  <c:v>22.61</c:v>
                </c:pt>
                <c:pt idx="717">
                  <c:v>24.32</c:v>
                </c:pt>
                <c:pt idx="718">
                  <c:v>36.67</c:v>
                </c:pt>
                <c:pt idx="719">
                  <c:v>33.44</c:v>
                </c:pt>
                <c:pt idx="720">
                  <c:v>40.659999999999997</c:v>
                </c:pt>
                <c:pt idx="721">
                  <c:v>36.6</c:v>
                </c:pt>
                <c:pt idx="722">
                  <c:v>37.4</c:v>
                </c:pt>
                <c:pt idx="723">
                  <c:v>35.4</c:v>
                </c:pt>
                <c:pt idx="724">
                  <c:v>27.074999999999999</c:v>
                </c:pt>
                <c:pt idx="725">
                  <c:v>39.049999999999997</c:v>
                </c:pt>
                <c:pt idx="726">
                  <c:v>28.405000000000001</c:v>
                </c:pt>
                <c:pt idx="727">
                  <c:v>21.754999999999999</c:v>
                </c:pt>
                <c:pt idx="728">
                  <c:v>40.28</c:v>
                </c:pt>
                <c:pt idx="729">
                  <c:v>36.08</c:v>
                </c:pt>
                <c:pt idx="730">
                  <c:v>24.42</c:v>
                </c:pt>
                <c:pt idx="731">
                  <c:v>21.4</c:v>
                </c:pt>
                <c:pt idx="732">
                  <c:v>30.1</c:v>
                </c:pt>
                <c:pt idx="733">
                  <c:v>27.265000000000001</c:v>
                </c:pt>
                <c:pt idx="734">
                  <c:v>32.1</c:v>
                </c:pt>
                <c:pt idx="735">
                  <c:v>34.770000000000003</c:v>
                </c:pt>
                <c:pt idx="736">
                  <c:v>38.39</c:v>
                </c:pt>
                <c:pt idx="737">
                  <c:v>23.7</c:v>
                </c:pt>
                <c:pt idx="738">
                  <c:v>31.73</c:v>
                </c:pt>
                <c:pt idx="739">
                  <c:v>35.5</c:v>
                </c:pt>
                <c:pt idx="740">
                  <c:v>24.035</c:v>
                </c:pt>
                <c:pt idx="741">
                  <c:v>29.15</c:v>
                </c:pt>
                <c:pt idx="742">
                  <c:v>34.104999999999997</c:v>
                </c:pt>
                <c:pt idx="743">
                  <c:v>26.62</c:v>
                </c:pt>
                <c:pt idx="744">
                  <c:v>26.41</c:v>
                </c:pt>
                <c:pt idx="745">
                  <c:v>30.114999999999998</c:v>
                </c:pt>
                <c:pt idx="746">
                  <c:v>27</c:v>
                </c:pt>
                <c:pt idx="747">
                  <c:v>21.754999999999999</c:v>
                </c:pt>
                <c:pt idx="748">
                  <c:v>36</c:v>
                </c:pt>
                <c:pt idx="749">
                  <c:v>30.875</c:v>
                </c:pt>
                <c:pt idx="750">
                  <c:v>26.4</c:v>
                </c:pt>
                <c:pt idx="751">
                  <c:v>28.975000000000001</c:v>
                </c:pt>
                <c:pt idx="752">
                  <c:v>37.905000000000001</c:v>
                </c:pt>
                <c:pt idx="753">
                  <c:v>22.77</c:v>
                </c:pt>
                <c:pt idx="754">
                  <c:v>33.630000000000003</c:v>
                </c:pt>
                <c:pt idx="755">
                  <c:v>27.645</c:v>
                </c:pt>
                <c:pt idx="756">
                  <c:v>22.8</c:v>
                </c:pt>
                <c:pt idx="757">
                  <c:v>27.83</c:v>
                </c:pt>
                <c:pt idx="758">
                  <c:v>37.43</c:v>
                </c:pt>
                <c:pt idx="759">
                  <c:v>38.17</c:v>
                </c:pt>
                <c:pt idx="760">
                  <c:v>34.58</c:v>
                </c:pt>
                <c:pt idx="761">
                  <c:v>35.200000000000003</c:v>
                </c:pt>
                <c:pt idx="762">
                  <c:v>27.1</c:v>
                </c:pt>
                <c:pt idx="763">
                  <c:v>26.03</c:v>
                </c:pt>
                <c:pt idx="764">
                  <c:v>25.175000000000001</c:v>
                </c:pt>
                <c:pt idx="765">
                  <c:v>31.824999999999999</c:v>
                </c:pt>
                <c:pt idx="766">
                  <c:v>32.299999999999997</c:v>
                </c:pt>
                <c:pt idx="767">
                  <c:v>29</c:v>
                </c:pt>
                <c:pt idx="768">
                  <c:v>39.700000000000003</c:v>
                </c:pt>
                <c:pt idx="769">
                  <c:v>19.475000000000001</c:v>
                </c:pt>
                <c:pt idx="770">
                  <c:v>36.1</c:v>
                </c:pt>
                <c:pt idx="771">
                  <c:v>26.7</c:v>
                </c:pt>
                <c:pt idx="772">
                  <c:v>36.479999999999997</c:v>
                </c:pt>
                <c:pt idx="773">
                  <c:v>28.88</c:v>
                </c:pt>
                <c:pt idx="774">
                  <c:v>34.200000000000003</c:v>
                </c:pt>
                <c:pt idx="775">
                  <c:v>33.33</c:v>
                </c:pt>
                <c:pt idx="776">
                  <c:v>32.299999999999997</c:v>
                </c:pt>
                <c:pt idx="777">
                  <c:v>39.805</c:v>
                </c:pt>
                <c:pt idx="778">
                  <c:v>34.32</c:v>
                </c:pt>
                <c:pt idx="779">
                  <c:v>28.88</c:v>
                </c:pt>
                <c:pt idx="780">
                  <c:v>24.4</c:v>
                </c:pt>
                <c:pt idx="781">
                  <c:v>41.14</c:v>
                </c:pt>
                <c:pt idx="782">
                  <c:v>35.97</c:v>
                </c:pt>
                <c:pt idx="783">
                  <c:v>27.6</c:v>
                </c:pt>
                <c:pt idx="784">
                  <c:v>29.26</c:v>
                </c:pt>
                <c:pt idx="785">
                  <c:v>27.7</c:v>
                </c:pt>
                <c:pt idx="786">
                  <c:v>36.954999999999998</c:v>
                </c:pt>
                <c:pt idx="787">
                  <c:v>36.86</c:v>
                </c:pt>
                <c:pt idx="788">
                  <c:v>22.515000000000001</c:v>
                </c:pt>
                <c:pt idx="789">
                  <c:v>29.92</c:v>
                </c:pt>
                <c:pt idx="790">
                  <c:v>41.8</c:v>
                </c:pt>
                <c:pt idx="791">
                  <c:v>27.6</c:v>
                </c:pt>
                <c:pt idx="792">
                  <c:v>23.18</c:v>
                </c:pt>
                <c:pt idx="793">
                  <c:v>20.9</c:v>
                </c:pt>
                <c:pt idx="794">
                  <c:v>31.92</c:v>
                </c:pt>
                <c:pt idx="795">
                  <c:v>28.5</c:v>
                </c:pt>
                <c:pt idx="796">
                  <c:v>44.22</c:v>
                </c:pt>
                <c:pt idx="797">
                  <c:v>22.895</c:v>
                </c:pt>
                <c:pt idx="798">
                  <c:v>33.1</c:v>
                </c:pt>
                <c:pt idx="799">
                  <c:v>24.795000000000002</c:v>
                </c:pt>
                <c:pt idx="800">
                  <c:v>26.18</c:v>
                </c:pt>
                <c:pt idx="801">
                  <c:v>35.97</c:v>
                </c:pt>
                <c:pt idx="802">
                  <c:v>22.3</c:v>
                </c:pt>
                <c:pt idx="803">
                  <c:v>42.24</c:v>
                </c:pt>
                <c:pt idx="804">
                  <c:v>26.51</c:v>
                </c:pt>
                <c:pt idx="805">
                  <c:v>35.814999999999998</c:v>
                </c:pt>
                <c:pt idx="806">
                  <c:v>41.42</c:v>
                </c:pt>
                <c:pt idx="807">
                  <c:v>36.575000000000003</c:v>
                </c:pt>
                <c:pt idx="808">
                  <c:v>30.14</c:v>
                </c:pt>
                <c:pt idx="809">
                  <c:v>25.84</c:v>
                </c:pt>
                <c:pt idx="810">
                  <c:v>30.8</c:v>
                </c:pt>
                <c:pt idx="811">
                  <c:v>42.94</c:v>
                </c:pt>
                <c:pt idx="812">
                  <c:v>21.01</c:v>
                </c:pt>
                <c:pt idx="813">
                  <c:v>22.515000000000001</c:v>
                </c:pt>
                <c:pt idx="814">
                  <c:v>34.43</c:v>
                </c:pt>
                <c:pt idx="815">
                  <c:v>31.46</c:v>
                </c:pt>
                <c:pt idx="816">
                  <c:v>24.225000000000001</c:v>
                </c:pt>
                <c:pt idx="817">
                  <c:v>37.1</c:v>
                </c:pt>
                <c:pt idx="818">
                  <c:v>26.125</c:v>
                </c:pt>
                <c:pt idx="819">
                  <c:v>35.53</c:v>
                </c:pt>
                <c:pt idx="820">
                  <c:v>33.700000000000003</c:v>
                </c:pt>
                <c:pt idx="821">
                  <c:v>17.670000000000002</c:v>
                </c:pt>
                <c:pt idx="822">
                  <c:v>31.13</c:v>
                </c:pt>
                <c:pt idx="823">
                  <c:v>29.81</c:v>
                </c:pt>
                <c:pt idx="824">
                  <c:v>24.32</c:v>
                </c:pt>
                <c:pt idx="825">
                  <c:v>31.824999999999999</c:v>
                </c:pt>
                <c:pt idx="826">
                  <c:v>31.79</c:v>
                </c:pt>
                <c:pt idx="827">
                  <c:v>28.024999999999999</c:v>
                </c:pt>
                <c:pt idx="828">
                  <c:v>30.78</c:v>
                </c:pt>
                <c:pt idx="829">
                  <c:v>21.85</c:v>
                </c:pt>
                <c:pt idx="830">
                  <c:v>33.1</c:v>
                </c:pt>
                <c:pt idx="831">
                  <c:v>25.84</c:v>
                </c:pt>
                <c:pt idx="832">
                  <c:v>23.844999999999999</c:v>
                </c:pt>
                <c:pt idx="833">
                  <c:v>34.39</c:v>
                </c:pt>
                <c:pt idx="834">
                  <c:v>33.82</c:v>
                </c:pt>
                <c:pt idx="835">
                  <c:v>35.97</c:v>
                </c:pt>
                <c:pt idx="836">
                  <c:v>31.5</c:v>
                </c:pt>
                <c:pt idx="837">
                  <c:v>28.31</c:v>
                </c:pt>
                <c:pt idx="838">
                  <c:v>23.465</c:v>
                </c:pt>
                <c:pt idx="839">
                  <c:v>31.35</c:v>
                </c:pt>
                <c:pt idx="840">
                  <c:v>31.1</c:v>
                </c:pt>
                <c:pt idx="841">
                  <c:v>24.7</c:v>
                </c:pt>
                <c:pt idx="842">
                  <c:v>32.78</c:v>
                </c:pt>
                <c:pt idx="843">
                  <c:v>29.81</c:v>
                </c:pt>
                <c:pt idx="844">
                  <c:v>30.495000000000001</c:v>
                </c:pt>
                <c:pt idx="845">
                  <c:v>32.450000000000003</c:v>
                </c:pt>
                <c:pt idx="846">
                  <c:v>34.200000000000003</c:v>
                </c:pt>
                <c:pt idx="847">
                  <c:v>50.38</c:v>
                </c:pt>
                <c:pt idx="848">
                  <c:v>24.1</c:v>
                </c:pt>
                <c:pt idx="849">
                  <c:v>32.774999999999999</c:v>
                </c:pt>
                <c:pt idx="850">
                  <c:v>30.78</c:v>
                </c:pt>
                <c:pt idx="851">
                  <c:v>32.299999999999997</c:v>
                </c:pt>
                <c:pt idx="852">
                  <c:v>35.53</c:v>
                </c:pt>
                <c:pt idx="853">
                  <c:v>23.75</c:v>
                </c:pt>
                <c:pt idx="854">
                  <c:v>23.844999999999999</c:v>
                </c:pt>
                <c:pt idx="855">
                  <c:v>29.6</c:v>
                </c:pt>
                <c:pt idx="856">
                  <c:v>33.11</c:v>
                </c:pt>
                <c:pt idx="857">
                  <c:v>24.13</c:v>
                </c:pt>
                <c:pt idx="858">
                  <c:v>32.229999999999997</c:v>
                </c:pt>
                <c:pt idx="859">
                  <c:v>28.1</c:v>
                </c:pt>
                <c:pt idx="860">
                  <c:v>47.6</c:v>
                </c:pt>
                <c:pt idx="861">
                  <c:v>28</c:v>
                </c:pt>
                <c:pt idx="862">
                  <c:v>33.534999999999997</c:v>
                </c:pt>
                <c:pt idx="863">
                  <c:v>19.855</c:v>
                </c:pt>
                <c:pt idx="864">
                  <c:v>25.4</c:v>
                </c:pt>
                <c:pt idx="865">
                  <c:v>29.9</c:v>
                </c:pt>
                <c:pt idx="866">
                  <c:v>37.29</c:v>
                </c:pt>
                <c:pt idx="867">
                  <c:v>43.7</c:v>
                </c:pt>
                <c:pt idx="868">
                  <c:v>23.655000000000001</c:v>
                </c:pt>
                <c:pt idx="869">
                  <c:v>24.3</c:v>
                </c:pt>
                <c:pt idx="870">
                  <c:v>36.200000000000003</c:v>
                </c:pt>
                <c:pt idx="871">
                  <c:v>29.48</c:v>
                </c:pt>
                <c:pt idx="872">
                  <c:v>24.86</c:v>
                </c:pt>
                <c:pt idx="873">
                  <c:v>30.1</c:v>
                </c:pt>
                <c:pt idx="874">
                  <c:v>21.85</c:v>
                </c:pt>
                <c:pt idx="875">
                  <c:v>28.12</c:v>
                </c:pt>
                <c:pt idx="876">
                  <c:v>27.1</c:v>
                </c:pt>
                <c:pt idx="877">
                  <c:v>33.44</c:v>
                </c:pt>
                <c:pt idx="878">
                  <c:v>28.8</c:v>
                </c:pt>
                <c:pt idx="879">
                  <c:v>29.5</c:v>
                </c:pt>
                <c:pt idx="880">
                  <c:v>34.799999999999997</c:v>
                </c:pt>
                <c:pt idx="881">
                  <c:v>27.36</c:v>
                </c:pt>
                <c:pt idx="882">
                  <c:v>22.135000000000002</c:v>
                </c:pt>
                <c:pt idx="883">
                  <c:v>37.049999999999997</c:v>
                </c:pt>
                <c:pt idx="884">
                  <c:v>26.695</c:v>
                </c:pt>
                <c:pt idx="885">
                  <c:v>28.93</c:v>
                </c:pt>
                <c:pt idx="886">
                  <c:v>28.975000000000001</c:v>
                </c:pt>
                <c:pt idx="887">
                  <c:v>30.02</c:v>
                </c:pt>
                <c:pt idx="888">
                  <c:v>39.5</c:v>
                </c:pt>
                <c:pt idx="889">
                  <c:v>33.630000000000003</c:v>
                </c:pt>
                <c:pt idx="890">
                  <c:v>26.885000000000002</c:v>
                </c:pt>
                <c:pt idx="891">
                  <c:v>29.04</c:v>
                </c:pt>
                <c:pt idx="892">
                  <c:v>24.035</c:v>
                </c:pt>
                <c:pt idx="893">
                  <c:v>38.94</c:v>
                </c:pt>
                <c:pt idx="894">
                  <c:v>32.11</c:v>
                </c:pt>
                <c:pt idx="895">
                  <c:v>44</c:v>
                </c:pt>
                <c:pt idx="896">
                  <c:v>20.045000000000002</c:v>
                </c:pt>
                <c:pt idx="897">
                  <c:v>25.555</c:v>
                </c:pt>
                <c:pt idx="898">
                  <c:v>40.26</c:v>
                </c:pt>
                <c:pt idx="899">
                  <c:v>22.515000000000001</c:v>
                </c:pt>
                <c:pt idx="900">
                  <c:v>22.515000000000001</c:v>
                </c:pt>
                <c:pt idx="901">
                  <c:v>40.92</c:v>
                </c:pt>
                <c:pt idx="902">
                  <c:v>27.265000000000001</c:v>
                </c:pt>
                <c:pt idx="903">
                  <c:v>36.85</c:v>
                </c:pt>
                <c:pt idx="904">
                  <c:v>35.1</c:v>
                </c:pt>
                <c:pt idx="905">
                  <c:v>29.355</c:v>
                </c:pt>
                <c:pt idx="906">
                  <c:v>32.585000000000001</c:v>
                </c:pt>
                <c:pt idx="907">
                  <c:v>32.340000000000003</c:v>
                </c:pt>
                <c:pt idx="908">
                  <c:v>39.799999999999997</c:v>
                </c:pt>
                <c:pt idx="909">
                  <c:v>24.6</c:v>
                </c:pt>
                <c:pt idx="910">
                  <c:v>28.31</c:v>
                </c:pt>
                <c:pt idx="911">
                  <c:v>31.73</c:v>
                </c:pt>
                <c:pt idx="912">
                  <c:v>26.695</c:v>
                </c:pt>
                <c:pt idx="913">
                  <c:v>27.5</c:v>
                </c:pt>
                <c:pt idx="914">
                  <c:v>24.605</c:v>
                </c:pt>
                <c:pt idx="915">
                  <c:v>33.99</c:v>
                </c:pt>
                <c:pt idx="916">
                  <c:v>26.885000000000002</c:v>
                </c:pt>
                <c:pt idx="917">
                  <c:v>22.895</c:v>
                </c:pt>
                <c:pt idx="918">
                  <c:v>28.2</c:v>
                </c:pt>
                <c:pt idx="919">
                  <c:v>34.21</c:v>
                </c:pt>
                <c:pt idx="920">
                  <c:v>25</c:v>
                </c:pt>
                <c:pt idx="921">
                  <c:v>33.200000000000003</c:v>
                </c:pt>
                <c:pt idx="922">
                  <c:v>31</c:v>
                </c:pt>
                <c:pt idx="923">
                  <c:v>35.814999999999998</c:v>
                </c:pt>
                <c:pt idx="924">
                  <c:v>23.2</c:v>
                </c:pt>
                <c:pt idx="925">
                  <c:v>32.11</c:v>
                </c:pt>
                <c:pt idx="926">
                  <c:v>23.4</c:v>
                </c:pt>
                <c:pt idx="927">
                  <c:v>20.100000000000001</c:v>
                </c:pt>
                <c:pt idx="928">
                  <c:v>39.159999999999997</c:v>
                </c:pt>
                <c:pt idx="929">
                  <c:v>34.21</c:v>
                </c:pt>
                <c:pt idx="930">
                  <c:v>46.53</c:v>
                </c:pt>
                <c:pt idx="931">
                  <c:v>32.5</c:v>
                </c:pt>
                <c:pt idx="932">
                  <c:v>25.8</c:v>
                </c:pt>
                <c:pt idx="933">
                  <c:v>35.299999999999997</c:v>
                </c:pt>
                <c:pt idx="934">
                  <c:v>37.18</c:v>
                </c:pt>
                <c:pt idx="935">
                  <c:v>27.5</c:v>
                </c:pt>
                <c:pt idx="936">
                  <c:v>29.734999999999999</c:v>
                </c:pt>
                <c:pt idx="937">
                  <c:v>24.225000000000001</c:v>
                </c:pt>
                <c:pt idx="938">
                  <c:v>26.18</c:v>
                </c:pt>
                <c:pt idx="939">
                  <c:v>29.48</c:v>
                </c:pt>
                <c:pt idx="940">
                  <c:v>23.21</c:v>
                </c:pt>
                <c:pt idx="941">
                  <c:v>46.09</c:v>
                </c:pt>
                <c:pt idx="942">
                  <c:v>40.185000000000002</c:v>
                </c:pt>
                <c:pt idx="943">
                  <c:v>22.61</c:v>
                </c:pt>
                <c:pt idx="944">
                  <c:v>39.93</c:v>
                </c:pt>
                <c:pt idx="945">
                  <c:v>35.799999999999997</c:v>
                </c:pt>
                <c:pt idx="946">
                  <c:v>35.799999999999997</c:v>
                </c:pt>
                <c:pt idx="947">
                  <c:v>34.200000000000003</c:v>
                </c:pt>
                <c:pt idx="948">
                  <c:v>31.254999999999999</c:v>
                </c:pt>
                <c:pt idx="949">
                  <c:v>29.7</c:v>
                </c:pt>
                <c:pt idx="950">
                  <c:v>18.335000000000001</c:v>
                </c:pt>
                <c:pt idx="951">
                  <c:v>42.9</c:v>
                </c:pt>
                <c:pt idx="952">
                  <c:v>28.405000000000001</c:v>
                </c:pt>
                <c:pt idx="953">
                  <c:v>30.2</c:v>
                </c:pt>
                <c:pt idx="954">
                  <c:v>27.835000000000001</c:v>
                </c:pt>
                <c:pt idx="955">
                  <c:v>39.49</c:v>
                </c:pt>
                <c:pt idx="956">
                  <c:v>30.8</c:v>
                </c:pt>
                <c:pt idx="957">
                  <c:v>26.79</c:v>
                </c:pt>
                <c:pt idx="958">
                  <c:v>34.96</c:v>
                </c:pt>
                <c:pt idx="959">
                  <c:v>36.67</c:v>
                </c:pt>
                <c:pt idx="960">
                  <c:v>39.615000000000002</c:v>
                </c:pt>
                <c:pt idx="961">
                  <c:v>25.9</c:v>
                </c:pt>
                <c:pt idx="962">
                  <c:v>35.200000000000003</c:v>
                </c:pt>
                <c:pt idx="963">
                  <c:v>24.795000000000002</c:v>
                </c:pt>
                <c:pt idx="964">
                  <c:v>36.765000000000001</c:v>
                </c:pt>
                <c:pt idx="965">
                  <c:v>27.1</c:v>
                </c:pt>
                <c:pt idx="966">
                  <c:v>24.795000000000002</c:v>
                </c:pt>
                <c:pt idx="967">
                  <c:v>25.364999999999998</c:v>
                </c:pt>
                <c:pt idx="968">
                  <c:v>25.745000000000001</c:v>
                </c:pt>
                <c:pt idx="969">
                  <c:v>34.32</c:v>
                </c:pt>
                <c:pt idx="970">
                  <c:v>28.16</c:v>
                </c:pt>
                <c:pt idx="971">
                  <c:v>23.56</c:v>
                </c:pt>
                <c:pt idx="972">
                  <c:v>20.234999999999999</c:v>
                </c:pt>
                <c:pt idx="973">
                  <c:v>40.5</c:v>
                </c:pt>
                <c:pt idx="974">
                  <c:v>35.42</c:v>
                </c:pt>
                <c:pt idx="975">
                  <c:v>22.895</c:v>
                </c:pt>
                <c:pt idx="976">
                  <c:v>40.15</c:v>
                </c:pt>
                <c:pt idx="977">
                  <c:v>29.15</c:v>
                </c:pt>
                <c:pt idx="978">
                  <c:v>39.994999999999997</c:v>
                </c:pt>
                <c:pt idx="979">
                  <c:v>29.92</c:v>
                </c:pt>
                <c:pt idx="980">
                  <c:v>25.46</c:v>
                </c:pt>
                <c:pt idx="981">
                  <c:v>21.375</c:v>
                </c:pt>
                <c:pt idx="982">
                  <c:v>25.9</c:v>
                </c:pt>
                <c:pt idx="983">
                  <c:v>30.59</c:v>
                </c:pt>
                <c:pt idx="984">
                  <c:v>30.114999999999998</c:v>
                </c:pt>
                <c:pt idx="985">
                  <c:v>25.8</c:v>
                </c:pt>
                <c:pt idx="986">
                  <c:v>30.114999999999998</c:v>
                </c:pt>
                <c:pt idx="987">
                  <c:v>27.645</c:v>
                </c:pt>
                <c:pt idx="988">
                  <c:v>34.674999999999997</c:v>
                </c:pt>
                <c:pt idx="989">
                  <c:v>20.52</c:v>
                </c:pt>
                <c:pt idx="990">
                  <c:v>19.8</c:v>
                </c:pt>
                <c:pt idx="991">
                  <c:v>27.835000000000001</c:v>
                </c:pt>
                <c:pt idx="992">
                  <c:v>31.6</c:v>
                </c:pt>
                <c:pt idx="993">
                  <c:v>28.27</c:v>
                </c:pt>
                <c:pt idx="994">
                  <c:v>20.045000000000002</c:v>
                </c:pt>
                <c:pt idx="995">
                  <c:v>23.274999999999999</c:v>
                </c:pt>
                <c:pt idx="996">
                  <c:v>34.1</c:v>
                </c:pt>
                <c:pt idx="997">
                  <c:v>36.85</c:v>
                </c:pt>
                <c:pt idx="998">
                  <c:v>36.29</c:v>
                </c:pt>
                <c:pt idx="999">
                  <c:v>26.885000000000002</c:v>
                </c:pt>
                <c:pt idx="1000">
                  <c:v>22.99</c:v>
                </c:pt>
                <c:pt idx="1001">
                  <c:v>32.700000000000003</c:v>
                </c:pt>
                <c:pt idx="1002">
                  <c:v>25.8</c:v>
                </c:pt>
                <c:pt idx="1003">
                  <c:v>29.6</c:v>
                </c:pt>
                <c:pt idx="1004">
                  <c:v>19.190000000000001</c:v>
                </c:pt>
                <c:pt idx="1005">
                  <c:v>31.73</c:v>
                </c:pt>
                <c:pt idx="1006">
                  <c:v>29.26</c:v>
                </c:pt>
                <c:pt idx="1007">
                  <c:v>28.215</c:v>
                </c:pt>
                <c:pt idx="1008">
                  <c:v>24.984999999999999</c:v>
                </c:pt>
                <c:pt idx="1009">
                  <c:v>27.74</c:v>
                </c:pt>
                <c:pt idx="1010">
                  <c:v>22.8</c:v>
                </c:pt>
                <c:pt idx="1011">
                  <c:v>20.13</c:v>
                </c:pt>
                <c:pt idx="1012">
                  <c:v>33.33</c:v>
                </c:pt>
                <c:pt idx="1013">
                  <c:v>32.299999999999997</c:v>
                </c:pt>
                <c:pt idx="1014">
                  <c:v>27.6</c:v>
                </c:pt>
                <c:pt idx="1015">
                  <c:v>25.46</c:v>
                </c:pt>
                <c:pt idx="1016">
                  <c:v>24.605</c:v>
                </c:pt>
                <c:pt idx="1017">
                  <c:v>34.200000000000003</c:v>
                </c:pt>
                <c:pt idx="1018">
                  <c:v>35.814999999999998</c:v>
                </c:pt>
                <c:pt idx="1019">
                  <c:v>32.68</c:v>
                </c:pt>
                <c:pt idx="1020">
                  <c:v>37</c:v>
                </c:pt>
                <c:pt idx="1021">
                  <c:v>31.02</c:v>
                </c:pt>
                <c:pt idx="1022">
                  <c:v>36.08</c:v>
                </c:pt>
                <c:pt idx="1023">
                  <c:v>23.32</c:v>
                </c:pt>
                <c:pt idx="1024">
                  <c:v>45.32</c:v>
                </c:pt>
                <c:pt idx="1025">
                  <c:v>34.6</c:v>
                </c:pt>
                <c:pt idx="1026">
                  <c:v>26.03</c:v>
                </c:pt>
                <c:pt idx="1027">
                  <c:v>18.715</c:v>
                </c:pt>
                <c:pt idx="1028">
                  <c:v>31.6</c:v>
                </c:pt>
                <c:pt idx="1029">
                  <c:v>17.29</c:v>
                </c:pt>
                <c:pt idx="1030">
                  <c:v>23.655000000000001</c:v>
                </c:pt>
                <c:pt idx="1031">
                  <c:v>35.200000000000003</c:v>
                </c:pt>
                <c:pt idx="1032">
                  <c:v>27.93</c:v>
                </c:pt>
                <c:pt idx="1033">
                  <c:v>21.565000000000001</c:v>
                </c:pt>
                <c:pt idx="1034">
                  <c:v>38.380000000000003</c:v>
                </c:pt>
                <c:pt idx="1035">
                  <c:v>23</c:v>
                </c:pt>
                <c:pt idx="1036">
                  <c:v>37.07</c:v>
                </c:pt>
                <c:pt idx="1037">
                  <c:v>30.495000000000001</c:v>
                </c:pt>
                <c:pt idx="1038">
                  <c:v>28.88</c:v>
                </c:pt>
                <c:pt idx="1039">
                  <c:v>27.265000000000001</c:v>
                </c:pt>
                <c:pt idx="1040">
                  <c:v>28.024999999999999</c:v>
                </c:pt>
                <c:pt idx="1041">
                  <c:v>23.085000000000001</c:v>
                </c:pt>
                <c:pt idx="1042">
                  <c:v>30.684999999999999</c:v>
                </c:pt>
                <c:pt idx="1043">
                  <c:v>25.8</c:v>
                </c:pt>
                <c:pt idx="1044">
                  <c:v>35.244999999999997</c:v>
                </c:pt>
                <c:pt idx="1045">
                  <c:v>24.7</c:v>
                </c:pt>
                <c:pt idx="1046">
                  <c:v>25.08</c:v>
                </c:pt>
                <c:pt idx="1047">
                  <c:v>52.58</c:v>
                </c:pt>
                <c:pt idx="1048">
                  <c:v>22.515000000000001</c:v>
                </c:pt>
                <c:pt idx="1049">
                  <c:v>30.9</c:v>
                </c:pt>
                <c:pt idx="1050">
                  <c:v>36.954999999999998</c:v>
                </c:pt>
                <c:pt idx="1051">
                  <c:v>26.41</c:v>
                </c:pt>
                <c:pt idx="1052">
                  <c:v>29.83</c:v>
                </c:pt>
                <c:pt idx="1053">
                  <c:v>29.8</c:v>
                </c:pt>
                <c:pt idx="1054">
                  <c:v>21.47</c:v>
                </c:pt>
                <c:pt idx="1055">
                  <c:v>27.645</c:v>
                </c:pt>
                <c:pt idx="1056">
                  <c:v>28.9</c:v>
                </c:pt>
                <c:pt idx="1057">
                  <c:v>31.79</c:v>
                </c:pt>
                <c:pt idx="1058">
                  <c:v>39.49</c:v>
                </c:pt>
                <c:pt idx="1059">
                  <c:v>33.82</c:v>
                </c:pt>
                <c:pt idx="1060">
                  <c:v>32.01</c:v>
                </c:pt>
                <c:pt idx="1061">
                  <c:v>27.94</c:v>
                </c:pt>
                <c:pt idx="1062">
                  <c:v>41.14</c:v>
                </c:pt>
                <c:pt idx="1063">
                  <c:v>28.594999999999999</c:v>
                </c:pt>
                <c:pt idx="1064">
                  <c:v>25.6</c:v>
                </c:pt>
                <c:pt idx="1065">
                  <c:v>25.3</c:v>
                </c:pt>
                <c:pt idx="1066">
                  <c:v>37.29</c:v>
                </c:pt>
                <c:pt idx="1067">
                  <c:v>42.655000000000001</c:v>
                </c:pt>
                <c:pt idx="1068">
                  <c:v>21.66</c:v>
                </c:pt>
                <c:pt idx="1069">
                  <c:v>31.9</c:v>
                </c:pt>
                <c:pt idx="1070">
                  <c:v>37.07</c:v>
                </c:pt>
                <c:pt idx="1071">
                  <c:v>31.445</c:v>
                </c:pt>
                <c:pt idx="1072">
                  <c:v>31.254999999999999</c:v>
                </c:pt>
                <c:pt idx="1073">
                  <c:v>28.88</c:v>
                </c:pt>
                <c:pt idx="1074">
                  <c:v>18.335000000000001</c:v>
                </c:pt>
                <c:pt idx="1075">
                  <c:v>29.59</c:v>
                </c:pt>
                <c:pt idx="1076">
                  <c:v>32</c:v>
                </c:pt>
                <c:pt idx="1077">
                  <c:v>26.03</c:v>
                </c:pt>
                <c:pt idx="1078">
                  <c:v>31.68</c:v>
                </c:pt>
                <c:pt idx="1079">
                  <c:v>33.659999999999997</c:v>
                </c:pt>
                <c:pt idx="1080">
                  <c:v>21.78</c:v>
                </c:pt>
                <c:pt idx="1081">
                  <c:v>27.835000000000001</c:v>
                </c:pt>
                <c:pt idx="1082">
                  <c:v>19.95</c:v>
                </c:pt>
                <c:pt idx="1083">
                  <c:v>31.5</c:v>
                </c:pt>
                <c:pt idx="1084">
                  <c:v>30.495000000000001</c:v>
                </c:pt>
                <c:pt idx="1085">
                  <c:v>18.3</c:v>
                </c:pt>
                <c:pt idx="1086">
                  <c:v>28.975000000000001</c:v>
                </c:pt>
                <c:pt idx="1087">
                  <c:v>31.54</c:v>
                </c:pt>
                <c:pt idx="1088">
                  <c:v>47.74</c:v>
                </c:pt>
                <c:pt idx="1089">
                  <c:v>22.1</c:v>
                </c:pt>
                <c:pt idx="1090">
                  <c:v>36.19</c:v>
                </c:pt>
                <c:pt idx="1091">
                  <c:v>29.83</c:v>
                </c:pt>
                <c:pt idx="1092">
                  <c:v>32.700000000000003</c:v>
                </c:pt>
                <c:pt idx="1093">
                  <c:v>30.4</c:v>
                </c:pt>
                <c:pt idx="1094">
                  <c:v>33.700000000000003</c:v>
                </c:pt>
                <c:pt idx="1095">
                  <c:v>31.35</c:v>
                </c:pt>
                <c:pt idx="1096">
                  <c:v>34.96</c:v>
                </c:pt>
                <c:pt idx="1097">
                  <c:v>33.770000000000003</c:v>
                </c:pt>
                <c:pt idx="1098">
                  <c:v>30.875</c:v>
                </c:pt>
                <c:pt idx="1099">
                  <c:v>33.99</c:v>
                </c:pt>
                <c:pt idx="1100">
                  <c:v>19.094999999999999</c:v>
                </c:pt>
                <c:pt idx="1101">
                  <c:v>28.6</c:v>
                </c:pt>
                <c:pt idx="1102">
                  <c:v>38.94</c:v>
                </c:pt>
                <c:pt idx="1103">
                  <c:v>36.08</c:v>
                </c:pt>
                <c:pt idx="1104">
                  <c:v>29.8</c:v>
                </c:pt>
                <c:pt idx="1105">
                  <c:v>31.24</c:v>
                </c:pt>
                <c:pt idx="1106">
                  <c:v>29.925000000000001</c:v>
                </c:pt>
                <c:pt idx="1107">
                  <c:v>26.22</c:v>
                </c:pt>
                <c:pt idx="1108">
                  <c:v>30</c:v>
                </c:pt>
                <c:pt idx="1109">
                  <c:v>20.350000000000001</c:v>
                </c:pt>
                <c:pt idx="1110">
                  <c:v>32.299999999999997</c:v>
                </c:pt>
                <c:pt idx="1111">
                  <c:v>38.39</c:v>
                </c:pt>
                <c:pt idx="1112">
                  <c:v>25.85</c:v>
                </c:pt>
                <c:pt idx="1113">
                  <c:v>26.315000000000001</c:v>
                </c:pt>
                <c:pt idx="1114">
                  <c:v>24.51</c:v>
                </c:pt>
                <c:pt idx="1115">
                  <c:v>32.67</c:v>
                </c:pt>
                <c:pt idx="1116">
                  <c:v>29.64</c:v>
                </c:pt>
                <c:pt idx="1117">
                  <c:v>33.33</c:v>
                </c:pt>
                <c:pt idx="1118">
                  <c:v>35.75</c:v>
                </c:pt>
                <c:pt idx="1119">
                  <c:v>19.95</c:v>
                </c:pt>
                <c:pt idx="1120">
                  <c:v>31.4</c:v>
                </c:pt>
                <c:pt idx="1121">
                  <c:v>38.17</c:v>
                </c:pt>
                <c:pt idx="1122">
                  <c:v>36.86</c:v>
                </c:pt>
                <c:pt idx="1123">
                  <c:v>32.395000000000003</c:v>
                </c:pt>
                <c:pt idx="1124">
                  <c:v>42.75</c:v>
                </c:pt>
                <c:pt idx="1125">
                  <c:v>25.08</c:v>
                </c:pt>
                <c:pt idx="1126">
                  <c:v>29.9</c:v>
                </c:pt>
                <c:pt idx="1127">
                  <c:v>35.86</c:v>
                </c:pt>
                <c:pt idx="1128">
                  <c:v>32.799999999999997</c:v>
                </c:pt>
                <c:pt idx="1129">
                  <c:v>18.600000000000001</c:v>
                </c:pt>
                <c:pt idx="1130">
                  <c:v>23.87</c:v>
                </c:pt>
                <c:pt idx="1131">
                  <c:v>45.9</c:v>
                </c:pt>
                <c:pt idx="1132">
                  <c:v>40.28</c:v>
                </c:pt>
                <c:pt idx="1133">
                  <c:v>18.335000000000001</c:v>
                </c:pt>
                <c:pt idx="1134">
                  <c:v>33.82</c:v>
                </c:pt>
                <c:pt idx="1135">
                  <c:v>28.12</c:v>
                </c:pt>
                <c:pt idx="1136">
                  <c:v>25</c:v>
                </c:pt>
                <c:pt idx="1137">
                  <c:v>22.23</c:v>
                </c:pt>
                <c:pt idx="1138">
                  <c:v>30.25</c:v>
                </c:pt>
                <c:pt idx="1139">
                  <c:v>32.49</c:v>
                </c:pt>
                <c:pt idx="1140">
                  <c:v>37.07</c:v>
                </c:pt>
                <c:pt idx="1141">
                  <c:v>32.6</c:v>
                </c:pt>
                <c:pt idx="1142">
                  <c:v>24.86</c:v>
                </c:pt>
                <c:pt idx="1143">
                  <c:v>32.340000000000003</c:v>
                </c:pt>
                <c:pt idx="1144">
                  <c:v>32.299999999999997</c:v>
                </c:pt>
                <c:pt idx="1145">
                  <c:v>32.774999999999999</c:v>
                </c:pt>
                <c:pt idx="1146">
                  <c:v>32.799999999999997</c:v>
                </c:pt>
                <c:pt idx="1147">
                  <c:v>31.92</c:v>
                </c:pt>
                <c:pt idx="1148">
                  <c:v>21.5</c:v>
                </c:pt>
                <c:pt idx="1149">
                  <c:v>34.1</c:v>
                </c:pt>
                <c:pt idx="1150">
                  <c:v>30.305</c:v>
                </c:pt>
                <c:pt idx="1151">
                  <c:v>36.479999999999997</c:v>
                </c:pt>
                <c:pt idx="1152">
                  <c:v>32.56</c:v>
                </c:pt>
                <c:pt idx="1153">
                  <c:v>35.814999999999998</c:v>
                </c:pt>
                <c:pt idx="1154">
                  <c:v>27.93</c:v>
                </c:pt>
                <c:pt idx="1155">
                  <c:v>22.135000000000002</c:v>
                </c:pt>
                <c:pt idx="1156">
                  <c:v>44.88</c:v>
                </c:pt>
                <c:pt idx="1157">
                  <c:v>23.18</c:v>
                </c:pt>
                <c:pt idx="1158">
                  <c:v>30.59</c:v>
                </c:pt>
                <c:pt idx="1159">
                  <c:v>41.1</c:v>
                </c:pt>
                <c:pt idx="1160">
                  <c:v>34.58</c:v>
                </c:pt>
                <c:pt idx="1161">
                  <c:v>42.13</c:v>
                </c:pt>
                <c:pt idx="1162">
                  <c:v>38.83</c:v>
                </c:pt>
                <c:pt idx="1163">
                  <c:v>28.215</c:v>
                </c:pt>
                <c:pt idx="1164">
                  <c:v>28.31</c:v>
                </c:pt>
                <c:pt idx="1165">
                  <c:v>26.125</c:v>
                </c:pt>
                <c:pt idx="1166">
                  <c:v>40.369999999999997</c:v>
                </c:pt>
                <c:pt idx="1167">
                  <c:v>24.6</c:v>
                </c:pt>
                <c:pt idx="1168">
                  <c:v>35.200000000000003</c:v>
                </c:pt>
                <c:pt idx="1169">
                  <c:v>34.104999999999997</c:v>
                </c:pt>
                <c:pt idx="1170">
                  <c:v>27.36</c:v>
                </c:pt>
                <c:pt idx="1171">
                  <c:v>26.7</c:v>
                </c:pt>
                <c:pt idx="1172">
                  <c:v>41.91</c:v>
                </c:pt>
                <c:pt idx="1173">
                  <c:v>29.26</c:v>
                </c:pt>
                <c:pt idx="1174">
                  <c:v>32.11</c:v>
                </c:pt>
                <c:pt idx="1175">
                  <c:v>27.1</c:v>
                </c:pt>
                <c:pt idx="1176">
                  <c:v>24.13</c:v>
                </c:pt>
                <c:pt idx="1177">
                  <c:v>27.4</c:v>
                </c:pt>
                <c:pt idx="1178">
                  <c:v>34.865000000000002</c:v>
                </c:pt>
                <c:pt idx="1179">
                  <c:v>29.81</c:v>
                </c:pt>
                <c:pt idx="1180">
                  <c:v>41.325000000000003</c:v>
                </c:pt>
                <c:pt idx="1181">
                  <c:v>29.925000000000001</c:v>
                </c:pt>
                <c:pt idx="1182">
                  <c:v>30.3</c:v>
                </c:pt>
                <c:pt idx="1183">
                  <c:v>27.36</c:v>
                </c:pt>
                <c:pt idx="1184">
                  <c:v>28.49</c:v>
                </c:pt>
                <c:pt idx="1185">
                  <c:v>23.56</c:v>
                </c:pt>
                <c:pt idx="1186">
                  <c:v>35.625</c:v>
                </c:pt>
                <c:pt idx="1187">
                  <c:v>32.68</c:v>
                </c:pt>
                <c:pt idx="1188">
                  <c:v>25.27</c:v>
                </c:pt>
                <c:pt idx="1189">
                  <c:v>28</c:v>
                </c:pt>
                <c:pt idx="1190">
                  <c:v>32.774999999999999</c:v>
                </c:pt>
                <c:pt idx="1191">
                  <c:v>21.754999999999999</c:v>
                </c:pt>
                <c:pt idx="1192">
                  <c:v>32.395000000000003</c:v>
                </c:pt>
                <c:pt idx="1193">
                  <c:v>36.575000000000003</c:v>
                </c:pt>
                <c:pt idx="1194">
                  <c:v>21.754999999999999</c:v>
                </c:pt>
                <c:pt idx="1195">
                  <c:v>27.93</c:v>
                </c:pt>
                <c:pt idx="1196">
                  <c:v>30.02</c:v>
                </c:pt>
                <c:pt idx="1197">
                  <c:v>33.549999999999997</c:v>
                </c:pt>
                <c:pt idx="1198">
                  <c:v>29.355</c:v>
                </c:pt>
                <c:pt idx="1199">
                  <c:v>25.8</c:v>
                </c:pt>
                <c:pt idx="1200">
                  <c:v>24.32</c:v>
                </c:pt>
                <c:pt idx="1201">
                  <c:v>40.375</c:v>
                </c:pt>
                <c:pt idx="1202">
                  <c:v>32.11</c:v>
                </c:pt>
                <c:pt idx="1203">
                  <c:v>32.299999999999997</c:v>
                </c:pt>
                <c:pt idx="1204">
                  <c:v>27.28</c:v>
                </c:pt>
                <c:pt idx="1205">
                  <c:v>17.86</c:v>
                </c:pt>
                <c:pt idx="1206">
                  <c:v>34.799999999999997</c:v>
                </c:pt>
                <c:pt idx="1207">
                  <c:v>33.4</c:v>
                </c:pt>
                <c:pt idx="1208">
                  <c:v>25.555</c:v>
                </c:pt>
                <c:pt idx="1209">
                  <c:v>37.1</c:v>
                </c:pt>
                <c:pt idx="1210">
                  <c:v>30.875</c:v>
                </c:pt>
                <c:pt idx="1211">
                  <c:v>34.1</c:v>
                </c:pt>
                <c:pt idx="1212">
                  <c:v>21.47</c:v>
                </c:pt>
                <c:pt idx="1213">
                  <c:v>33.299999999999997</c:v>
                </c:pt>
                <c:pt idx="1214">
                  <c:v>31.254999999999999</c:v>
                </c:pt>
                <c:pt idx="1215">
                  <c:v>39.14</c:v>
                </c:pt>
                <c:pt idx="1216">
                  <c:v>25.08</c:v>
                </c:pt>
                <c:pt idx="1217">
                  <c:v>37.29</c:v>
                </c:pt>
                <c:pt idx="1218">
                  <c:v>34.6</c:v>
                </c:pt>
                <c:pt idx="1219">
                  <c:v>30.21</c:v>
                </c:pt>
                <c:pt idx="1220">
                  <c:v>21.945</c:v>
                </c:pt>
                <c:pt idx="1221">
                  <c:v>24.97</c:v>
                </c:pt>
                <c:pt idx="1222">
                  <c:v>25.3</c:v>
                </c:pt>
                <c:pt idx="1223">
                  <c:v>24.42</c:v>
                </c:pt>
                <c:pt idx="1224">
                  <c:v>23.94</c:v>
                </c:pt>
                <c:pt idx="1225">
                  <c:v>39.82</c:v>
                </c:pt>
                <c:pt idx="1226">
                  <c:v>16.815000000000001</c:v>
                </c:pt>
                <c:pt idx="1227">
                  <c:v>37.18</c:v>
                </c:pt>
                <c:pt idx="1228">
                  <c:v>34.43</c:v>
                </c:pt>
                <c:pt idx="1229">
                  <c:v>30.305</c:v>
                </c:pt>
                <c:pt idx="1230">
                  <c:v>34.484999999999999</c:v>
                </c:pt>
                <c:pt idx="1231">
                  <c:v>21.8</c:v>
                </c:pt>
                <c:pt idx="1232">
                  <c:v>24.605</c:v>
                </c:pt>
                <c:pt idx="1233">
                  <c:v>23.3</c:v>
                </c:pt>
                <c:pt idx="1234">
                  <c:v>27.83</c:v>
                </c:pt>
                <c:pt idx="1235">
                  <c:v>31.065000000000001</c:v>
                </c:pt>
                <c:pt idx="1236">
                  <c:v>21.66</c:v>
                </c:pt>
                <c:pt idx="1237">
                  <c:v>28.215</c:v>
                </c:pt>
                <c:pt idx="1238">
                  <c:v>22.704999999999998</c:v>
                </c:pt>
                <c:pt idx="1239">
                  <c:v>42.13</c:v>
                </c:pt>
                <c:pt idx="1240">
                  <c:v>41.8</c:v>
                </c:pt>
                <c:pt idx="1241">
                  <c:v>36.96</c:v>
                </c:pt>
                <c:pt idx="1242">
                  <c:v>21.28</c:v>
                </c:pt>
                <c:pt idx="1243">
                  <c:v>33.11</c:v>
                </c:pt>
                <c:pt idx="1244">
                  <c:v>33.33</c:v>
                </c:pt>
                <c:pt idx="1245">
                  <c:v>24.3</c:v>
                </c:pt>
                <c:pt idx="1246">
                  <c:v>25.7</c:v>
                </c:pt>
                <c:pt idx="1247">
                  <c:v>29.4</c:v>
                </c:pt>
                <c:pt idx="1248">
                  <c:v>39.82</c:v>
                </c:pt>
                <c:pt idx="1249">
                  <c:v>33.630000000000003</c:v>
                </c:pt>
                <c:pt idx="1250">
                  <c:v>29.83</c:v>
                </c:pt>
                <c:pt idx="1251">
                  <c:v>19.8</c:v>
                </c:pt>
                <c:pt idx="1252">
                  <c:v>27.3</c:v>
                </c:pt>
                <c:pt idx="1253">
                  <c:v>29.3</c:v>
                </c:pt>
                <c:pt idx="1254">
                  <c:v>27.72</c:v>
                </c:pt>
                <c:pt idx="1255">
                  <c:v>37.9</c:v>
                </c:pt>
                <c:pt idx="1256">
                  <c:v>36.384999999999998</c:v>
                </c:pt>
                <c:pt idx="1257">
                  <c:v>27.645</c:v>
                </c:pt>
                <c:pt idx="1258">
                  <c:v>37.715000000000003</c:v>
                </c:pt>
                <c:pt idx="1259">
                  <c:v>23.18</c:v>
                </c:pt>
                <c:pt idx="1260">
                  <c:v>20.52</c:v>
                </c:pt>
                <c:pt idx="1261">
                  <c:v>37.1</c:v>
                </c:pt>
                <c:pt idx="1262">
                  <c:v>28.05</c:v>
                </c:pt>
                <c:pt idx="1263">
                  <c:v>29.9</c:v>
                </c:pt>
                <c:pt idx="1264">
                  <c:v>33.344999999999999</c:v>
                </c:pt>
                <c:pt idx="1265">
                  <c:v>23.76</c:v>
                </c:pt>
                <c:pt idx="1266">
                  <c:v>30.5</c:v>
                </c:pt>
                <c:pt idx="1267">
                  <c:v>31.065000000000001</c:v>
                </c:pt>
                <c:pt idx="1268">
                  <c:v>33.299999999999997</c:v>
                </c:pt>
                <c:pt idx="1269">
                  <c:v>27.5</c:v>
                </c:pt>
                <c:pt idx="1270">
                  <c:v>33.914999999999999</c:v>
                </c:pt>
                <c:pt idx="1271">
                  <c:v>34.484999999999999</c:v>
                </c:pt>
                <c:pt idx="1272">
                  <c:v>25.52</c:v>
                </c:pt>
                <c:pt idx="1273">
                  <c:v>27.61</c:v>
                </c:pt>
                <c:pt idx="1274">
                  <c:v>27.06</c:v>
                </c:pt>
                <c:pt idx="1275">
                  <c:v>23.7</c:v>
                </c:pt>
                <c:pt idx="1276">
                  <c:v>30.4</c:v>
                </c:pt>
                <c:pt idx="1277">
                  <c:v>29.734999999999999</c:v>
                </c:pt>
                <c:pt idx="1278">
                  <c:v>29.925000000000001</c:v>
                </c:pt>
                <c:pt idx="1279">
                  <c:v>26.79</c:v>
                </c:pt>
                <c:pt idx="1280">
                  <c:v>33.33</c:v>
                </c:pt>
                <c:pt idx="1281">
                  <c:v>27.645</c:v>
                </c:pt>
                <c:pt idx="1282">
                  <c:v>21.66</c:v>
                </c:pt>
                <c:pt idx="1283">
                  <c:v>30.03</c:v>
                </c:pt>
                <c:pt idx="1284">
                  <c:v>36.299999999999997</c:v>
                </c:pt>
                <c:pt idx="1285">
                  <c:v>24.32</c:v>
                </c:pt>
                <c:pt idx="1286">
                  <c:v>17.29</c:v>
                </c:pt>
                <c:pt idx="1287">
                  <c:v>25.9</c:v>
                </c:pt>
                <c:pt idx="1288">
                  <c:v>39.4</c:v>
                </c:pt>
                <c:pt idx="1289">
                  <c:v>34.32</c:v>
                </c:pt>
                <c:pt idx="1290">
                  <c:v>19.95</c:v>
                </c:pt>
                <c:pt idx="1291">
                  <c:v>34.9</c:v>
                </c:pt>
                <c:pt idx="1292">
                  <c:v>23.21</c:v>
                </c:pt>
                <c:pt idx="1293">
                  <c:v>25.745000000000001</c:v>
                </c:pt>
                <c:pt idx="1294">
                  <c:v>25.175000000000001</c:v>
                </c:pt>
                <c:pt idx="1295">
                  <c:v>22</c:v>
                </c:pt>
                <c:pt idx="1296">
                  <c:v>26.125</c:v>
                </c:pt>
                <c:pt idx="1297">
                  <c:v>26.51</c:v>
                </c:pt>
                <c:pt idx="1298">
                  <c:v>27.454999999999998</c:v>
                </c:pt>
                <c:pt idx="1299">
                  <c:v>25.745000000000001</c:v>
                </c:pt>
                <c:pt idx="1300">
                  <c:v>30.36</c:v>
                </c:pt>
                <c:pt idx="1301">
                  <c:v>30.875</c:v>
                </c:pt>
                <c:pt idx="1302">
                  <c:v>20.8</c:v>
                </c:pt>
                <c:pt idx="1303">
                  <c:v>27.8</c:v>
                </c:pt>
                <c:pt idx="1304">
                  <c:v>24.605</c:v>
                </c:pt>
                <c:pt idx="1305">
                  <c:v>27.72</c:v>
                </c:pt>
                <c:pt idx="1306">
                  <c:v>21.85</c:v>
                </c:pt>
                <c:pt idx="1307">
                  <c:v>28.12</c:v>
                </c:pt>
                <c:pt idx="1308">
                  <c:v>30.2</c:v>
                </c:pt>
                <c:pt idx="1309">
                  <c:v>32.200000000000003</c:v>
                </c:pt>
                <c:pt idx="1310">
                  <c:v>26.315000000000001</c:v>
                </c:pt>
                <c:pt idx="1311">
                  <c:v>26.695</c:v>
                </c:pt>
                <c:pt idx="1312">
                  <c:v>42.9</c:v>
                </c:pt>
                <c:pt idx="1313">
                  <c:v>34.700000000000003</c:v>
                </c:pt>
                <c:pt idx="1314">
                  <c:v>23.655000000000001</c:v>
                </c:pt>
                <c:pt idx="1315">
                  <c:v>28.31</c:v>
                </c:pt>
                <c:pt idx="1316">
                  <c:v>20.6</c:v>
                </c:pt>
                <c:pt idx="1317">
                  <c:v>53.13</c:v>
                </c:pt>
                <c:pt idx="1318">
                  <c:v>39.71</c:v>
                </c:pt>
                <c:pt idx="1319">
                  <c:v>26.315000000000001</c:v>
                </c:pt>
                <c:pt idx="1320">
                  <c:v>31.065000000000001</c:v>
                </c:pt>
                <c:pt idx="1321">
                  <c:v>26.695</c:v>
                </c:pt>
                <c:pt idx="1322">
                  <c:v>38.83</c:v>
                </c:pt>
                <c:pt idx="1323">
                  <c:v>40.369999999999997</c:v>
                </c:pt>
                <c:pt idx="1324">
                  <c:v>25.934999999999999</c:v>
                </c:pt>
                <c:pt idx="1325">
                  <c:v>33.534999999999997</c:v>
                </c:pt>
                <c:pt idx="1326">
                  <c:v>32.869999999999997</c:v>
                </c:pt>
                <c:pt idx="1327">
                  <c:v>30.03</c:v>
                </c:pt>
                <c:pt idx="1328">
                  <c:v>24.225000000000001</c:v>
                </c:pt>
                <c:pt idx="1329">
                  <c:v>38.6</c:v>
                </c:pt>
                <c:pt idx="1330">
                  <c:v>25.74</c:v>
                </c:pt>
                <c:pt idx="1331">
                  <c:v>33.4</c:v>
                </c:pt>
                <c:pt idx="1332">
                  <c:v>44.7</c:v>
                </c:pt>
                <c:pt idx="1333">
                  <c:v>30.97</c:v>
                </c:pt>
                <c:pt idx="1334">
                  <c:v>31.92</c:v>
                </c:pt>
                <c:pt idx="1335">
                  <c:v>36.85</c:v>
                </c:pt>
                <c:pt idx="1336">
                  <c:v>25.8</c:v>
                </c:pt>
                <c:pt idx="1337">
                  <c:v>29.07</c:v>
                </c:pt>
              </c:numCache>
            </c:numRef>
          </c:xVal>
          <c:yVal>
            <c:numRef>
              <c:f>'insurance (Clean)'!$P$156:$P$1493</c:f>
              <c:numCache>
                <c:formatCode>General</c:formatCode>
                <c:ptCount val="1338"/>
                <c:pt idx="0">
                  <c:v>-8702.5012463713647</c:v>
                </c:pt>
                <c:pt idx="1">
                  <c:v>-2155.3936432492255</c:v>
                </c:pt>
                <c:pt idx="2">
                  <c:v>-2709.1580674566958</c:v>
                </c:pt>
                <c:pt idx="3">
                  <c:v>18270.570134779278</c:v>
                </c:pt>
                <c:pt idx="4">
                  <c:v>-1576.6281704348548</c:v>
                </c:pt>
                <c:pt idx="5">
                  <c:v>-418.39885818309222</c:v>
                </c:pt>
                <c:pt idx="6">
                  <c:v>-2753.9315855615914</c:v>
                </c:pt>
                <c:pt idx="7">
                  <c:v>-504.82165448512023</c:v>
                </c:pt>
                <c:pt idx="8">
                  <c:v>-1579.0836708774323</c:v>
                </c:pt>
                <c:pt idx="9">
                  <c:v>17238.295588952467</c:v>
                </c:pt>
                <c:pt idx="10">
                  <c:v>-61.09128756473774</c:v>
                </c:pt>
                <c:pt idx="11">
                  <c:v>-8348.0482030023159</c:v>
                </c:pt>
                <c:pt idx="12">
                  <c:v>-3072.6145481451449</c:v>
                </c:pt>
                <c:pt idx="13">
                  <c:v>-4062.2080934462629</c:v>
                </c:pt>
                <c:pt idx="14">
                  <c:v>7381.5909325553366</c:v>
                </c:pt>
                <c:pt idx="15">
                  <c:v>649.81891347433839</c:v>
                </c:pt>
                <c:pt idx="16">
                  <c:v>-888.15729798610118</c:v>
                </c:pt>
                <c:pt idx="17">
                  <c:v>892.85560884385404</c:v>
                </c:pt>
                <c:pt idx="18">
                  <c:v>-4705.0295668100443</c:v>
                </c:pt>
                <c:pt idx="19">
                  <c:v>6031.9967919697483</c:v>
                </c:pt>
                <c:pt idx="20">
                  <c:v>-1727.6138209284618</c:v>
                </c:pt>
                <c:pt idx="21">
                  <c:v>-2384.4676093210337</c:v>
                </c:pt>
                <c:pt idx="22">
                  <c:v>-2376.6435906410011</c:v>
                </c:pt>
                <c:pt idx="23">
                  <c:v>6479.3639887058016</c:v>
                </c:pt>
                <c:pt idx="24">
                  <c:v>-1200.6507887490452</c:v>
                </c:pt>
                <c:pt idx="25">
                  <c:v>548.55441230387078</c:v>
                </c:pt>
                <c:pt idx="26">
                  <c:v>2880.1459817889372</c:v>
                </c:pt>
                <c:pt idx="27">
                  <c:v>-1306.0056841912101</c:v>
                </c:pt>
                <c:pt idx="28">
                  <c:v>2878.5339556522622</c:v>
                </c:pt>
                <c:pt idx="29">
                  <c:v>6378.8242507065333</c:v>
                </c:pt>
                <c:pt idx="30">
                  <c:v>6746.3464297602331</c:v>
                </c:pt>
                <c:pt idx="31">
                  <c:v>1190.1483804778381</c:v>
                </c:pt>
                <c:pt idx="32">
                  <c:v>318.96403992619435</c:v>
                </c:pt>
                <c:pt idx="33">
                  <c:v>516.73510194360279</c:v>
                </c:pt>
                <c:pt idx="34">
                  <c:v>20077.249047959303</c:v>
                </c:pt>
                <c:pt idx="35">
                  <c:v>2255.2476358822232</c:v>
                </c:pt>
                <c:pt idx="36">
                  <c:v>-302.04511758935769</c:v>
                </c:pt>
                <c:pt idx="37">
                  <c:v>1006.4730085042775</c:v>
                </c:pt>
                <c:pt idx="38">
                  <c:v>6765.119817879684</c:v>
                </c:pt>
                <c:pt idx="39">
                  <c:v>8151.889118989493</c:v>
                </c:pt>
                <c:pt idx="40">
                  <c:v>399.19588668595679</c:v>
                </c:pt>
                <c:pt idx="41">
                  <c:v>-3677.2281662155438</c:v>
                </c:pt>
                <c:pt idx="42">
                  <c:v>319.99090821872687</c:v>
                </c:pt>
                <c:pt idx="43">
                  <c:v>-1983.931231633409</c:v>
                </c:pt>
                <c:pt idx="44">
                  <c:v>-4013.9371911755188</c:v>
                </c:pt>
                <c:pt idx="45">
                  <c:v>6546.2726490439509</c:v>
                </c:pt>
                <c:pt idx="46">
                  <c:v>-2536.5544757027833</c:v>
                </c:pt>
                <c:pt idx="47">
                  <c:v>-2750.8678038481748</c:v>
                </c:pt>
                <c:pt idx="48">
                  <c:v>1366.6807266744527</c:v>
                </c:pt>
                <c:pt idx="49">
                  <c:v>5915.2915727259096</c:v>
                </c:pt>
                <c:pt idx="50">
                  <c:v>-1793.34717997385</c:v>
                </c:pt>
                <c:pt idx="51">
                  <c:v>-1503.1088843883472</c:v>
                </c:pt>
                <c:pt idx="52">
                  <c:v>-10002.476414781635</c:v>
                </c:pt>
                <c:pt idx="53">
                  <c:v>5670.0191684594683</c:v>
                </c:pt>
                <c:pt idx="54">
                  <c:v>-805.95550917534183</c:v>
                </c:pt>
                <c:pt idx="55">
                  <c:v>7991.5692839259355</c:v>
                </c:pt>
                <c:pt idx="56">
                  <c:v>-435.05877348312606</c:v>
                </c:pt>
                <c:pt idx="57">
                  <c:v>6809.9885271275671</c:v>
                </c:pt>
                <c:pt idx="58">
                  <c:v>-9967.3265688864085</c:v>
                </c:pt>
                <c:pt idx="59">
                  <c:v>-3637.9170272096635</c:v>
                </c:pt>
                <c:pt idx="60">
                  <c:v>-604.90336538759766</c:v>
                </c:pt>
                <c:pt idx="61">
                  <c:v>-2566.3333868866512</c:v>
                </c:pt>
                <c:pt idx="62">
                  <c:v>17343.7871433242</c:v>
                </c:pt>
                <c:pt idx="63">
                  <c:v>195.90632470811624</c:v>
                </c:pt>
                <c:pt idx="64">
                  <c:v>-9369.7852661318757</c:v>
                </c:pt>
                <c:pt idx="65">
                  <c:v>-354.66280319705129</c:v>
                </c:pt>
                <c:pt idx="66">
                  <c:v>-2922.3730511440153</c:v>
                </c:pt>
                <c:pt idx="67">
                  <c:v>-764.85509633581478</c:v>
                </c:pt>
                <c:pt idx="68">
                  <c:v>-3938.9090838469647</c:v>
                </c:pt>
                <c:pt idx="69">
                  <c:v>-10403.776059844484</c:v>
                </c:pt>
                <c:pt idx="70">
                  <c:v>-10058.609886064391</c:v>
                </c:pt>
                <c:pt idx="71">
                  <c:v>-631.3839077539551</c:v>
                </c:pt>
                <c:pt idx="72">
                  <c:v>-286.05987679365353</c:v>
                </c:pt>
                <c:pt idx="73">
                  <c:v>-1681.8418674629283</c:v>
                </c:pt>
                <c:pt idx="74">
                  <c:v>-1281.488013285777</c:v>
                </c:pt>
                <c:pt idx="75">
                  <c:v>-2184.1578502691718</c:v>
                </c:pt>
                <c:pt idx="76">
                  <c:v>-1424.5385600068698</c:v>
                </c:pt>
                <c:pt idx="77">
                  <c:v>-3214.9809186950038</c:v>
                </c:pt>
                <c:pt idx="78">
                  <c:v>-3626.1938731715413</c:v>
                </c:pt>
                <c:pt idx="79">
                  <c:v>-2507.8675170144124</c:v>
                </c:pt>
                <c:pt idx="80">
                  <c:v>-575.82942998210456</c:v>
                </c:pt>
                <c:pt idx="81">
                  <c:v>-3887.248209451087</c:v>
                </c:pt>
                <c:pt idx="82">
                  <c:v>7202.2920804751629</c:v>
                </c:pt>
                <c:pt idx="83">
                  <c:v>-4404.2878749928186</c:v>
                </c:pt>
                <c:pt idx="84">
                  <c:v>6440.0233109862238</c:v>
                </c:pt>
                <c:pt idx="85">
                  <c:v>-10529.096796831996</c:v>
                </c:pt>
                <c:pt idx="86">
                  <c:v>7143.9973018127639</c:v>
                </c:pt>
                <c:pt idx="87">
                  <c:v>-17.985189590161099</c:v>
                </c:pt>
                <c:pt idx="88">
                  <c:v>-659.79927382085498</c:v>
                </c:pt>
                <c:pt idx="89">
                  <c:v>320.07282636526179</c:v>
                </c:pt>
                <c:pt idx="90">
                  <c:v>-3995.008073946206</c:v>
                </c:pt>
                <c:pt idx="91">
                  <c:v>925.06964068819798</c:v>
                </c:pt>
                <c:pt idx="92">
                  <c:v>-7758.1489937066144</c:v>
                </c:pt>
                <c:pt idx="93">
                  <c:v>-3330.7359862523126</c:v>
                </c:pt>
                <c:pt idx="94">
                  <c:v>8059.1025230108498</c:v>
                </c:pt>
                <c:pt idx="95">
                  <c:v>-3931.6851174914514</c:v>
                </c:pt>
                <c:pt idx="96">
                  <c:v>-1049.314171795284</c:v>
                </c:pt>
                <c:pt idx="97">
                  <c:v>-4173.1410257404405</c:v>
                </c:pt>
                <c:pt idx="98">
                  <c:v>-10156.489865006894</c:v>
                </c:pt>
                <c:pt idx="99">
                  <c:v>-11897.944821213699</c:v>
                </c:pt>
                <c:pt idx="100">
                  <c:v>-2453.4377521361566</c:v>
                </c:pt>
                <c:pt idx="101">
                  <c:v>-181.96315805719678</c:v>
                </c:pt>
                <c:pt idx="102">
                  <c:v>19113.769949681227</c:v>
                </c:pt>
                <c:pt idx="103">
                  <c:v>-7545.559534623033</c:v>
                </c:pt>
                <c:pt idx="104">
                  <c:v>-984.67676472051608</c:v>
                </c:pt>
                <c:pt idx="105">
                  <c:v>-8798.6286946026958</c:v>
                </c:pt>
                <c:pt idx="106">
                  <c:v>-78.934417322269837</c:v>
                </c:pt>
                <c:pt idx="107">
                  <c:v>-1608.180306212585</c:v>
                </c:pt>
                <c:pt idx="108">
                  <c:v>-1500.2749297730479</c:v>
                </c:pt>
                <c:pt idx="109">
                  <c:v>7808.6169446646527</c:v>
                </c:pt>
                <c:pt idx="110">
                  <c:v>-2293.21531074427</c:v>
                </c:pt>
                <c:pt idx="111">
                  <c:v>-703.58682045448222</c:v>
                </c:pt>
                <c:pt idx="112">
                  <c:v>-2703.926600541763</c:v>
                </c:pt>
                <c:pt idx="113">
                  <c:v>-2403.8685852348335</c:v>
                </c:pt>
                <c:pt idx="114">
                  <c:v>-1602.8193781264763</c:v>
                </c:pt>
                <c:pt idx="115">
                  <c:v>17688.453674124925</c:v>
                </c:pt>
                <c:pt idx="116">
                  <c:v>-7261.2064703597807</c:v>
                </c:pt>
                <c:pt idx="117">
                  <c:v>-9544.5170913343936</c:v>
                </c:pt>
                <c:pt idx="118">
                  <c:v>-675.22979619243415</c:v>
                </c:pt>
                <c:pt idx="119">
                  <c:v>780.0969914767993</c:v>
                </c:pt>
                <c:pt idx="120">
                  <c:v>-4389.9636208455404</c:v>
                </c:pt>
                <c:pt idx="121">
                  <c:v>1523.1319287655479</c:v>
                </c:pt>
                <c:pt idx="122">
                  <c:v>-122.38996574049906</c:v>
                </c:pt>
                <c:pt idx="123">
                  <c:v>5938.9419150217291</c:v>
                </c:pt>
                <c:pt idx="124">
                  <c:v>-2237.2459403331686</c:v>
                </c:pt>
                <c:pt idx="125">
                  <c:v>-480.41124318280345</c:v>
                </c:pt>
                <c:pt idx="126">
                  <c:v>-8635.0858075078431</c:v>
                </c:pt>
                <c:pt idx="127">
                  <c:v>-3708.1094692491042</c:v>
                </c:pt>
                <c:pt idx="128">
                  <c:v>6109.6767950380527</c:v>
                </c:pt>
                <c:pt idx="129">
                  <c:v>-3728.3552100444949</c:v>
                </c:pt>
                <c:pt idx="130">
                  <c:v>1174.4220133934141</c:v>
                </c:pt>
                <c:pt idx="131">
                  <c:v>2896.703112418716</c:v>
                </c:pt>
                <c:pt idx="132">
                  <c:v>-2901.1565034092891</c:v>
                </c:pt>
                <c:pt idx="133">
                  <c:v>611.28053930680449</c:v>
                </c:pt>
                <c:pt idx="134">
                  <c:v>138.49780079933271</c:v>
                </c:pt>
                <c:pt idx="135">
                  <c:v>-442.17013277308934</c:v>
                </c:pt>
                <c:pt idx="136">
                  <c:v>-2510.0620979713567</c:v>
                </c:pt>
                <c:pt idx="137">
                  <c:v>373.15635039539666</c:v>
                </c:pt>
                <c:pt idx="138">
                  <c:v>13814.063185079383</c:v>
                </c:pt>
                <c:pt idx="139">
                  <c:v>-2989.8382853607282</c:v>
                </c:pt>
                <c:pt idx="140">
                  <c:v>22548.877846167019</c:v>
                </c:pt>
                <c:pt idx="141">
                  <c:v>-2041.2231062553192</c:v>
                </c:pt>
                <c:pt idx="142">
                  <c:v>-10592.863840031197</c:v>
                </c:pt>
                <c:pt idx="143">
                  <c:v>12265.75357103533</c:v>
                </c:pt>
                <c:pt idx="144">
                  <c:v>-9352.5502818873065</c:v>
                </c:pt>
                <c:pt idx="145">
                  <c:v>-4154.6065533513211</c:v>
                </c:pt>
                <c:pt idx="146">
                  <c:v>5915.4777186986103</c:v>
                </c:pt>
                <c:pt idx="147">
                  <c:v>-3786.9035404021706</c:v>
                </c:pt>
                <c:pt idx="148">
                  <c:v>-3123.9601342105216</c:v>
                </c:pt>
                <c:pt idx="149">
                  <c:v>-567.93441732226961</c:v>
                </c:pt>
                <c:pt idx="150">
                  <c:v>-36.524344475986254</c:v>
                </c:pt>
                <c:pt idx="151">
                  <c:v>-2043.3586380503457</c:v>
                </c:pt>
                <c:pt idx="152">
                  <c:v>-3189.7485615549467</c:v>
                </c:pt>
                <c:pt idx="153">
                  <c:v>-10095.230760098861</c:v>
                </c:pt>
                <c:pt idx="154">
                  <c:v>198.13945309342125</c:v>
                </c:pt>
                <c:pt idx="155">
                  <c:v>-5013.4755846296293</c:v>
                </c:pt>
                <c:pt idx="156">
                  <c:v>-10721.342277064265</c:v>
                </c:pt>
                <c:pt idx="157">
                  <c:v>-8934.3504662987016</c:v>
                </c:pt>
                <c:pt idx="158">
                  <c:v>6070.760669316267</c:v>
                </c:pt>
                <c:pt idx="159">
                  <c:v>8582.0459239645406</c:v>
                </c:pt>
                <c:pt idx="160">
                  <c:v>-9750.8510912759775</c:v>
                </c:pt>
                <c:pt idx="161">
                  <c:v>7939.3377055301426</c:v>
                </c:pt>
                <c:pt idx="162">
                  <c:v>-4589.3698857063082</c:v>
                </c:pt>
                <c:pt idx="163">
                  <c:v>-1534.4572921404169</c:v>
                </c:pt>
                <c:pt idx="164">
                  <c:v>-1949.1913732459561</c:v>
                </c:pt>
                <c:pt idx="165">
                  <c:v>-584.11825968408084</c:v>
                </c:pt>
                <c:pt idx="166">
                  <c:v>-2499.6042512703461</c:v>
                </c:pt>
                <c:pt idx="167">
                  <c:v>-2111.107664218508</c:v>
                </c:pt>
                <c:pt idx="168">
                  <c:v>-793.51467205342215</c:v>
                </c:pt>
                <c:pt idx="169">
                  <c:v>2463.6299629205496</c:v>
                </c:pt>
                <c:pt idx="170">
                  <c:v>-4083.5369594467556</c:v>
                </c:pt>
                <c:pt idx="171">
                  <c:v>-2167.2739870854275</c:v>
                </c:pt>
                <c:pt idx="172">
                  <c:v>4019.5262568985936</c:v>
                </c:pt>
                <c:pt idx="173">
                  <c:v>-3349.8475127917236</c:v>
                </c:pt>
                <c:pt idx="174">
                  <c:v>-1962.3162254780209</c:v>
                </c:pt>
                <c:pt idx="175">
                  <c:v>8737.5026832490839</c:v>
                </c:pt>
                <c:pt idx="176">
                  <c:v>-1145.3877295395696</c:v>
                </c:pt>
                <c:pt idx="177">
                  <c:v>-1256.5712961576974</c:v>
                </c:pt>
                <c:pt idx="178">
                  <c:v>-1183.5391322083069</c:v>
                </c:pt>
                <c:pt idx="179">
                  <c:v>-2022.2622301917127</c:v>
                </c:pt>
                <c:pt idx="180">
                  <c:v>-319.96391121436318</c:v>
                </c:pt>
                <c:pt idx="181">
                  <c:v>-3227.1722545172706</c:v>
                </c:pt>
                <c:pt idx="182">
                  <c:v>2594.0602836032626</c:v>
                </c:pt>
                <c:pt idx="183">
                  <c:v>-323.22659338133235</c:v>
                </c:pt>
                <c:pt idx="184">
                  <c:v>-2335.8060286333684</c:v>
                </c:pt>
                <c:pt idx="185">
                  <c:v>7857.6527996123477</c:v>
                </c:pt>
                <c:pt idx="186">
                  <c:v>-1196.139616499227</c:v>
                </c:pt>
                <c:pt idx="187">
                  <c:v>-1672.7801361508618</c:v>
                </c:pt>
                <c:pt idx="188">
                  <c:v>-2530.2169093867096</c:v>
                </c:pt>
                <c:pt idx="189">
                  <c:v>-1733.6036107125501</c:v>
                </c:pt>
                <c:pt idx="190">
                  <c:v>-1229.2940566580401</c:v>
                </c:pt>
                <c:pt idx="191">
                  <c:v>-728.45364014182996</c:v>
                </c:pt>
                <c:pt idx="192">
                  <c:v>-490.26981420095626</c:v>
                </c:pt>
                <c:pt idx="193">
                  <c:v>672.78933656874324</c:v>
                </c:pt>
                <c:pt idx="194">
                  <c:v>-2482.3958535786019</c:v>
                </c:pt>
                <c:pt idx="195">
                  <c:v>-1002.2425739987013</c:v>
                </c:pt>
                <c:pt idx="196">
                  <c:v>-2860.3724208848998</c:v>
                </c:pt>
                <c:pt idx="197">
                  <c:v>-1135.5842040255902</c:v>
                </c:pt>
                <c:pt idx="198">
                  <c:v>2787.2791830587148</c:v>
                </c:pt>
                <c:pt idx="199">
                  <c:v>-2156.4980646969161</c:v>
                </c:pt>
                <c:pt idx="200">
                  <c:v>-1000.3439063173437</c:v>
                </c:pt>
                <c:pt idx="201">
                  <c:v>-2249.6283027844347</c:v>
                </c:pt>
                <c:pt idx="202">
                  <c:v>1908.3090710808538</c:v>
                </c:pt>
                <c:pt idx="203">
                  <c:v>6850.9324197446767</c:v>
                </c:pt>
                <c:pt idx="204">
                  <c:v>211.51075763533936</c:v>
                </c:pt>
                <c:pt idx="205">
                  <c:v>-547.85245665925413</c:v>
                </c:pt>
                <c:pt idx="206">
                  <c:v>136.07041069174193</c:v>
                </c:pt>
                <c:pt idx="207">
                  <c:v>-9624.4321702941088</c:v>
                </c:pt>
                <c:pt idx="208">
                  <c:v>-495.67519397222895</c:v>
                </c:pt>
                <c:pt idx="209">
                  <c:v>-5344.5368697125004</c:v>
                </c:pt>
                <c:pt idx="210">
                  <c:v>-2168.7493777222016</c:v>
                </c:pt>
                <c:pt idx="211">
                  <c:v>-1879.666039929215</c:v>
                </c:pt>
                <c:pt idx="212">
                  <c:v>-667.68540980399348</c:v>
                </c:pt>
                <c:pt idx="213">
                  <c:v>-737.92148453278332</c:v>
                </c:pt>
                <c:pt idx="214">
                  <c:v>-1872.6454305603784</c:v>
                </c:pt>
                <c:pt idx="215">
                  <c:v>-3984.980098854473</c:v>
                </c:pt>
                <c:pt idx="216">
                  <c:v>231.13917410563408</c:v>
                </c:pt>
                <c:pt idx="217">
                  <c:v>189.80127463913323</c:v>
                </c:pt>
                <c:pt idx="218">
                  <c:v>-1311.6373009534032</c:v>
                </c:pt>
                <c:pt idx="219">
                  <c:v>23525.977942317666</c:v>
                </c:pt>
                <c:pt idx="220">
                  <c:v>-2971.5374623360358</c:v>
                </c:pt>
                <c:pt idx="221">
                  <c:v>-1699.9291547884295</c:v>
                </c:pt>
                <c:pt idx="222">
                  <c:v>-2228.4210105274533</c:v>
                </c:pt>
                <c:pt idx="223">
                  <c:v>6971.4150740242694</c:v>
                </c:pt>
                <c:pt idx="224">
                  <c:v>-10953.186741707199</c:v>
                </c:pt>
                <c:pt idx="225">
                  <c:v>-2416.6177998765743</c:v>
                </c:pt>
                <c:pt idx="226">
                  <c:v>-4677.1858191957626</c:v>
                </c:pt>
                <c:pt idx="227">
                  <c:v>7886.0428599548941</c:v>
                </c:pt>
                <c:pt idx="228">
                  <c:v>-1766.1562667814242</c:v>
                </c:pt>
                <c:pt idx="229">
                  <c:v>67.757586235105919</c:v>
                </c:pt>
                <c:pt idx="230">
                  <c:v>-3406.1807710677094</c:v>
                </c:pt>
                <c:pt idx="231">
                  <c:v>513.3036579913387</c:v>
                </c:pt>
                <c:pt idx="232">
                  <c:v>3202.458768340407</c:v>
                </c:pt>
                <c:pt idx="233">
                  <c:v>-100.93944797941731</c:v>
                </c:pt>
                <c:pt idx="234">
                  <c:v>-78.752022422896516</c:v>
                </c:pt>
                <c:pt idx="235">
                  <c:v>-10676.887763262399</c:v>
                </c:pt>
                <c:pt idx="236">
                  <c:v>474.15694829873405</c:v>
                </c:pt>
                <c:pt idx="237">
                  <c:v>-4730.2402352160761</c:v>
                </c:pt>
                <c:pt idx="238">
                  <c:v>-8611.3110876955834</c:v>
                </c:pt>
                <c:pt idx="239">
                  <c:v>-4813.1042520272813</c:v>
                </c:pt>
                <c:pt idx="240">
                  <c:v>8123.1635902981325</c:v>
                </c:pt>
                <c:pt idx="241">
                  <c:v>1350.1271188529431</c:v>
                </c:pt>
                <c:pt idx="242">
                  <c:v>23982.061163330854</c:v>
                </c:pt>
                <c:pt idx="243">
                  <c:v>-3796.205381955755</c:v>
                </c:pt>
                <c:pt idx="244">
                  <c:v>-7358.1417444524341</c:v>
                </c:pt>
                <c:pt idx="245">
                  <c:v>12993.395369058333</c:v>
                </c:pt>
                <c:pt idx="246">
                  <c:v>-2969.1620537671515</c:v>
                </c:pt>
                <c:pt idx="247">
                  <c:v>-3640.276703623671</c:v>
                </c:pt>
                <c:pt idx="248">
                  <c:v>1835.5261039868251</c:v>
                </c:pt>
                <c:pt idx="249">
                  <c:v>-1133.4548472595256</c:v>
                </c:pt>
                <c:pt idx="250">
                  <c:v>-10032.281885987391</c:v>
                </c:pt>
                <c:pt idx="251">
                  <c:v>8041.5357677841166</c:v>
                </c:pt>
                <c:pt idx="252">
                  <c:v>6670.7049140464878</c:v>
                </c:pt>
                <c:pt idx="253">
                  <c:v>-1771.027772455067</c:v>
                </c:pt>
                <c:pt idx="254">
                  <c:v>6253.1350702358468</c:v>
                </c:pt>
                <c:pt idx="255">
                  <c:v>1384.1110953163516</c:v>
                </c:pt>
                <c:pt idx="256">
                  <c:v>6949.1181441253211</c:v>
                </c:pt>
                <c:pt idx="257">
                  <c:v>-5216.8652244374553</c:v>
                </c:pt>
                <c:pt idx="258">
                  <c:v>720.53304179110455</c:v>
                </c:pt>
                <c:pt idx="259">
                  <c:v>6869.0239142069622</c:v>
                </c:pt>
                <c:pt idx="260">
                  <c:v>874.00260143155174</c:v>
                </c:pt>
                <c:pt idx="261">
                  <c:v>-8892.3469822358566</c:v>
                </c:pt>
                <c:pt idx="262">
                  <c:v>-9494.9011127390368</c:v>
                </c:pt>
                <c:pt idx="263">
                  <c:v>7717.6157009014642</c:v>
                </c:pt>
                <c:pt idx="264">
                  <c:v>5229.5718509078688</c:v>
                </c:pt>
                <c:pt idx="265">
                  <c:v>7530.5028380160365</c:v>
                </c:pt>
                <c:pt idx="266">
                  <c:v>-11689.248852840839</c:v>
                </c:pt>
                <c:pt idx="267">
                  <c:v>-366.6026959787996</c:v>
                </c:pt>
                <c:pt idx="268">
                  <c:v>-2252.820133025707</c:v>
                </c:pt>
                <c:pt idx="269">
                  <c:v>-39.518445959442033</c:v>
                </c:pt>
                <c:pt idx="270">
                  <c:v>-745.36347074788932</c:v>
                </c:pt>
                <c:pt idx="271">
                  <c:v>6301.4095573963205</c:v>
                </c:pt>
                <c:pt idx="272">
                  <c:v>-4074.9570287124088</c:v>
                </c:pt>
                <c:pt idx="273">
                  <c:v>-481.97616887835829</c:v>
                </c:pt>
                <c:pt idx="274">
                  <c:v>-687.30495334355055</c:v>
                </c:pt>
                <c:pt idx="275">
                  <c:v>191.43158699612468</c:v>
                </c:pt>
                <c:pt idx="276">
                  <c:v>2425.3552382507469</c:v>
                </c:pt>
                <c:pt idx="277">
                  <c:v>759.56012788145745</c:v>
                </c:pt>
                <c:pt idx="278">
                  <c:v>-1360.2211817140396</c:v>
                </c:pt>
                <c:pt idx="279">
                  <c:v>1394.9573435402363</c:v>
                </c:pt>
                <c:pt idx="280">
                  <c:v>-9215.0077244797285</c:v>
                </c:pt>
                <c:pt idx="281">
                  <c:v>8440.2654334447507</c:v>
                </c:pt>
                <c:pt idx="282">
                  <c:v>-766.67358881106884</c:v>
                </c:pt>
                <c:pt idx="283">
                  <c:v>-1099.7280355657294</c:v>
                </c:pt>
                <c:pt idx="284">
                  <c:v>-1721.2487716335872</c:v>
                </c:pt>
                <c:pt idx="285">
                  <c:v>-1057.3848181845224</c:v>
                </c:pt>
                <c:pt idx="286">
                  <c:v>-6743.7842246743512</c:v>
                </c:pt>
                <c:pt idx="287">
                  <c:v>1675.4994338817378</c:v>
                </c:pt>
                <c:pt idx="288">
                  <c:v>8668.6708586812238</c:v>
                </c:pt>
                <c:pt idx="289">
                  <c:v>14770.032015366764</c:v>
                </c:pt>
                <c:pt idx="290">
                  <c:v>-2694.8356819557112</c:v>
                </c:pt>
                <c:pt idx="291">
                  <c:v>14889.763269851068</c:v>
                </c:pt>
                <c:pt idx="292">
                  <c:v>8353.2499324358723</c:v>
                </c:pt>
                <c:pt idx="293">
                  <c:v>-688.92541296082254</c:v>
                </c:pt>
                <c:pt idx="294">
                  <c:v>-483.465847850111</c:v>
                </c:pt>
                <c:pt idx="295">
                  <c:v>1766.68259492487</c:v>
                </c:pt>
                <c:pt idx="296">
                  <c:v>-9225.20896580312</c:v>
                </c:pt>
                <c:pt idx="297">
                  <c:v>-10500.626874092533</c:v>
                </c:pt>
                <c:pt idx="298">
                  <c:v>6555.4132145874282</c:v>
                </c:pt>
                <c:pt idx="299">
                  <c:v>-793.08260326637537</c:v>
                </c:pt>
                <c:pt idx="300">
                  <c:v>-720.58348061493598</c:v>
                </c:pt>
                <c:pt idx="301">
                  <c:v>-9198.8366212109213</c:v>
                </c:pt>
                <c:pt idx="302">
                  <c:v>-3090.9468839747078</c:v>
                </c:pt>
                <c:pt idx="303">
                  <c:v>-2335.6557519108728</c:v>
                </c:pt>
                <c:pt idx="304">
                  <c:v>-3125.8034786972567</c:v>
                </c:pt>
                <c:pt idx="305">
                  <c:v>12388.347506778555</c:v>
                </c:pt>
                <c:pt idx="306">
                  <c:v>15262.736063715794</c:v>
                </c:pt>
                <c:pt idx="307">
                  <c:v>-2682.4967139633618</c:v>
                </c:pt>
                <c:pt idx="308">
                  <c:v>-2129.2568070287671</c:v>
                </c:pt>
                <c:pt idx="309">
                  <c:v>-2307.3160313759745</c:v>
                </c:pt>
                <c:pt idx="310">
                  <c:v>-906.47930390329748</c:v>
                </c:pt>
                <c:pt idx="311">
                  <c:v>991.27508873604052</c:v>
                </c:pt>
                <c:pt idx="312">
                  <c:v>6330.8541101340379</c:v>
                </c:pt>
                <c:pt idx="313">
                  <c:v>-3949.0393868825686</c:v>
                </c:pt>
                <c:pt idx="314">
                  <c:v>6062.1717850415444</c:v>
                </c:pt>
                <c:pt idx="315">
                  <c:v>-2284.1946474580727</c:v>
                </c:pt>
                <c:pt idx="316">
                  <c:v>-2319.6654168282948</c:v>
                </c:pt>
                <c:pt idx="317">
                  <c:v>-1934.7185457692085</c:v>
                </c:pt>
                <c:pt idx="318">
                  <c:v>-718.9963758902295</c:v>
                </c:pt>
                <c:pt idx="319">
                  <c:v>-3970.6316970031303</c:v>
                </c:pt>
                <c:pt idx="320">
                  <c:v>-376.0478363846114</c:v>
                </c:pt>
                <c:pt idx="321">
                  <c:v>18636.660645204665</c:v>
                </c:pt>
                <c:pt idx="322">
                  <c:v>5103.1030754337844</c:v>
                </c:pt>
                <c:pt idx="323">
                  <c:v>-4206.5576289729815</c:v>
                </c:pt>
                <c:pt idx="324">
                  <c:v>-1263.1334916705496</c:v>
                </c:pt>
                <c:pt idx="325">
                  <c:v>-3061.2493244688594</c:v>
                </c:pt>
                <c:pt idx="326">
                  <c:v>759.0482047807759</c:v>
                </c:pt>
                <c:pt idx="327">
                  <c:v>6760.5000955701398</c:v>
                </c:pt>
                <c:pt idx="328">
                  <c:v>8364.951331453638</c:v>
                </c:pt>
                <c:pt idx="329">
                  <c:v>-3972.7864872602568</c:v>
                </c:pt>
                <c:pt idx="330">
                  <c:v>8896.0471771001685</c:v>
                </c:pt>
                <c:pt idx="331">
                  <c:v>-9529.0368307388562</c:v>
                </c:pt>
                <c:pt idx="332">
                  <c:v>-225.90488149314115</c:v>
                </c:pt>
                <c:pt idx="333">
                  <c:v>57.083536906517111</c:v>
                </c:pt>
                <c:pt idx="334">
                  <c:v>7716.2803224056897</c:v>
                </c:pt>
                <c:pt idx="335">
                  <c:v>-1680.6694889738592</c:v>
                </c:pt>
                <c:pt idx="336">
                  <c:v>489.92242923658705</c:v>
                </c:pt>
                <c:pt idx="337">
                  <c:v>713.25795988745449</c:v>
                </c:pt>
                <c:pt idx="338">
                  <c:v>6448.6885383404442</c:v>
                </c:pt>
                <c:pt idx="339">
                  <c:v>-920.8923613098541</c:v>
                </c:pt>
                <c:pt idx="340">
                  <c:v>15986.502683844743</c:v>
                </c:pt>
                <c:pt idx="341">
                  <c:v>-193.77938958451705</c:v>
                </c:pt>
                <c:pt idx="342">
                  <c:v>981.8872900939914</c:v>
                </c:pt>
                <c:pt idx="343">
                  <c:v>-1992.7660090788504</c:v>
                </c:pt>
                <c:pt idx="344">
                  <c:v>-4795.8371190050657</c:v>
                </c:pt>
                <c:pt idx="345">
                  <c:v>-1317.6934648126971</c:v>
                </c:pt>
                <c:pt idx="346">
                  <c:v>-3969.4571463759876</c:v>
                </c:pt>
                <c:pt idx="347">
                  <c:v>-2629.4877022916753</c:v>
                </c:pt>
                <c:pt idx="348">
                  <c:v>-1805.0723742569635</c:v>
                </c:pt>
                <c:pt idx="349">
                  <c:v>-119.37145917116004</c:v>
                </c:pt>
                <c:pt idx="350">
                  <c:v>1775.4391425011581</c:v>
                </c:pt>
                <c:pt idx="351">
                  <c:v>-97.017901062085002</c:v>
                </c:pt>
                <c:pt idx="352">
                  <c:v>-993.79670042151201</c:v>
                </c:pt>
                <c:pt idx="353">
                  <c:v>4654.9620431504718</c:v>
                </c:pt>
                <c:pt idx="354">
                  <c:v>9274.0443454827291</c:v>
                </c:pt>
                <c:pt idx="355">
                  <c:v>15961.641722576913</c:v>
                </c:pt>
                <c:pt idx="356">
                  <c:v>-6360.7578763439069</c:v>
                </c:pt>
                <c:pt idx="357">
                  <c:v>-1417.1610597268154</c:v>
                </c:pt>
                <c:pt idx="358">
                  <c:v>-5479.2796834826495</c:v>
                </c:pt>
                <c:pt idx="359">
                  <c:v>2377.6976811755371</c:v>
                </c:pt>
                <c:pt idx="360">
                  <c:v>-1573.562916529143</c:v>
                </c:pt>
                <c:pt idx="361">
                  <c:v>-2460.8634805745105</c:v>
                </c:pt>
                <c:pt idx="362">
                  <c:v>-9747.4405487558452</c:v>
                </c:pt>
                <c:pt idx="363">
                  <c:v>315.32937369944375</c:v>
                </c:pt>
                <c:pt idx="364">
                  <c:v>1876.1079849674886</c:v>
                </c:pt>
                <c:pt idx="365">
                  <c:v>-1133.5977759950329</c:v>
                </c:pt>
                <c:pt idx="366">
                  <c:v>-722.84529071781435</c:v>
                </c:pt>
                <c:pt idx="367">
                  <c:v>301.68933923646091</c:v>
                </c:pt>
                <c:pt idx="368">
                  <c:v>-2377.4174373979749</c:v>
                </c:pt>
                <c:pt idx="369">
                  <c:v>-261.44334676598419</c:v>
                </c:pt>
                <c:pt idx="370">
                  <c:v>3001.141445117868</c:v>
                </c:pt>
                <c:pt idx="371">
                  <c:v>2279.8774752003119</c:v>
                </c:pt>
                <c:pt idx="372">
                  <c:v>-2231.9781064304225</c:v>
                </c:pt>
                <c:pt idx="373">
                  <c:v>6136.5855570184322</c:v>
                </c:pt>
                <c:pt idx="374">
                  <c:v>-2389.9993251139795</c:v>
                </c:pt>
                <c:pt idx="375">
                  <c:v>-8716.8144508576843</c:v>
                </c:pt>
                <c:pt idx="376">
                  <c:v>-9536.2195170639025</c:v>
                </c:pt>
                <c:pt idx="377">
                  <c:v>7306.8940321720074</c:v>
                </c:pt>
                <c:pt idx="378">
                  <c:v>943.04676584738809</c:v>
                </c:pt>
                <c:pt idx="379">
                  <c:v>12518.137174778314</c:v>
                </c:pt>
                <c:pt idx="380">
                  <c:v>-10389.83433485</c:v>
                </c:pt>
                <c:pt idx="381">
                  <c:v>6537.3285328230486</c:v>
                </c:pt>
                <c:pt idx="382">
                  <c:v>8081.4390812611637</c:v>
                </c:pt>
                <c:pt idx="383">
                  <c:v>-5971.0902086015039</c:v>
                </c:pt>
                <c:pt idx="384">
                  <c:v>988.74122267320399</c:v>
                </c:pt>
                <c:pt idx="385">
                  <c:v>-2606.2005188237213</c:v>
                </c:pt>
                <c:pt idx="386">
                  <c:v>-3564.3878279192395</c:v>
                </c:pt>
                <c:pt idx="387">
                  <c:v>20384.171447513952</c:v>
                </c:pt>
                <c:pt idx="388">
                  <c:v>1298.4378693616832</c:v>
                </c:pt>
                <c:pt idx="389">
                  <c:v>-611.17672420829058</c:v>
                </c:pt>
                <c:pt idx="390">
                  <c:v>-2897.101662067822</c:v>
                </c:pt>
                <c:pt idx="391">
                  <c:v>-2705.1985694325949</c:v>
                </c:pt>
                <c:pt idx="392">
                  <c:v>-1904.066051554084</c:v>
                </c:pt>
                <c:pt idx="393">
                  <c:v>-1805.2607756145262</c:v>
                </c:pt>
                <c:pt idx="394">
                  <c:v>-1690.1079018684304</c:v>
                </c:pt>
                <c:pt idx="395">
                  <c:v>1378.0388375821049</c:v>
                </c:pt>
                <c:pt idx="396">
                  <c:v>-2954.9516413897327</c:v>
                </c:pt>
                <c:pt idx="397">
                  <c:v>13290.596908118865</c:v>
                </c:pt>
                <c:pt idx="398">
                  <c:v>1402.4323652212861</c:v>
                </c:pt>
                <c:pt idx="399">
                  <c:v>-3191.9215002047358</c:v>
                </c:pt>
                <c:pt idx="400">
                  <c:v>1587.1026058136222</c:v>
                </c:pt>
                <c:pt idx="401">
                  <c:v>-7700.1186448962217</c:v>
                </c:pt>
                <c:pt idx="402">
                  <c:v>-316.76118561259864</c:v>
                </c:pt>
                <c:pt idx="403">
                  <c:v>-2078.7037394053223</c:v>
                </c:pt>
                <c:pt idx="404">
                  <c:v>803.86503298898288</c:v>
                </c:pt>
                <c:pt idx="405">
                  <c:v>-3208.1662751251388</c:v>
                </c:pt>
                <c:pt idx="406">
                  <c:v>-45.374066780870635</c:v>
                </c:pt>
                <c:pt idx="407">
                  <c:v>454.31811106558416</c:v>
                </c:pt>
                <c:pt idx="408">
                  <c:v>739.00832499334865</c:v>
                </c:pt>
                <c:pt idx="409">
                  <c:v>-2212.6610992480719</c:v>
                </c:pt>
                <c:pt idx="410">
                  <c:v>3199.0064172495945</c:v>
                </c:pt>
                <c:pt idx="411">
                  <c:v>-10445.364642398188</c:v>
                </c:pt>
                <c:pt idx="412">
                  <c:v>-10438.313161360322</c:v>
                </c:pt>
                <c:pt idx="413">
                  <c:v>676.86758929775806</c:v>
                </c:pt>
                <c:pt idx="414">
                  <c:v>-1974.5465709546306</c:v>
                </c:pt>
                <c:pt idx="415">
                  <c:v>-3583.3191498211909</c:v>
                </c:pt>
                <c:pt idx="416">
                  <c:v>-3139.5868398731036</c:v>
                </c:pt>
                <c:pt idx="417">
                  <c:v>-10603.797067020634</c:v>
                </c:pt>
                <c:pt idx="418">
                  <c:v>-3058.5219417597327</c:v>
                </c:pt>
                <c:pt idx="419">
                  <c:v>-7686.231078293109</c:v>
                </c:pt>
                <c:pt idx="420">
                  <c:v>7773.9367347721636</c:v>
                </c:pt>
                <c:pt idx="421">
                  <c:v>7620.0666791376352</c:v>
                </c:pt>
                <c:pt idx="422">
                  <c:v>6080.5393952944214</c:v>
                </c:pt>
                <c:pt idx="423">
                  <c:v>-1461.507617980837</c:v>
                </c:pt>
                <c:pt idx="424">
                  <c:v>-1972.593970562597</c:v>
                </c:pt>
                <c:pt idx="425">
                  <c:v>96.688267525742049</c:v>
                </c:pt>
                <c:pt idx="426">
                  <c:v>-389.2223143742558</c:v>
                </c:pt>
                <c:pt idx="427">
                  <c:v>5398.416882380383</c:v>
                </c:pt>
                <c:pt idx="428">
                  <c:v>3969.9518699324653</c:v>
                </c:pt>
                <c:pt idx="429">
                  <c:v>12740.795487260813</c:v>
                </c:pt>
                <c:pt idx="430">
                  <c:v>19633.302604869856</c:v>
                </c:pt>
                <c:pt idx="431">
                  <c:v>2071.8754980268486</c:v>
                </c:pt>
                <c:pt idx="432">
                  <c:v>-1414.9896661128132</c:v>
                </c:pt>
                <c:pt idx="433">
                  <c:v>-546.4738482875855</c:v>
                </c:pt>
                <c:pt idx="434">
                  <c:v>-1323.8185288405766</c:v>
                </c:pt>
                <c:pt idx="435">
                  <c:v>-1525.3850563406195</c:v>
                </c:pt>
                <c:pt idx="436">
                  <c:v>-1527.4680952287508</c:v>
                </c:pt>
                <c:pt idx="437">
                  <c:v>-1717.1298671202167</c:v>
                </c:pt>
                <c:pt idx="438">
                  <c:v>-6126.9351635435578</c:v>
                </c:pt>
                <c:pt idx="439">
                  <c:v>-1182.5181260722097</c:v>
                </c:pt>
                <c:pt idx="440">
                  <c:v>-2143.9033094469287</c:v>
                </c:pt>
                <c:pt idx="441">
                  <c:v>6079.6857950928679</c:v>
                </c:pt>
                <c:pt idx="442">
                  <c:v>-5231.9546899562047</c:v>
                </c:pt>
                <c:pt idx="443">
                  <c:v>12950.030598392847</c:v>
                </c:pt>
                <c:pt idx="444">
                  <c:v>-9104.199392716695</c:v>
                </c:pt>
                <c:pt idx="445">
                  <c:v>-2808.6558857194004</c:v>
                </c:pt>
                <c:pt idx="446">
                  <c:v>-176.8770418441436</c:v>
                </c:pt>
                <c:pt idx="447">
                  <c:v>861.72998481371906</c:v>
                </c:pt>
                <c:pt idx="448">
                  <c:v>-1827.0684391233744</c:v>
                </c:pt>
                <c:pt idx="449">
                  <c:v>-5056.6008435883341</c:v>
                </c:pt>
                <c:pt idx="450">
                  <c:v>-1861.905193976314</c:v>
                </c:pt>
                <c:pt idx="451">
                  <c:v>159.74819217579352</c:v>
                </c:pt>
                <c:pt idx="452">
                  <c:v>352.67237577783681</c:v>
                </c:pt>
                <c:pt idx="453">
                  <c:v>-854.94063189981921</c:v>
                </c:pt>
                <c:pt idx="454">
                  <c:v>-7384.7765616739025</c:v>
                </c:pt>
                <c:pt idx="455">
                  <c:v>6649.4063794384037</c:v>
                </c:pt>
                <c:pt idx="456">
                  <c:v>-844.589837704616</c:v>
                </c:pt>
                <c:pt idx="457">
                  <c:v>-568.73606928231129</c:v>
                </c:pt>
                <c:pt idx="458">
                  <c:v>-4480.7065848211969</c:v>
                </c:pt>
                <c:pt idx="459">
                  <c:v>-2570.1441554209669</c:v>
                </c:pt>
                <c:pt idx="460">
                  <c:v>-3360.3016137077739</c:v>
                </c:pt>
                <c:pt idx="461">
                  <c:v>-10049.819860936099</c:v>
                </c:pt>
                <c:pt idx="462">
                  <c:v>-1861.509898618955</c:v>
                </c:pt>
                <c:pt idx="463">
                  <c:v>481.39843500397365</c:v>
                </c:pt>
                <c:pt idx="464">
                  <c:v>733.05587238646467</c:v>
                </c:pt>
                <c:pt idx="465">
                  <c:v>-9529.792615914881</c:v>
                </c:pt>
                <c:pt idx="466">
                  <c:v>145.85436128077345</c:v>
                </c:pt>
                <c:pt idx="467">
                  <c:v>-1525.4443074906339</c:v>
                </c:pt>
                <c:pt idx="468">
                  <c:v>19870.983140296674</c:v>
                </c:pt>
                <c:pt idx="469">
                  <c:v>1435.6727362537126</c:v>
                </c:pt>
                <c:pt idx="470">
                  <c:v>-2877.0143505512706</c:v>
                </c:pt>
                <c:pt idx="471">
                  <c:v>-27.60495031876917</c:v>
                </c:pt>
                <c:pt idx="472">
                  <c:v>-643.07806575414293</c:v>
                </c:pt>
                <c:pt idx="473">
                  <c:v>10130.491905923793</c:v>
                </c:pt>
                <c:pt idx="474">
                  <c:v>-9749.1840216158962</c:v>
                </c:pt>
                <c:pt idx="475">
                  <c:v>-8153.902044957038</c:v>
                </c:pt>
                <c:pt idx="476">
                  <c:v>8077.744875272132</c:v>
                </c:pt>
                <c:pt idx="477">
                  <c:v>-3275.0307312863415</c:v>
                </c:pt>
                <c:pt idx="478">
                  <c:v>-3637.9899704454037</c:v>
                </c:pt>
                <c:pt idx="479">
                  <c:v>-2482.9655669173144</c:v>
                </c:pt>
                <c:pt idx="480">
                  <c:v>-3307.576952672247</c:v>
                </c:pt>
                <c:pt idx="481">
                  <c:v>-4246.8053326622157</c:v>
                </c:pt>
                <c:pt idx="482">
                  <c:v>-1006.3747328276679</c:v>
                </c:pt>
                <c:pt idx="483">
                  <c:v>-4354.1202234311186</c:v>
                </c:pt>
                <c:pt idx="484">
                  <c:v>-3170.9880377573918</c:v>
                </c:pt>
                <c:pt idx="485">
                  <c:v>-1541.8557783125498</c:v>
                </c:pt>
                <c:pt idx="486">
                  <c:v>2323.59071671323</c:v>
                </c:pt>
                <c:pt idx="487">
                  <c:v>-779.57052262880893</c:v>
                </c:pt>
                <c:pt idx="488">
                  <c:v>13581.462417503019</c:v>
                </c:pt>
                <c:pt idx="489">
                  <c:v>-1603.6671383961184</c:v>
                </c:pt>
                <c:pt idx="490">
                  <c:v>-1636.5084145619026</c:v>
                </c:pt>
                <c:pt idx="491">
                  <c:v>12815.007547781432</c:v>
                </c:pt>
                <c:pt idx="492">
                  <c:v>1585.918262986736</c:v>
                </c:pt>
                <c:pt idx="493">
                  <c:v>-5020.3524522695825</c:v>
                </c:pt>
                <c:pt idx="494">
                  <c:v>-9346.954436964701</c:v>
                </c:pt>
                <c:pt idx="495">
                  <c:v>-76.507749771431463</c:v>
                </c:pt>
                <c:pt idx="496">
                  <c:v>498.38391280545511</c:v>
                </c:pt>
                <c:pt idx="497">
                  <c:v>-1656.6303443097104</c:v>
                </c:pt>
                <c:pt idx="498">
                  <c:v>303.48998443116852</c:v>
                </c:pt>
                <c:pt idx="499">
                  <c:v>-3029.6150676668476</c:v>
                </c:pt>
                <c:pt idx="500">
                  <c:v>5939.7445618571946</c:v>
                </c:pt>
                <c:pt idx="501">
                  <c:v>-525.18275297131459</c:v>
                </c:pt>
                <c:pt idx="502">
                  <c:v>-10584.513817163293</c:v>
                </c:pt>
                <c:pt idx="503">
                  <c:v>6204.5644569517863</c:v>
                </c:pt>
                <c:pt idx="504">
                  <c:v>-1505.7906001048741</c:v>
                </c:pt>
                <c:pt idx="505">
                  <c:v>-1998.4682023923233</c:v>
                </c:pt>
                <c:pt idx="506">
                  <c:v>-1490.1950776949143</c:v>
                </c:pt>
                <c:pt idx="507">
                  <c:v>1174.0497756828333</c:v>
                </c:pt>
                <c:pt idx="508">
                  <c:v>825.4095524647696</c:v>
                </c:pt>
                <c:pt idx="509">
                  <c:v>-376.50780118233342</c:v>
                </c:pt>
                <c:pt idx="510">
                  <c:v>-1381.9529930863391</c:v>
                </c:pt>
                <c:pt idx="511">
                  <c:v>-3194.2711393640698</c:v>
                </c:pt>
                <c:pt idx="512">
                  <c:v>1097.8628526426164</c:v>
                </c:pt>
                <c:pt idx="513">
                  <c:v>-1324.35490745887</c:v>
                </c:pt>
                <c:pt idx="514">
                  <c:v>-10264.498269660791</c:v>
                </c:pt>
                <c:pt idx="515">
                  <c:v>-2979.8421284011802</c:v>
                </c:pt>
                <c:pt idx="516">
                  <c:v>22831.992681714593</c:v>
                </c:pt>
                <c:pt idx="517">
                  <c:v>-1848.8586124096873</c:v>
                </c:pt>
                <c:pt idx="518">
                  <c:v>-2132.0941819951167</c:v>
                </c:pt>
                <c:pt idx="519">
                  <c:v>-1969.9682117727184</c:v>
                </c:pt>
                <c:pt idx="520">
                  <c:v>16061.014929937381</c:v>
                </c:pt>
                <c:pt idx="521">
                  <c:v>-6386.5060900190547</c:v>
                </c:pt>
                <c:pt idx="522">
                  <c:v>-2096.8410230171212</c:v>
                </c:pt>
                <c:pt idx="523">
                  <c:v>-4441.3486295617213</c:v>
                </c:pt>
                <c:pt idx="524">
                  <c:v>6843.1151366840459</c:v>
                </c:pt>
                <c:pt idx="525">
                  <c:v>8039.7875179840648</c:v>
                </c:pt>
                <c:pt idx="526">
                  <c:v>20470.869894909651</c:v>
                </c:pt>
                <c:pt idx="527">
                  <c:v>36.200995493492883</c:v>
                </c:pt>
                <c:pt idx="528">
                  <c:v>-4577.8930315662474</c:v>
                </c:pt>
                <c:pt idx="529">
                  <c:v>975.14292990707418</c:v>
                </c:pt>
                <c:pt idx="530">
                  <c:v>8236.3633970988303</c:v>
                </c:pt>
                <c:pt idx="531">
                  <c:v>-52.768388442989817</c:v>
                </c:pt>
                <c:pt idx="532">
                  <c:v>-690.45684977590645</c:v>
                </c:pt>
                <c:pt idx="533">
                  <c:v>10129.240838144104</c:v>
                </c:pt>
                <c:pt idx="534">
                  <c:v>-3597.0286779643102</c:v>
                </c:pt>
                <c:pt idx="535">
                  <c:v>-1121.7729805335775</c:v>
                </c:pt>
                <c:pt idx="536">
                  <c:v>-4374.4128808716314</c:v>
                </c:pt>
                <c:pt idx="537">
                  <c:v>-1600.1389559018844</c:v>
                </c:pt>
                <c:pt idx="538">
                  <c:v>-1026.6446242474558</c:v>
                </c:pt>
                <c:pt idx="539">
                  <c:v>15692.746110609873</c:v>
                </c:pt>
                <c:pt idx="540">
                  <c:v>-4118.5261256448939</c:v>
                </c:pt>
                <c:pt idx="541">
                  <c:v>-1176.4933958301581</c:v>
                </c:pt>
                <c:pt idx="542">
                  <c:v>-1937.7515067576842</c:v>
                </c:pt>
                <c:pt idx="543">
                  <c:v>22878.949127634129</c:v>
                </c:pt>
                <c:pt idx="544">
                  <c:v>-1312.734997481497</c:v>
                </c:pt>
                <c:pt idx="545">
                  <c:v>-9799.6606075207856</c:v>
                </c:pt>
                <c:pt idx="546">
                  <c:v>-3252.9746867375798</c:v>
                </c:pt>
                <c:pt idx="547">
                  <c:v>-6260.1481614247405</c:v>
                </c:pt>
                <c:pt idx="548">
                  <c:v>-333.18716931261815</c:v>
                </c:pt>
                <c:pt idx="549">
                  <c:v>8197.510905705909</c:v>
                </c:pt>
                <c:pt idx="550">
                  <c:v>-664.2137911310183</c:v>
                </c:pt>
                <c:pt idx="551">
                  <c:v>-1486.6512405769149</c:v>
                </c:pt>
                <c:pt idx="552">
                  <c:v>2185.5979029067366</c:v>
                </c:pt>
                <c:pt idx="553">
                  <c:v>-1277.0979462310752</c:v>
                </c:pt>
                <c:pt idx="554">
                  <c:v>10234.923172518746</c:v>
                </c:pt>
                <c:pt idx="555">
                  <c:v>123.58915422828068</c:v>
                </c:pt>
                <c:pt idx="556">
                  <c:v>-2659.9315855615914</c:v>
                </c:pt>
                <c:pt idx="557">
                  <c:v>-3739.4704622392301</c:v>
                </c:pt>
                <c:pt idx="558">
                  <c:v>6852.8137350757534</c:v>
                </c:pt>
                <c:pt idx="559">
                  <c:v>-2585.3219040342919</c:v>
                </c:pt>
                <c:pt idx="560">
                  <c:v>2067.590423220543</c:v>
                </c:pt>
                <c:pt idx="561">
                  <c:v>-1415.2746624992924</c:v>
                </c:pt>
                <c:pt idx="562">
                  <c:v>-2181.6131063858393</c:v>
                </c:pt>
                <c:pt idx="563">
                  <c:v>-6613.765309073955</c:v>
                </c:pt>
                <c:pt idx="564">
                  <c:v>-1022.1346441070459</c:v>
                </c:pt>
                <c:pt idx="565">
                  <c:v>-482.79879072878566</c:v>
                </c:pt>
                <c:pt idx="566">
                  <c:v>-4851.358972162383</c:v>
                </c:pt>
                <c:pt idx="567">
                  <c:v>-2004.7763663581782</c:v>
                </c:pt>
                <c:pt idx="568">
                  <c:v>-1613.5238093604839</c:v>
                </c:pt>
                <c:pt idx="569">
                  <c:v>7613.7087929727204</c:v>
                </c:pt>
                <c:pt idx="570">
                  <c:v>-1495.1491717295671</c:v>
                </c:pt>
                <c:pt idx="571">
                  <c:v>-2794.417781250293</c:v>
                </c:pt>
                <c:pt idx="572">
                  <c:v>-5704.3161633246546</c:v>
                </c:pt>
                <c:pt idx="573">
                  <c:v>15399.155999435769</c:v>
                </c:pt>
                <c:pt idx="574">
                  <c:v>-1355.494031170565</c:v>
                </c:pt>
                <c:pt idx="575">
                  <c:v>625.69363783436347</c:v>
                </c:pt>
                <c:pt idx="576">
                  <c:v>-543.41183533522235</c:v>
                </c:pt>
                <c:pt idx="577">
                  <c:v>26134.677798152385</c:v>
                </c:pt>
                <c:pt idx="578">
                  <c:v>-1774.2896843381968</c:v>
                </c:pt>
                <c:pt idx="579">
                  <c:v>1310.7799272628017</c:v>
                </c:pt>
                <c:pt idx="580">
                  <c:v>1135.8018138166553</c:v>
                </c:pt>
                <c:pt idx="581">
                  <c:v>-1002.2425739987013</c:v>
                </c:pt>
                <c:pt idx="582">
                  <c:v>-7165.8045698610613</c:v>
                </c:pt>
                <c:pt idx="583">
                  <c:v>13392.536650878865</c:v>
                </c:pt>
                <c:pt idx="584">
                  <c:v>1784.1207001008909</c:v>
                </c:pt>
                <c:pt idx="585">
                  <c:v>-1198.9035375778949</c:v>
                </c:pt>
                <c:pt idx="586">
                  <c:v>2615.969241123873</c:v>
                </c:pt>
                <c:pt idx="587">
                  <c:v>13271.72918756428</c:v>
                </c:pt>
                <c:pt idx="588">
                  <c:v>-1548.0965449889009</c:v>
                </c:pt>
                <c:pt idx="589">
                  <c:v>-2069.8026691054092</c:v>
                </c:pt>
                <c:pt idx="590">
                  <c:v>-343.75072936505603</c:v>
                </c:pt>
                <c:pt idx="591">
                  <c:v>1639.7775645156698</c:v>
                </c:pt>
                <c:pt idx="592">
                  <c:v>-1453.9888699549583</c:v>
                </c:pt>
                <c:pt idx="593">
                  <c:v>-9270.3210893885607</c:v>
                </c:pt>
                <c:pt idx="594">
                  <c:v>-5717.6335007410562</c:v>
                </c:pt>
                <c:pt idx="595">
                  <c:v>-2262.2630353713357</c:v>
                </c:pt>
                <c:pt idx="596">
                  <c:v>-1521.7847165347885</c:v>
                </c:pt>
                <c:pt idx="597">
                  <c:v>-2244.3298310574883</c:v>
                </c:pt>
                <c:pt idx="598">
                  <c:v>-2982.618800729726</c:v>
                </c:pt>
                <c:pt idx="599">
                  <c:v>19142.088374304098</c:v>
                </c:pt>
                <c:pt idx="600">
                  <c:v>-3509.1782890175355</c:v>
                </c:pt>
                <c:pt idx="601">
                  <c:v>-2055.1890245391587</c:v>
                </c:pt>
                <c:pt idx="602">
                  <c:v>590.89147580814097</c:v>
                </c:pt>
                <c:pt idx="603">
                  <c:v>-2303.2758185388466</c:v>
                </c:pt>
                <c:pt idx="604">
                  <c:v>-8250.4004215362584</c:v>
                </c:pt>
                <c:pt idx="605">
                  <c:v>-2739.1263325427462</c:v>
                </c:pt>
                <c:pt idx="606">
                  <c:v>596.84381374361737</c:v>
                </c:pt>
                <c:pt idx="607">
                  <c:v>-8856.3679345246528</c:v>
                </c:pt>
                <c:pt idx="608">
                  <c:v>-312.47810680677503</c:v>
                </c:pt>
                <c:pt idx="609">
                  <c:v>6684.3386537750739</c:v>
                </c:pt>
                <c:pt idx="610">
                  <c:v>-1394.7441833282119</c:v>
                </c:pt>
                <c:pt idx="611">
                  <c:v>-3271.4013503286133</c:v>
                </c:pt>
                <c:pt idx="612">
                  <c:v>-1001.8076149560557</c:v>
                </c:pt>
                <c:pt idx="613">
                  <c:v>2553.2405283381431</c:v>
                </c:pt>
                <c:pt idx="614">
                  <c:v>-1795.2470621763784</c:v>
                </c:pt>
                <c:pt idx="615">
                  <c:v>6879.3761860290615</c:v>
                </c:pt>
                <c:pt idx="616">
                  <c:v>117.97110344634712</c:v>
                </c:pt>
                <c:pt idx="617">
                  <c:v>-10223.109870838896</c:v>
                </c:pt>
                <c:pt idx="618">
                  <c:v>7175.5848448259239</c:v>
                </c:pt>
                <c:pt idx="619">
                  <c:v>-3305.9965703878097</c:v>
                </c:pt>
                <c:pt idx="620">
                  <c:v>-2553.0062064798217</c:v>
                </c:pt>
                <c:pt idx="621">
                  <c:v>6064.0416618834206</c:v>
                </c:pt>
                <c:pt idx="622">
                  <c:v>1321.3763229396618</c:v>
                </c:pt>
                <c:pt idx="623">
                  <c:v>7474.6322059487647</c:v>
                </c:pt>
                <c:pt idx="624">
                  <c:v>-245.22998508455021</c:v>
                </c:pt>
                <c:pt idx="625">
                  <c:v>-16.193650346331651</c:v>
                </c:pt>
                <c:pt idx="626">
                  <c:v>-1146.7971463937492</c:v>
                </c:pt>
                <c:pt idx="627">
                  <c:v>781.13765610529845</c:v>
                </c:pt>
                <c:pt idx="628">
                  <c:v>-3716.9033549359683</c:v>
                </c:pt>
                <c:pt idx="629">
                  <c:v>7393.3375689743407</c:v>
                </c:pt>
                <c:pt idx="630">
                  <c:v>-3569.7464684317092</c:v>
                </c:pt>
                <c:pt idx="631">
                  <c:v>-1538.0499009853179</c:v>
                </c:pt>
                <c:pt idx="632">
                  <c:v>-3443.5769773378511</c:v>
                </c:pt>
                <c:pt idx="633">
                  <c:v>707.5083523751382</c:v>
                </c:pt>
                <c:pt idx="634">
                  <c:v>-4907.2125039993625</c:v>
                </c:pt>
                <c:pt idx="635">
                  <c:v>-2280.1720654579312</c:v>
                </c:pt>
                <c:pt idx="636">
                  <c:v>1550.6604397300466</c:v>
                </c:pt>
                <c:pt idx="637">
                  <c:v>14785.149099300659</c:v>
                </c:pt>
                <c:pt idx="638">
                  <c:v>-10115.533902745075</c:v>
                </c:pt>
                <c:pt idx="639">
                  <c:v>-2115.1751141276873</c:v>
                </c:pt>
                <c:pt idx="640">
                  <c:v>-5754.032421907521</c:v>
                </c:pt>
                <c:pt idx="641">
                  <c:v>-282.97133677192323</c:v>
                </c:pt>
                <c:pt idx="642">
                  <c:v>-1397.776096320682</c:v>
                </c:pt>
                <c:pt idx="643">
                  <c:v>-2033.5798803736943</c:v>
                </c:pt>
                <c:pt idx="644">
                  <c:v>7509.8083975705849</c:v>
                </c:pt>
                <c:pt idx="645">
                  <c:v>-1459.9638997563234</c:v>
                </c:pt>
                <c:pt idx="646">
                  <c:v>-742.2387057355445</c:v>
                </c:pt>
                <c:pt idx="647">
                  <c:v>1098.8991539399076</c:v>
                </c:pt>
                <c:pt idx="648">
                  <c:v>0.94026526978927905</c:v>
                </c:pt>
                <c:pt idx="649">
                  <c:v>-1031.3801416304632</c:v>
                </c:pt>
                <c:pt idx="650">
                  <c:v>-5414.5907853512854</c:v>
                </c:pt>
                <c:pt idx="651">
                  <c:v>-4202.3613783759538</c:v>
                </c:pt>
                <c:pt idx="652">
                  <c:v>-2012.6184441132791</c:v>
                </c:pt>
                <c:pt idx="653">
                  <c:v>-3603.137005902925</c:v>
                </c:pt>
                <c:pt idx="654">
                  <c:v>-2194.98993431093</c:v>
                </c:pt>
                <c:pt idx="655">
                  <c:v>-9539.2309719776022</c:v>
                </c:pt>
                <c:pt idx="656">
                  <c:v>-5310.9956084117348</c:v>
                </c:pt>
                <c:pt idx="657">
                  <c:v>-2418.4428120209054</c:v>
                </c:pt>
                <c:pt idx="658">
                  <c:v>14087.067134759904</c:v>
                </c:pt>
                <c:pt idx="659">
                  <c:v>641.2437673928689</c:v>
                </c:pt>
                <c:pt idx="660">
                  <c:v>-7398.2914138715059</c:v>
                </c:pt>
                <c:pt idx="661">
                  <c:v>11406.285604682364</c:v>
                </c:pt>
                <c:pt idx="662">
                  <c:v>-1624.5578175383034</c:v>
                </c:pt>
                <c:pt idx="663">
                  <c:v>-2235.6405733908668</c:v>
                </c:pt>
                <c:pt idx="664">
                  <c:v>-8572.4485882870285</c:v>
                </c:pt>
                <c:pt idx="665">
                  <c:v>6567.602093741727</c:v>
                </c:pt>
                <c:pt idx="666">
                  <c:v>-1539.0380580853107</c:v>
                </c:pt>
                <c:pt idx="667">
                  <c:v>6485.037079748603</c:v>
                </c:pt>
                <c:pt idx="668">
                  <c:v>7710.8352157317349</c:v>
                </c:pt>
                <c:pt idx="669">
                  <c:v>-1778.8676492658542</c:v>
                </c:pt>
                <c:pt idx="670">
                  <c:v>-2376.4892760544744</c:v>
                </c:pt>
                <c:pt idx="671">
                  <c:v>-1460.1606469217513</c:v>
                </c:pt>
                <c:pt idx="672">
                  <c:v>-2339.0685500860745</c:v>
                </c:pt>
                <c:pt idx="673">
                  <c:v>-2267.5701384882532</c:v>
                </c:pt>
                <c:pt idx="674">
                  <c:v>8073.9136078471056</c:v>
                </c:pt>
                <c:pt idx="675">
                  <c:v>842.7540125938167</c:v>
                </c:pt>
                <c:pt idx="676">
                  <c:v>-4148.4153215661772</c:v>
                </c:pt>
                <c:pt idx="677">
                  <c:v>7440.3771666443863</c:v>
                </c:pt>
                <c:pt idx="678">
                  <c:v>-3012.5986215144221</c:v>
                </c:pt>
                <c:pt idx="679">
                  <c:v>1217.4065700523588</c:v>
                </c:pt>
                <c:pt idx="680">
                  <c:v>3199.4819992703569</c:v>
                </c:pt>
                <c:pt idx="681">
                  <c:v>1912.3052612373756</c:v>
                </c:pt>
                <c:pt idx="682">
                  <c:v>6030.7695949049012</c:v>
                </c:pt>
                <c:pt idx="683">
                  <c:v>472.79117258359838</c:v>
                </c:pt>
                <c:pt idx="684">
                  <c:v>1932.0043681807506</c:v>
                </c:pt>
                <c:pt idx="685">
                  <c:v>234.02220955381745</c:v>
                </c:pt>
                <c:pt idx="686">
                  <c:v>-352.63666000252215</c:v>
                </c:pt>
                <c:pt idx="687">
                  <c:v>-6190.4467994736342</c:v>
                </c:pt>
                <c:pt idx="688">
                  <c:v>17990.301409644977</c:v>
                </c:pt>
                <c:pt idx="689">
                  <c:v>5643.1640482628536</c:v>
                </c:pt>
                <c:pt idx="690">
                  <c:v>-13.811257482297151</c:v>
                </c:pt>
                <c:pt idx="691">
                  <c:v>-4072.4955647336947</c:v>
                </c:pt>
                <c:pt idx="692">
                  <c:v>-1591.8702790032703</c:v>
                </c:pt>
                <c:pt idx="693">
                  <c:v>653.95466805332717</c:v>
                </c:pt>
                <c:pt idx="694">
                  <c:v>-2955.0994541488744</c:v>
                </c:pt>
                <c:pt idx="695">
                  <c:v>-4333.6712355726286</c:v>
                </c:pt>
                <c:pt idx="696">
                  <c:v>16280.422946819079</c:v>
                </c:pt>
                <c:pt idx="697">
                  <c:v>6013.4952645114608</c:v>
                </c:pt>
                <c:pt idx="698">
                  <c:v>-2214.9957931290719</c:v>
                </c:pt>
                <c:pt idx="699">
                  <c:v>-3913.2662110734982</c:v>
                </c:pt>
                <c:pt idx="700">
                  <c:v>-2514.4763928198017</c:v>
                </c:pt>
                <c:pt idx="701">
                  <c:v>-5649.2514084570994</c:v>
                </c:pt>
                <c:pt idx="702">
                  <c:v>-5406.1218861431971</c:v>
                </c:pt>
                <c:pt idx="703">
                  <c:v>-252.37383562359446</c:v>
                </c:pt>
                <c:pt idx="704">
                  <c:v>-1067.8248788254241</c:v>
                </c:pt>
                <c:pt idx="705">
                  <c:v>-2567.1421482785336</c:v>
                </c:pt>
                <c:pt idx="706">
                  <c:v>7291.7866661905282</c:v>
                </c:pt>
                <c:pt idx="707">
                  <c:v>-921.83807514854561</c:v>
                </c:pt>
                <c:pt idx="708">
                  <c:v>-1012.6998253305273</c:v>
                </c:pt>
                <c:pt idx="709">
                  <c:v>-638.96420051729638</c:v>
                </c:pt>
                <c:pt idx="710">
                  <c:v>-2613.6534493121599</c:v>
                </c:pt>
                <c:pt idx="711">
                  <c:v>794.12795769916738</c:v>
                </c:pt>
                <c:pt idx="712">
                  <c:v>-1496.9351642888032</c:v>
                </c:pt>
                <c:pt idx="713">
                  <c:v>-4095.0937414002356</c:v>
                </c:pt>
                <c:pt idx="714">
                  <c:v>1098.0414980508062</c:v>
                </c:pt>
                <c:pt idx="715">
                  <c:v>-522.73560374164481</c:v>
                </c:pt>
                <c:pt idx="716">
                  <c:v>1284.5718852176742</c:v>
                </c:pt>
                <c:pt idx="717">
                  <c:v>1443.4753057252838</c:v>
                </c:pt>
                <c:pt idx="718">
                  <c:v>-2948.7167689363087</c:v>
                </c:pt>
                <c:pt idx="719">
                  <c:v>-1383.5993579800379</c:v>
                </c:pt>
                <c:pt idx="720">
                  <c:v>-4258.3531351810998</c:v>
                </c:pt>
                <c:pt idx="721">
                  <c:v>-3498.9818009439623</c:v>
                </c:pt>
                <c:pt idx="722">
                  <c:v>-2941.7845425526648</c:v>
                </c:pt>
                <c:pt idx="723">
                  <c:v>-2926.6619216649333</c:v>
                </c:pt>
                <c:pt idx="724">
                  <c:v>128.79916420130212</c:v>
                </c:pt>
                <c:pt idx="725">
                  <c:v>7499.5095846777331</c:v>
                </c:pt>
                <c:pt idx="726">
                  <c:v>-1420.0658356043068</c:v>
                </c:pt>
                <c:pt idx="727">
                  <c:v>-10003.928364761494</c:v>
                </c:pt>
                <c:pt idx="728">
                  <c:v>-3285.0950601996947</c:v>
                </c:pt>
                <c:pt idx="729">
                  <c:v>-3773.6071524106119</c:v>
                </c:pt>
                <c:pt idx="730">
                  <c:v>-10651.482628407106</c:v>
                </c:pt>
                <c:pt idx="731">
                  <c:v>1141.0361533341165</c:v>
                </c:pt>
                <c:pt idx="732">
                  <c:v>-958.92596989575759</c:v>
                </c:pt>
                <c:pt idx="733">
                  <c:v>-75.537387677815786</c:v>
                </c:pt>
                <c:pt idx="734">
                  <c:v>-855.06653214064136</c:v>
                </c:pt>
                <c:pt idx="735">
                  <c:v>-2612.2387733314736</c:v>
                </c:pt>
                <c:pt idx="736">
                  <c:v>6814.0815058779044</c:v>
                </c:pt>
                <c:pt idx="737">
                  <c:v>308.13030917311517</c:v>
                </c:pt>
                <c:pt idx="738">
                  <c:v>6917.0806047879014</c:v>
                </c:pt>
                <c:pt idx="739">
                  <c:v>13026.460287640213</c:v>
                </c:pt>
                <c:pt idx="740">
                  <c:v>421.32204994454423</c:v>
                </c:pt>
                <c:pt idx="741">
                  <c:v>-9806.0400585657262</c:v>
                </c:pt>
                <c:pt idx="742">
                  <c:v>6903.0215497668105</c:v>
                </c:pt>
                <c:pt idx="743">
                  <c:v>-700.40489268336023</c:v>
                </c:pt>
                <c:pt idx="744">
                  <c:v>-462.59163736346818</c:v>
                </c:pt>
                <c:pt idx="745">
                  <c:v>-1045.403500435983</c:v>
                </c:pt>
                <c:pt idx="746">
                  <c:v>5436.7424211542666</c:v>
                </c:pt>
                <c:pt idx="747">
                  <c:v>1829.0338701034116</c:v>
                </c:pt>
                <c:pt idx="748">
                  <c:v>-3519.4032841654516</c:v>
                </c:pt>
                <c:pt idx="749">
                  <c:v>-1991.6706897816503</c:v>
                </c:pt>
                <c:pt idx="750">
                  <c:v>-10206.69627405595</c:v>
                </c:pt>
                <c:pt idx="751">
                  <c:v>-731.3564730708556</c:v>
                </c:pt>
                <c:pt idx="752">
                  <c:v>-2388.8405156481895</c:v>
                </c:pt>
                <c:pt idx="753">
                  <c:v>1652.7238103356995</c:v>
                </c:pt>
                <c:pt idx="754">
                  <c:v>10324.935362528939</c:v>
                </c:pt>
                <c:pt idx="755">
                  <c:v>-703.88241168724926</c:v>
                </c:pt>
                <c:pt idx="756">
                  <c:v>1273.7346608897542</c:v>
                </c:pt>
                <c:pt idx="757">
                  <c:v>-9719.2611534224452</c:v>
                </c:pt>
                <c:pt idx="758">
                  <c:v>-3671.3930967039805</c:v>
                </c:pt>
                <c:pt idx="759">
                  <c:v>7672.8086537797426</c:v>
                </c:pt>
                <c:pt idx="760">
                  <c:v>-1720.7877244178526</c:v>
                </c:pt>
                <c:pt idx="761">
                  <c:v>-3213.4859859639391</c:v>
                </c:pt>
                <c:pt idx="762">
                  <c:v>-10372.463542269201</c:v>
                </c:pt>
                <c:pt idx="763">
                  <c:v>-166.15063568561936</c:v>
                </c:pt>
                <c:pt idx="764">
                  <c:v>544.99605070556208</c:v>
                </c:pt>
                <c:pt idx="765">
                  <c:v>-994.94963506112435</c:v>
                </c:pt>
                <c:pt idx="766">
                  <c:v>-2822.696093652964</c:v>
                </c:pt>
                <c:pt idx="767">
                  <c:v>-1483.4609276251849</c:v>
                </c:pt>
                <c:pt idx="768">
                  <c:v>-2858.0687837481655</c:v>
                </c:pt>
                <c:pt idx="769">
                  <c:v>2022.669598212965</c:v>
                </c:pt>
                <c:pt idx="770">
                  <c:v>11275.894441833796</c:v>
                </c:pt>
                <c:pt idx="771">
                  <c:v>47.088402729867084</c:v>
                </c:pt>
                <c:pt idx="772">
                  <c:v>1813.4614800076597</c:v>
                </c:pt>
                <c:pt idx="773">
                  <c:v>-8154.3334211557485</c:v>
                </c:pt>
                <c:pt idx="774">
                  <c:v>-3161.6420306149557</c:v>
                </c:pt>
                <c:pt idx="775">
                  <c:v>-2634.8779989924824</c:v>
                </c:pt>
                <c:pt idx="776">
                  <c:v>-2567.3188578862937</c:v>
                </c:pt>
                <c:pt idx="777">
                  <c:v>-4863.3495417697286</c:v>
                </c:pt>
                <c:pt idx="778">
                  <c:v>-3454.0306705195899</c:v>
                </c:pt>
                <c:pt idx="779">
                  <c:v>-988.51282437233021</c:v>
                </c:pt>
                <c:pt idx="780">
                  <c:v>-10458.580863698502</c:v>
                </c:pt>
                <c:pt idx="781">
                  <c:v>-4632.6918666431375</c:v>
                </c:pt>
                <c:pt idx="782">
                  <c:v>-3711.8914714016373</c:v>
                </c:pt>
                <c:pt idx="783">
                  <c:v>-9437.4428683058613</c:v>
                </c:pt>
                <c:pt idx="784">
                  <c:v>-1430.9253117299832</c:v>
                </c:pt>
                <c:pt idx="785">
                  <c:v>-843.57618371076205</c:v>
                </c:pt>
                <c:pt idx="786">
                  <c:v>-2521.0522536276112</c:v>
                </c:pt>
                <c:pt idx="787">
                  <c:v>-3258.1945844738148</c:v>
                </c:pt>
                <c:pt idx="788">
                  <c:v>1167.7211840030604</c:v>
                </c:pt>
                <c:pt idx="789">
                  <c:v>-55.733249300394164</c:v>
                </c:pt>
                <c:pt idx="790">
                  <c:v>-5744.5250464558121</c:v>
                </c:pt>
                <c:pt idx="791">
                  <c:v>-427.06297950347675</c:v>
                </c:pt>
                <c:pt idx="792">
                  <c:v>1701.4768990636162</c:v>
                </c:pt>
                <c:pt idx="793">
                  <c:v>-10905.530675714981</c:v>
                </c:pt>
                <c:pt idx="794">
                  <c:v>-1964.37101747628</c:v>
                </c:pt>
                <c:pt idx="795">
                  <c:v>-9532.5901467189396</c:v>
                </c:pt>
                <c:pt idx="796">
                  <c:v>-6545.823706449989</c:v>
                </c:pt>
                <c:pt idx="797">
                  <c:v>1244.5179746846911</c:v>
                </c:pt>
                <c:pt idx="798">
                  <c:v>-1657.642481014027</c:v>
                </c:pt>
                <c:pt idx="799">
                  <c:v>-10293.442743174386</c:v>
                </c:pt>
                <c:pt idx="800">
                  <c:v>-579.75977161296487</c:v>
                </c:pt>
                <c:pt idx="801">
                  <c:v>-1662.7477511504421</c:v>
                </c:pt>
                <c:pt idx="802">
                  <c:v>1140.2211253484143</c:v>
                </c:pt>
                <c:pt idx="803">
                  <c:v>8847.7607442160006</c:v>
                </c:pt>
                <c:pt idx="804">
                  <c:v>-544.17407972797901</c:v>
                </c:pt>
                <c:pt idx="805">
                  <c:v>-3295.7086444332908</c:v>
                </c:pt>
                <c:pt idx="806">
                  <c:v>16460.936663747671</c:v>
                </c:pt>
                <c:pt idx="807">
                  <c:v>-2431.2041200033591</c:v>
                </c:pt>
                <c:pt idx="808">
                  <c:v>-1107.6164353898009</c:v>
                </c:pt>
                <c:pt idx="809">
                  <c:v>176.18172996910016</c:v>
                </c:pt>
                <c:pt idx="810">
                  <c:v>-1676.9181131524365</c:v>
                </c:pt>
                <c:pt idx="811">
                  <c:v>-5286.0769483501281</c:v>
                </c:pt>
                <c:pt idx="812">
                  <c:v>1483.5052775660115</c:v>
                </c:pt>
                <c:pt idx="813">
                  <c:v>1118.3820068792393</c:v>
                </c:pt>
                <c:pt idx="814">
                  <c:v>-3623.8556166166554</c:v>
                </c:pt>
                <c:pt idx="815">
                  <c:v>-1301.7365018009123</c:v>
                </c:pt>
                <c:pt idx="816">
                  <c:v>960.2917684338363</c:v>
                </c:pt>
                <c:pt idx="817">
                  <c:v>-3591.3672824538894</c:v>
                </c:pt>
                <c:pt idx="818">
                  <c:v>-9308.1217271240021</c:v>
                </c:pt>
                <c:pt idx="819">
                  <c:v>23482.357547325199</c:v>
                </c:pt>
                <c:pt idx="820">
                  <c:v>-3374.4350429699534</c:v>
                </c:pt>
                <c:pt idx="821">
                  <c:v>2392.5171993972726</c:v>
                </c:pt>
                <c:pt idx="822">
                  <c:v>-935.87322420259989</c:v>
                </c:pt>
                <c:pt idx="823">
                  <c:v>-1564.7999941331</c:v>
                </c:pt>
                <c:pt idx="824">
                  <c:v>1327.9776212711076</c:v>
                </c:pt>
                <c:pt idx="825">
                  <c:v>479.56018253473849</c:v>
                </c:pt>
                <c:pt idx="826">
                  <c:v>6487.0024942615055</c:v>
                </c:pt>
                <c:pt idx="827">
                  <c:v>-9710.9728118883868</c:v>
                </c:pt>
                <c:pt idx="828">
                  <c:v>5989.8538055406461</c:v>
                </c:pt>
                <c:pt idx="829">
                  <c:v>658.17762468055298</c:v>
                </c:pt>
                <c:pt idx="830">
                  <c:v>-1401.2750176658064</c:v>
                </c:pt>
                <c:pt idx="831">
                  <c:v>-230.08753511899249</c:v>
                </c:pt>
                <c:pt idx="832">
                  <c:v>981.16844110042712</c:v>
                </c:pt>
                <c:pt idx="833">
                  <c:v>-2177.0376906791898</c:v>
                </c:pt>
                <c:pt idx="834">
                  <c:v>-3160.8718453376932</c:v>
                </c:pt>
                <c:pt idx="835">
                  <c:v>-4090.5792209742576</c:v>
                </c:pt>
                <c:pt idx="836">
                  <c:v>-2915.8990752002555</c:v>
                </c:pt>
                <c:pt idx="837">
                  <c:v>209.30265325609253</c:v>
                </c:pt>
                <c:pt idx="838">
                  <c:v>981.08022286759569</c:v>
                </c:pt>
                <c:pt idx="839">
                  <c:v>-578.21353337226174</c:v>
                </c:pt>
                <c:pt idx="840">
                  <c:v>-1795.3369041084316</c:v>
                </c:pt>
                <c:pt idx="841">
                  <c:v>1263.8547955218019</c:v>
                </c:pt>
                <c:pt idx="842">
                  <c:v>6884.5484473504512</c:v>
                </c:pt>
                <c:pt idx="843">
                  <c:v>-8466.529804351605</c:v>
                </c:pt>
                <c:pt idx="844">
                  <c:v>-1306.058039960888</c:v>
                </c:pt>
                <c:pt idx="845">
                  <c:v>7385.2765701565222</c:v>
                </c:pt>
                <c:pt idx="846">
                  <c:v>-2655.674788372693</c:v>
                </c:pt>
                <c:pt idx="847">
                  <c:v>-8078.0900810935445</c:v>
                </c:pt>
                <c:pt idx="848">
                  <c:v>358.33987179792075</c:v>
                </c:pt>
                <c:pt idx="849">
                  <c:v>-2026.0010530995642</c:v>
                </c:pt>
                <c:pt idx="850">
                  <c:v>6114.502781499541</c:v>
                </c:pt>
                <c:pt idx="851">
                  <c:v>-849.23551182376832</c:v>
                </c:pt>
                <c:pt idx="852">
                  <c:v>7106.5765520305795</c:v>
                </c:pt>
                <c:pt idx="853">
                  <c:v>1575.449541111444</c:v>
                </c:pt>
                <c:pt idx="854">
                  <c:v>-9331.3973743983915</c:v>
                </c:pt>
                <c:pt idx="855">
                  <c:v>-705.67829251625608</c:v>
                </c:pt>
                <c:pt idx="856">
                  <c:v>6232.2581322456026</c:v>
                </c:pt>
                <c:pt idx="857">
                  <c:v>-10103.156801642128</c:v>
                </c:pt>
                <c:pt idx="858">
                  <c:v>13027.920065813754</c:v>
                </c:pt>
                <c:pt idx="859">
                  <c:v>-673.23095947760703</c:v>
                </c:pt>
                <c:pt idx="860">
                  <c:v>8597.3173546186954</c:v>
                </c:pt>
                <c:pt idx="861">
                  <c:v>-976.76612655419467</c:v>
                </c:pt>
                <c:pt idx="862">
                  <c:v>-1549.5563503505309</c:v>
                </c:pt>
                <c:pt idx="863">
                  <c:v>1887.8739108856635</c:v>
                </c:pt>
                <c:pt idx="864">
                  <c:v>-440.11212782419716</c:v>
                </c:pt>
                <c:pt idx="865">
                  <c:v>-2181.2114910673854</c:v>
                </c:pt>
                <c:pt idx="866">
                  <c:v>-3398.9154657044701</c:v>
                </c:pt>
                <c:pt idx="867">
                  <c:v>-5556.9311593463444</c:v>
                </c:pt>
                <c:pt idx="868">
                  <c:v>1890.1578968301583</c:v>
                </c:pt>
                <c:pt idx="869">
                  <c:v>806.68765925291973</c:v>
                </c:pt>
                <c:pt idx="870">
                  <c:v>-3982.9087711789398</c:v>
                </c:pt>
                <c:pt idx="871">
                  <c:v>-1170.6342837032689</c:v>
                </c:pt>
                <c:pt idx="872">
                  <c:v>-761.24840431674147</c:v>
                </c:pt>
                <c:pt idx="873">
                  <c:v>-2296.9629780808737</c:v>
                </c:pt>
                <c:pt idx="874">
                  <c:v>1195.5704569371264</c:v>
                </c:pt>
                <c:pt idx="875">
                  <c:v>-188.11693830233071</c:v>
                </c:pt>
                <c:pt idx="876">
                  <c:v>16412.828486460628</c:v>
                </c:pt>
                <c:pt idx="877">
                  <c:v>-2882.6982524502564</c:v>
                </c:pt>
                <c:pt idx="878">
                  <c:v>-1929.6481397265861</c:v>
                </c:pt>
                <c:pt idx="879">
                  <c:v>-1567.3314079398333</c:v>
                </c:pt>
                <c:pt idx="880">
                  <c:v>-2747.791548588742</c:v>
                </c:pt>
                <c:pt idx="881">
                  <c:v>-318.06858768883194</c:v>
                </c:pt>
                <c:pt idx="882">
                  <c:v>2149.5995223630384</c:v>
                </c:pt>
                <c:pt idx="883">
                  <c:v>8051.0557364226843</c:v>
                </c:pt>
                <c:pt idx="884">
                  <c:v>48.680233902392501</c:v>
                </c:pt>
                <c:pt idx="885">
                  <c:v>-10024.783402138262</c:v>
                </c:pt>
                <c:pt idx="886">
                  <c:v>-8513.2595829791899</c:v>
                </c:pt>
                <c:pt idx="887">
                  <c:v>-1569.6161989952625</c:v>
                </c:pt>
                <c:pt idx="888">
                  <c:v>-4600.4531953049727</c:v>
                </c:pt>
                <c:pt idx="889">
                  <c:v>-1946.8848327353371</c:v>
                </c:pt>
                <c:pt idx="890">
                  <c:v>-7532.9907023535525</c:v>
                </c:pt>
                <c:pt idx="891">
                  <c:v>-1176.5732863941657</c:v>
                </c:pt>
                <c:pt idx="892">
                  <c:v>866.11411506299009</c:v>
                </c:pt>
                <c:pt idx="893">
                  <c:v>6895.1980299200368</c:v>
                </c:pt>
                <c:pt idx="894">
                  <c:v>-663.54372152265023</c:v>
                </c:pt>
                <c:pt idx="895">
                  <c:v>-4723.6292939743089</c:v>
                </c:pt>
                <c:pt idx="896">
                  <c:v>-10396.62068407383</c:v>
                </c:pt>
                <c:pt idx="897">
                  <c:v>726.77822376098129</c:v>
                </c:pt>
                <c:pt idx="898">
                  <c:v>-3861.685832142869</c:v>
                </c:pt>
                <c:pt idx="899">
                  <c:v>2074.4832039440894</c:v>
                </c:pt>
                <c:pt idx="900">
                  <c:v>910.51798403341127</c:v>
                </c:pt>
                <c:pt idx="901">
                  <c:v>8323.7984880914591</c:v>
                </c:pt>
                <c:pt idx="902">
                  <c:v>-135.81685750163069</c:v>
                </c:pt>
                <c:pt idx="903">
                  <c:v>-4266.29617569537</c:v>
                </c:pt>
                <c:pt idx="904">
                  <c:v>-2020.5963013571636</c:v>
                </c:pt>
                <c:pt idx="905">
                  <c:v>-432.07897389394293</c:v>
                </c:pt>
                <c:pt idx="906">
                  <c:v>-1920.282027947238</c:v>
                </c:pt>
                <c:pt idx="907">
                  <c:v>-2491.0650277755476</c:v>
                </c:pt>
                <c:pt idx="908">
                  <c:v>-3201.8733633393967</c:v>
                </c:pt>
                <c:pt idx="909">
                  <c:v>-10381.053212289989</c:v>
                </c:pt>
                <c:pt idx="910">
                  <c:v>-515.99241305762826</c:v>
                </c:pt>
                <c:pt idx="911">
                  <c:v>7170.4200880771459</c:v>
                </c:pt>
                <c:pt idx="912">
                  <c:v>1260.0273002161139</c:v>
                </c:pt>
                <c:pt idx="913">
                  <c:v>-940.03183802407693</c:v>
                </c:pt>
                <c:pt idx="914">
                  <c:v>-14.914761710675521</c:v>
                </c:pt>
                <c:pt idx="915">
                  <c:v>-2552.0138803106038</c:v>
                </c:pt>
                <c:pt idx="916">
                  <c:v>-9674.8120484160791</c:v>
                </c:pt>
                <c:pt idx="917">
                  <c:v>4388.7283342596493</c:v>
                </c:pt>
                <c:pt idx="918">
                  <c:v>339.66087091684676</c:v>
                </c:pt>
                <c:pt idx="919">
                  <c:v>-3160.775285115411</c:v>
                </c:pt>
                <c:pt idx="920">
                  <c:v>1520.9368526783692</c:v>
                </c:pt>
                <c:pt idx="921">
                  <c:v>-1106.8466506195728</c:v>
                </c:pt>
                <c:pt idx="922">
                  <c:v>-2658.1457039861853</c:v>
                </c:pt>
                <c:pt idx="923">
                  <c:v>-3870.8110637993741</c:v>
                </c:pt>
                <c:pt idx="924">
                  <c:v>-201.27698293068261</c:v>
                </c:pt>
                <c:pt idx="925">
                  <c:v>13261.973635349976</c:v>
                </c:pt>
                <c:pt idx="926">
                  <c:v>1638.8702813379703</c:v>
                </c:pt>
                <c:pt idx="927">
                  <c:v>2494.9579477062689</c:v>
                </c:pt>
                <c:pt idx="928">
                  <c:v>-3016.7966115531963</c:v>
                </c:pt>
                <c:pt idx="929">
                  <c:v>-3663.3443290975465</c:v>
                </c:pt>
                <c:pt idx="930">
                  <c:v>-7123.5012021459452</c:v>
                </c:pt>
                <c:pt idx="931">
                  <c:v>-2648.7363155783614</c:v>
                </c:pt>
                <c:pt idx="932">
                  <c:v>-332.61573003802005</c:v>
                </c:pt>
                <c:pt idx="933">
                  <c:v>-3513.6709719700666</c:v>
                </c:pt>
                <c:pt idx="934">
                  <c:v>-4388.4624451085638</c:v>
                </c:pt>
                <c:pt idx="935">
                  <c:v>272.56286756640657</c:v>
                </c:pt>
                <c:pt idx="936">
                  <c:v>22348.79776107999</c:v>
                </c:pt>
                <c:pt idx="937">
                  <c:v>848.07258074937999</c:v>
                </c:pt>
                <c:pt idx="938">
                  <c:v>392.40608876975443</c:v>
                </c:pt>
                <c:pt idx="939">
                  <c:v>-1563.7896660770566</c:v>
                </c:pt>
                <c:pt idx="940">
                  <c:v>1113.1810862998022</c:v>
                </c:pt>
                <c:pt idx="941">
                  <c:v>-6547.7743608243545</c:v>
                </c:pt>
                <c:pt idx="942">
                  <c:v>-3254.6511769297808</c:v>
                </c:pt>
                <c:pt idx="943">
                  <c:v>1555.0394206741746</c:v>
                </c:pt>
                <c:pt idx="944">
                  <c:v>-3752.5518917409318</c:v>
                </c:pt>
                <c:pt idx="945">
                  <c:v>-2658.455569570413</c:v>
                </c:pt>
                <c:pt idx="946">
                  <c:v>-4036.1007824912513</c:v>
                </c:pt>
                <c:pt idx="947">
                  <c:v>6317.4024682367708</c:v>
                </c:pt>
                <c:pt idx="948">
                  <c:v>-2427.5991254862956</c:v>
                </c:pt>
                <c:pt idx="949">
                  <c:v>-9200.9037621051539</c:v>
                </c:pt>
                <c:pt idx="950">
                  <c:v>3039.0745892668328</c:v>
                </c:pt>
                <c:pt idx="951">
                  <c:v>7849.5088453474164</c:v>
                </c:pt>
                <c:pt idx="952">
                  <c:v>-721.22425497039058</c:v>
                </c:pt>
                <c:pt idx="953">
                  <c:v>5277.6202127433062</c:v>
                </c:pt>
                <c:pt idx="954">
                  <c:v>-9898.1162306878432</c:v>
                </c:pt>
                <c:pt idx="955">
                  <c:v>-5198.2454627955885</c:v>
                </c:pt>
                <c:pt idx="956">
                  <c:v>5980.4906132808319</c:v>
                </c:pt>
                <c:pt idx="957">
                  <c:v>9428.366804600304</c:v>
                </c:pt>
                <c:pt idx="958">
                  <c:v>6512.6347580953079</c:v>
                </c:pt>
                <c:pt idx="959">
                  <c:v>15919.118768600581</c:v>
                </c:pt>
                <c:pt idx="960">
                  <c:v>-3289.9091001864667</c:v>
                </c:pt>
                <c:pt idx="961">
                  <c:v>-357.53366797697299</c:v>
                </c:pt>
                <c:pt idx="962">
                  <c:v>-1469.7462791781782</c:v>
                </c:pt>
                <c:pt idx="963">
                  <c:v>341.45256090904513</c:v>
                </c:pt>
                <c:pt idx="964">
                  <c:v>12381.820940463418</c:v>
                </c:pt>
                <c:pt idx="965">
                  <c:v>-1371.2947109143879</c:v>
                </c:pt>
                <c:pt idx="966">
                  <c:v>-9818.8825062124306</c:v>
                </c:pt>
                <c:pt idx="967">
                  <c:v>-361.84669295808635</c:v>
                </c:pt>
                <c:pt idx="968">
                  <c:v>734.72932701461377</c:v>
                </c:pt>
                <c:pt idx="969">
                  <c:v>-2769.9853309326609</c:v>
                </c:pt>
                <c:pt idx="970">
                  <c:v>-570.90603897305846</c:v>
                </c:pt>
                <c:pt idx="971">
                  <c:v>745.44347801968433</c:v>
                </c:pt>
                <c:pt idx="972">
                  <c:v>2445.235680430987</c:v>
                </c:pt>
                <c:pt idx="973">
                  <c:v>-4072.0150761551167</c:v>
                </c:pt>
                <c:pt idx="974">
                  <c:v>-3678.6727010342502</c:v>
                </c:pt>
                <c:pt idx="975">
                  <c:v>-10416.292048454654</c:v>
                </c:pt>
                <c:pt idx="976">
                  <c:v>-5392.1802977410152</c:v>
                </c:pt>
                <c:pt idx="977">
                  <c:v>-1553.8820207656699</c:v>
                </c:pt>
                <c:pt idx="978">
                  <c:v>-4088.7442549470288</c:v>
                </c:pt>
                <c:pt idx="979">
                  <c:v>-1920.5700587111405</c:v>
                </c:pt>
                <c:pt idx="980">
                  <c:v>15028.170550468438</c:v>
                </c:pt>
                <c:pt idx="981">
                  <c:v>956.65159322773434</c:v>
                </c:pt>
                <c:pt idx="982">
                  <c:v>-10258.479475290678</c:v>
                </c:pt>
                <c:pt idx="983">
                  <c:v>11618.307851812628</c:v>
                </c:pt>
                <c:pt idx="984">
                  <c:v>-199.22754270859696</c:v>
                </c:pt>
                <c:pt idx="985">
                  <c:v>-395.24745319401518</c:v>
                </c:pt>
                <c:pt idx="986">
                  <c:v>-1687.7745802151367</c:v>
                </c:pt>
                <c:pt idx="987">
                  <c:v>19468.646001233588</c:v>
                </c:pt>
                <c:pt idx="988">
                  <c:v>-3305.4850645603919</c:v>
                </c:pt>
                <c:pt idx="989">
                  <c:v>-9929.5186300549922</c:v>
                </c:pt>
                <c:pt idx="990">
                  <c:v>1931.4320957996665</c:v>
                </c:pt>
                <c:pt idx="991">
                  <c:v>-456.38772953956959</c:v>
                </c:pt>
                <c:pt idx="992">
                  <c:v>-1788.7909492010058</c:v>
                </c:pt>
                <c:pt idx="993">
                  <c:v>-1783.2860742296734</c:v>
                </c:pt>
                <c:pt idx="994">
                  <c:v>-10122.090882333956</c:v>
                </c:pt>
                <c:pt idx="995">
                  <c:v>1121.5154445401795</c:v>
                </c:pt>
                <c:pt idx="996">
                  <c:v>-2930.4791912159462</c:v>
                </c:pt>
                <c:pt idx="997">
                  <c:v>-2114.0052783203519</c:v>
                </c:pt>
                <c:pt idx="998">
                  <c:v>-2955.0086194560654</c:v>
                </c:pt>
                <c:pt idx="999">
                  <c:v>-564.96965108806216</c:v>
                </c:pt>
                <c:pt idx="1000">
                  <c:v>-10428.717970146568</c:v>
                </c:pt>
                <c:pt idx="1001">
                  <c:v>6051.2814833390366</c:v>
                </c:pt>
                <c:pt idx="1002">
                  <c:v>-416.43499104107354</c:v>
                </c:pt>
                <c:pt idx="1003">
                  <c:v>11431.373802233777</c:v>
                </c:pt>
                <c:pt idx="1004">
                  <c:v>1961.5528975953321</c:v>
                </c:pt>
                <c:pt idx="1005">
                  <c:v>-2100.8282776328888</c:v>
                </c:pt>
                <c:pt idx="1006">
                  <c:v>-1043.1301052847393</c:v>
                </c:pt>
                <c:pt idx="1007">
                  <c:v>-9413.8807901537766</c:v>
                </c:pt>
                <c:pt idx="1008">
                  <c:v>19909.544263852513</c:v>
                </c:pt>
                <c:pt idx="1009">
                  <c:v>-491.49412601845688</c:v>
                </c:pt>
                <c:pt idx="1010">
                  <c:v>656.82504155402057</c:v>
                </c:pt>
                <c:pt idx="1011">
                  <c:v>-11454.29495331533</c:v>
                </c:pt>
                <c:pt idx="1012">
                  <c:v>20332.915112158134</c:v>
                </c:pt>
                <c:pt idx="1013">
                  <c:v>-2378.0606009833209</c:v>
                </c:pt>
                <c:pt idx="1014">
                  <c:v>-1195.0746187802397</c:v>
                </c:pt>
                <c:pt idx="1015">
                  <c:v>820.30412936247922</c:v>
                </c:pt>
                <c:pt idx="1016">
                  <c:v>1520.2166564601321</c:v>
                </c:pt>
                <c:pt idx="1017">
                  <c:v>-2567.7144206596172</c:v>
                </c:pt>
                <c:pt idx="1018">
                  <c:v>-2273.4281570439616</c:v>
                </c:pt>
                <c:pt idx="1019">
                  <c:v>21241.771748310806</c:v>
                </c:pt>
                <c:pt idx="1020">
                  <c:v>-4157.4644007822626</c:v>
                </c:pt>
                <c:pt idx="1021">
                  <c:v>6809.932708135515</c:v>
                </c:pt>
                <c:pt idx="1022">
                  <c:v>6297.6799575917321</c:v>
                </c:pt>
                <c:pt idx="1023">
                  <c:v>1193.4280164414458</c:v>
                </c:pt>
                <c:pt idx="1024">
                  <c:v>-6506.1035586455509</c:v>
                </c:pt>
                <c:pt idx="1025">
                  <c:v>-2427.9518140526761</c:v>
                </c:pt>
                <c:pt idx="1026">
                  <c:v>-9008.1707386041162</c:v>
                </c:pt>
                <c:pt idx="1027">
                  <c:v>21744.164005419276</c:v>
                </c:pt>
                <c:pt idx="1028">
                  <c:v>-2141.1763474307827</c:v>
                </c:pt>
                <c:pt idx="1029">
                  <c:v>2928.5023207513723</c:v>
                </c:pt>
                <c:pt idx="1030">
                  <c:v>-9979.3216547758457</c:v>
                </c:pt>
                <c:pt idx="1031">
                  <c:v>7204.2802489949681</c:v>
                </c:pt>
                <c:pt idx="1032">
                  <c:v>-484.50282307499037</c:v>
                </c:pt>
                <c:pt idx="1033">
                  <c:v>-9542.7747020419265</c:v>
                </c:pt>
                <c:pt idx="1034">
                  <c:v>-3028.6362100066963</c:v>
                </c:pt>
                <c:pt idx="1035">
                  <c:v>1450.2847703661737</c:v>
                </c:pt>
                <c:pt idx="1036">
                  <c:v>7225.0935364920042</c:v>
                </c:pt>
                <c:pt idx="1037">
                  <c:v>6125.2988571206079</c:v>
                </c:pt>
                <c:pt idx="1038">
                  <c:v>-614.15309713129545</c:v>
                </c:pt>
                <c:pt idx="1039">
                  <c:v>19975.005209356685</c:v>
                </c:pt>
                <c:pt idx="1040">
                  <c:v>-9518.3939890122056</c:v>
                </c:pt>
                <c:pt idx="1041">
                  <c:v>1736.2388116549544</c:v>
                </c:pt>
                <c:pt idx="1042">
                  <c:v>6734.1862893855032</c:v>
                </c:pt>
                <c:pt idx="1043">
                  <c:v>-259.32902036249698</c:v>
                </c:pt>
                <c:pt idx="1044">
                  <c:v>-2502.0429336631823</c:v>
                </c:pt>
                <c:pt idx="1045">
                  <c:v>-9812.0735642996733</c:v>
                </c:pt>
                <c:pt idx="1046">
                  <c:v>268.25557972783827</c:v>
                </c:pt>
                <c:pt idx="1047">
                  <c:v>9723.6294939706204</c:v>
                </c:pt>
                <c:pt idx="1048">
                  <c:v>1530.71584441613</c:v>
                </c:pt>
                <c:pt idx="1049">
                  <c:v>5439.1493251943248</c:v>
                </c:pt>
                <c:pt idx="1050">
                  <c:v>-3586.994451887741</c:v>
                </c:pt>
                <c:pt idx="1051">
                  <c:v>1494.8632600115488</c:v>
                </c:pt>
                <c:pt idx="1052">
                  <c:v>-1318.1594432958809</c:v>
                </c:pt>
                <c:pt idx="1053">
                  <c:v>-9529.7470636571015</c:v>
                </c:pt>
                <c:pt idx="1054">
                  <c:v>1584.1533612703106</c:v>
                </c:pt>
                <c:pt idx="1055">
                  <c:v>-382.03395652414474</c:v>
                </c:pt>
                <c:pt idx="1056">
                  <c:v>-1297.9895157773753</c:v>
                </c:pt>
                <c:pt idx="1057">
                  <c:v>8197.1888520025896</c:v>
                </c:pt>
                <c:pt idx="1058">
                  <c:v>-4314.5515959372733</c:v>
                </c:pt>
                <c:pt idx="1059">
                  <c:v>-3044.2098160162677</c:v>
                </c:pt>
                <c:pt idx="1060">
                  <c:v>-2406.5003026850018</c:v>
                </c:pt>
                <c:pt idx="1061">
                  <c:v>-506.45945056883829</c:v>
                </c:pt>
                <c:pt idx="1062">
                  <c:v>8334.0271712509202</c:v>
                </c:pt>
                <c:pt idx="1063">
                  <c:v>-1255.465696584004</c:v>
                </c:pt>
                <c:pt idx="1064">
                  <c:v>200.59549069209606</c:v>
                </c:pt>
                <c:pt idx="1065">
                  <c:v>-297.75373711269822</c:v>
                </c:pt>
                <c:pt idx="1066">
                  <c:v>-4244.6653167067943</c:v>
                </c:pt>
                <c:pt idx="1067">
                  <c:v>-5924.51959588505</c:v>
                </c:pt>
                <c:pt idx="1068">
                  <c:v>2763.3011152918425</c:v>
                </c:pt>
                <c:pt idx="1069">
                  <c:v>-1632.8170838289698</c:v>
                </c:pt>
                <c:pt idx="1070">
                  <c:v>6218.1082420824823</c:v>
                </c:pt>
                <c:pt idx="1071">
                  <c:v>-287.91134596359916</c:v>
                </c:pt>
                <c:pt idx="1072">
                  <c:v>-1462.0084715488201</c:v>
                </c:pt>
                <c:pt idx="1073">
                  <c:v>33.474037205669447</c:v>
                </c:pt>
                <c:pt idx="1074">
                  <c:v>3934.9390672757654</c:v>
                </c:pt>
                <c:pt idx="1075">
                  <c:v>-1582.6580819979381</c:v>
                </c:pt>
                <c:pt idx="1076">
                  <c:v>-2237.5576728006017</c:v>
                </c:pt>
                <c:pt idx="1077">
                  <c:v>412.40240829651566</c:v>
                </c:pt>
                <c:pt idx="1078">
                  <c:v>5547.4780849156487</c:v>
                </c:pt>
                <c:pt idx="1079">
                  <c:v>-1234.2403498943531</c:v>
                </c:pt>
                <c:pt idx="1080">
                  <c:v>11388.598661271089</c:v>
                </c:pt>
                <c:pt idx="1081">
                  <c:v>-1126.2483700116099</c:v>
                </c:pt>
                <c:pt idx="1082">
                  <c:v>1265.9527974092143</c:v>
                </c:pt>
                <c:pt idx="1083">
                  <c:v>-2683.7393614246544</c:v>
                </c:pt>
                <c:pt idx="1084">
                  <c:v>373.99676297426231</c:v>
                </c:pt>
                <c:pt idx="1085">
                  <c:v>-10998.893503431962</c:v>
                </c:pt>
                <c:pt idx="1086">
                  <c:v>-608.24772230295639</c:v>
                </c:pt>
                <c:pt idx="1087">
                  <c:v>-1392.6181852513782</c:v>
                </c:pt>
                <c:pt idx="1088">
                  <c:v>-7395.1826901730674</c:v>
                </c:pt>
                <c:pt idx="1089">
                  <c:v>1127.3679649000223</c:v>
                </c:pt>
                <c:pt idx="1090">
                  <c:v>6200.7215188250266</c:v>
                </c:pt>
                <c:pt idx="1091">
                  <c:v>-393.24217173219404</c:v>
                </c:pt>
                <c:pt idx="1092">
                  <c:v>-2181.3371099525534</c:v>
                </c:pt>
                <c:pt idx="1093">
                  <c:v>6741.9457245345402</c:v>
                </c:pt>
                <c:pt idx="1094">
                  <c:v>-2230.7645262592014</c:v>
                </c:pt>
                <c:pt idx="1095">
                  <c:v>38.616004989038629</c:v>
                </c:pt>
                <c:pt idx="1096">
                  <c:v>7583.3123839066393</c:v>
                </c:pt>
                <c:pt idx="1097">
                  <c:v>-2764.2093570248253</c:v>
                </c:pt>
                <c:pt idx="1098">
                  <c:v>11802.999134289808</c:v>
                </c:pt>
                <c:pt idx="1099">
                  <c:v>-2529.5787031867826</c:v>
                </c:pt>
                <c:pt idx="1100">
                  <c:v>-10534.117378071118</c:v>
                </c:pt>
                <c:pt idx="1101">
                  <c:v>-935.29057821426068</c:v>
                </c:pt>
                <c:pt idx="1102">
                  <c:v>-4909.8526765722081</c:v>
                </c:pt>
                <c:pt idx="1103">
                  <c:v>-3101.6174614808388</c:v>
                </c:pt>
                <c:pt idx="1104">
                  <c:v>13391.770402299449</c:v>
                </c:pt>
                <c:pt idx="1105">
                  <c:v>-1536.8102424079461</c:v>
                </c:pt>
                <c:pt idx="1106">
                  <c:v>-1175.1009110199739</c:v>
                </c:pt>
                <c:pt idx="1107">
                  <c:v>318.291398084717</c:v>
                </c:pt>
                <c:pt idx="1108">
                  <c:v>-1826.2742131806995</c:v>
                </c:pt>
                <c:pt idx="1109">
                  <c:v>1134.7200538685902</c:v>
                </c:pt>
                <c:pt idx="1110">
                  <c:v>-1178.001644965454</c:v>
                </c:pt>
                <c:pt idx="1111">
                  <c:v>6665.9500519100911</c:v>
                </c:pt>
                <c:pt idx="1112">
                  <c:v>-9644.8390297646692</c:v>
                </c:pt>
                <c:pt idx="1113">
                  <c:v>305.12636053680853</c:v>
                </c:pt>
                <c:pt idx="1114">
                  <c:v>679.7487259544464</c:v>
                </c:pt>
                <c:pt idx="1115">
                  <c:v>-2259.8548713470609</c:v>
                </c:pt>
                <c:pt idx="1116">
                  <c:v>-1153.8449802964988</c:v>
                </c:pt>
                <c:pt idx="1117">
                  <c:v>6295.3936611270728</c:v>
                </c:pt>
                <c:pt idx="1118">
                  <c:v>6085.3953231543092</c:v>
                </c:pt>
                <c:pt idx="1119">
                  <c:v>2219.2722249604158</c:v>
                </c:pt>
                <c:pt idx="1120">
                  <c:v>6420.9698143629721</c:v>
                </c:pt>
                <c:pt idx="1121">
                  <c:v>-4643.2163365463475</c:v>
                </c:pt>
                <c:pt idx="1122">
                  <c:v>8002.8383883017959</c:v>
                </c:pt>
                <c:pt idx="1123">
                  <c:v>13144.445569684238</c:v>
                </c:pt>
                <c:pt idx="1124">
                  <c:v>9032.3805765693905</c:v>
                </c:pt>
                <c:pt idx="1125">
                  <c:v>2040.825433120719</c:v>
                </c:pt>
                <c:pt idx="1126">
                  <c:v>-1487.6744699310784</c:v>
                </c:pt>
                <c:pt idx="1127">
                  <c:v>-3574.0389153492315</c:v>
                </c:pt>
                <c:pt idx="1128">
                  <c:v>6664.0222002210585</c:v>
                </c:pt>
                <c:pt idx="1129">
                  <c:v>2946.0896460674367</c:v>
                </c:pt>
                <c:pt idx="1130">
                  <c:v>578.83632875800959</c:v>
                </c:pt>
                <c:pt idx="1131">
                  <c:v>-6885.7233412321566</c:v>
                </c:pt>
                <c:pt idx="1132">
                  <c:v>5150.1932539164245</c:v>
                </c:pt>
                <c:pt idx="1133">
                  <c:v>2784.487125918612</c:v>
                </c:pt>
                <c:pt idx="1134">
                  <c:v>13671.304428850977</c:v>
                </c:pt>
                <c:pt idx="1135">
                  <c:v>-175.08758285941258</c:v>
                </c:pt>
                <c:pt idx="1136">
                  <c:v>-138.87833092104484</c:v>
                </c:pt>
                <c:pt idx="1137">
                  <c:v>1420.213202441344</c:v>
                </c:pt>
                <c:pt idx="1138">
                  <c:v>-2437.9147996576735</c:v>
                </c:pt>
                <c:pt idx="1139">
                  <c:v>9834.0099145874701</c:v>
                </c:pt>
                <c:pt idx="1140">
                  <c:v>-4146.2125071966166</c:v>
                </c:pt>
                <c:pt idx="1141">
                  <c:v>-2427.4061016148389</c:v>
                </c:pt>
                <c:pt idx="1142">
                  <c:v>17811.3629223797</c:v>
                </c:pt>
                <c:pt idx="1143">
                  <c:v>-2970.96480666959</c:v>
                </c:pt>
                <c:pt idx="1144">
                  <c:v>-2502.1139311898532</c:v>
                </c:pt>
                <c:pt idx="1145">
                  <c:v>-1985.4824777459653</c:v>
                </c:pt>
                <c:pt idx="1146">
                  <c:v>14854.502479162104</c:v>
                </c:pt>
                <c:pt idx="1147">
                  <c:v>-1066.1487471078699</c:v>
                </c:pt>
                <c:pt idx="1148">
                  <c:v>1319.6989983892818</c:v>
                </c:pt>
                <c:pt idx="1149">
                  <c:v>-3722.3117665695445</c:v>
                </c:pt>
                <c:pt idx="1150">
                  <c:v>-88.492516858600538</c:v>
                </c:pt>
                <c:pt idx="1151">
                  <c:v>-2357.802022617323</c:v>
                </c:pt>
                <c:pt idx="1152">
                  <c:v>6245.1374938225708</c:v>
                </c:pt>
                <c:pt idx="1153">
                  <c:v>-3292.1158866755541</c:v>
                </c:pt>
                <c:pt idx="1154">
                  <c:v>-142.15121720469324</c:v>
                </c:pt>
                <c:pt idx="1155">
                  <c:v>1503.7149657702294</c:v>
                </c:pt>
                <c:pt idx="1156">
                  <c:v>8670.2841333848482</c:v>
                </c:pt>
                <c:pt idx="1157">
                  <c:v>12190.784360641614</c:v>
                </c:pt>
                <c:pt idx="1158">
                  <c:v>-439.93508132905708</c:v>
                </c:pt>
                <c:pt idx="1159">
                  <c:v>-5386.6665131544723</c:v>
                </c:pt>
                <c:pt idx="1160">
                  <c:v>-2860.6300628095041</c:v>
                </c:pt>
                <c:pt idx="1161">
                  <c:v>-6046.5294038332786</c:v>
                </c:pt>
                <c:pt idx="1162">
                  <c:v>10359.463770409971</c:v>
                </c:pt>
                <c:pt idx="1163">
                  <c:v>581.27171507953472</c:v>
                </c:pt>
                <c:pt idx="1164">
                  <c:v>-900.6220523343909</c:v>
                </c:pt>
                <c:pt idx="1165">
                  <c:v>-102.34247759838308</c:v>
                </c:pt>
                <c:pt idx="1166">
                  <c:v>-4605.2923723392832</c:v>
                </c:pt>
                <c:pt idx="1167">
                  <c:v>290.06152462495538</c:v>
                </c:pt>
                <c:pt idx="1168">
                  <c:v>-3753.9488674829654</c:v>
                </c:pt>
                <c:pt idx="1169">
                  <c:v>-2775.5538024777916</c:v>
                </c:pt>
                <c:pt idx="1170">
                  <c:v>-8450.5958970525753</c:v>
                </c:pt>
                <c:pt idx="1171">
                  <c:v>-9857.9963699820983</c:v>
                </c:pt>
                <c:pt idx="1172">
                  <c:v>-4731.972425384396</c:v>
                </c:pt>
                <c:pt idx="1173">
                  <c:v>-1602.0451785882988</c:v>
                </c:pt>
                <c:pt idx="1174">
                  <c:v>-2222.6036107125501</c:v>
                </c:pt>
                <c:pt idx="1175">
                  <c:v>-137.73180007393785</c:v>
                </c:pt>
                <c:pt idx="1176">
                  <c:v>-9468.918815107565</c:v>
                </c:pt>
                <c:pt idx="1177">
                  <c:v>-1006.5556684185294</c:v>
                </c:pt>
                <c:pt idx="1178">
                  <c:v>-2149.6290504663089</c:v>
                </c:pt>
                <c:pt idx="1179">
                  <c:v>-9945.9866137623467</c:v>
                </c:pt>
                <c:pt idx="1180">
                  <c:v>-4850.1476676431294</c:v>
                </c:pt>
                <c:pt idx="1181">
                  <c:v>-866.33822776107536</c:v>
                </c:pt>
                <c:pt idx="1182">
                  <c:v>-1462.5738111568853</c:v>
                </c:pt>
                <c:pt idx="1183">
                  <c:v>-105.9812709477319</c:v>
                </c:pt>
                <c:pt idx="1184">
                  <c:v>-8953.9798189149224</c:v>
                </c:pt>
                <c:pt idx="1185">
                  <c:v>573.54126629411985</c:v>
                </c:pt>
                <c:pt idx="1186">
                  <c:v>7713.260012712446</c:v>
                </c:pt>
                <c:pt idx="1187">
                  <c:v>-557.20672114213994</c:v>
                </c:pt>
                <c:pt idx="1188">
                  <c:v>-9631.5042483733378</c:v>
                </c:pt>
                <c:pt idx="1189">
                  <c:v>10287.068830038615</c:v>
                </c:pt>
                <c:pt idx="1190">
                  <c:v>-2058.8495082626687</c:v>
                </c:pt>
                <c:pt idx="1191">
                  <c:v>7781.0317932897569</c:v>
                </c:pt>
                <c:pt idx="1192">
                  <c:v>-733.21955755679664</c:v>
                </c:pt>
                <c:pt idx="1193">
                  <c:v>-3374.5308325836832</c:v>
                </c:pt>
                <c:pt idx="1194">
                  <c:v>1241.6397821391402</c:v>
                </c:pt>
                <c:pt idx="1195">
                  <c:v>15632.515810921454</c:v>
                </c:pt>
                <c:pt idx="1196">
                  <c:v>7037.8005796052639</c:v>
                </c:pt>
                <c:pt idx="1197">
                  <c:v>-3567.3374876765211</c:v>
                </c:pt>
                <c:pt idx="1198">
                  <c:v>-1739.0577609731017</c:v>
                </c:pt>
                <c:pt idx="1199">
                  <c:v>-206.63117344521197</c:v>
                </c:pt>
                <c:pt idx="1200">
                  <c:v>-13.34134122235173</c:v>
                </c:pt>
                <c:pt idx="1201">
                  <c:v>-4966.8337798112225</c:v>
                </c:pt>
                <c:pt idx="1202">
                  <c:v>-1849.2434283084117</c:v>
                </c:pt>
                <c:pt idx="1203">
                  <c:v>-1952.7981229743873</c:v>
                </c:pt>
                <c:pt idx="1204">
                  <c:v>-8327.0836159169266</c:v>
                </c:pt>
                <c:pt idx="1205">
                  <c:v>1972.7686513384156</c:v>
                </c:pt>
                <c:pt idx="1206">
                  <c:v>21652.822995733914</c:v>
                </c:pt>
                <c:pt idx="1207">
                  <c:v>5727.4197822942733</c:v>
                </c:pt>
                <c:pt idx="1208">
                  <c:v>-9650.6137542009492</c:v>
                </c:pt>
                <c:pt idx="1209">
                  <c:v>-3177.3689152550578</c:v>
                </c:pt>
                <c:pt idx="1210">
                  <c:v>-2217.1130639703215</c:v>
                </c:pt>
                <c:pt idx="1211">
                  <c:v>13687.517324329876</c:v>
                </c:pt>
                <c:pt idx="1212">
                  <c:v>2253.7839272435135</c:v>
                </c:pt>
                <c:pt idx="1213">
                  <c:v>-2163.2223486917774</c:v>
                </c:pt>
                <c:pt idx="1214">
                  <c:v>-1436.0638310767781</c:v>
                </c:pt>
                <c:pt idx="1215">
                  <c:v>7754.2719390392867</c:v>
                </c:pt>
                <c:pt idx="1216">
                  <c:v>-867.58289828109446</c:v>
                </c:pt>
                <c:pt idx="1217">
                  <c:v>-4265.5936774300308</c:v>
                </c:pt>
                <c:pt idx="1218">
                  <c:v>6482.3333411270796</c:v>
                </c:pt>
                <c:pt idx="1219">
                  <c:v>-1301.9858268332737</c:v>
                </c:pt>
                <c:pt idx="1220">
                  <c:v>1548.9564073838424</c:v>
                </c:pt>
                <c:pt idx="1221">
                  <c:v>-601.3367750602074</c:v>
                </c:pt>
                <c:pt idx="1222">
                  <c:v>-489.87948020972362</c:v>
                </c:pt>
                <c:pt idx="1223">
                  <c:v>1400.442928185701</c:v>
                </c:pt>
                <c:pt idx="1224">
                  <c:v>210.79427808170749</c:v>
                </c:pt>
                <c:pt idx="1225">
                  <c:v>-4900.2327403939007</c:v>
                </c:pt>
                <c:pt idx="1226">
                  <c:v>2586.0969297705906</c:v>
                </c:pt>
                <c:pt idx="1227">
                  <c:v>-4478.3375184121242</c:v>
                </c:pt>
                <c:pt idx="1228">
                  <c:v>-2823.9211321321272</c:v>
                </c:pt>
                <c:pt idx="1229">
                  <c:v>-667.95281007283847</c:v>
                </c:pt>
                <c:pt idx="1230">
                  <c:v>22385.041577380034</c:v>
                </c:pt>
                <c:pt idx="1231">
                  <c:v>-3714.6451963703221</c:v>
                </c:pt>
                <c:pt idx="1232">
                  <c:v>1318.944268806028</c:v>
                </c:pt>
                <c:pt idx="1233">
                  <c:v>993.87926682985562</c:v>
                </c:pt>
                <c:pt idx="1234">
                  <c:v>-888.82892383785475</c:v>
                </c:pt>
                <c:pt idx="1235">
                  <c:v>-1900.0632416607696</c:v>
                </c:pt>
                <c:pt idx="1236">
                  <c:v>3336.8034308376664</c:v>
                </c:pt>
                <c:pt idx="1237">
                  <c:v>290.81142186529723</c:v>
                </c:pt>
                <c:pt idx="1238">
                  <c:v>819.70155882038307</c:v>
                </c:pt>
                <c:pt idx="1239">
                  <c:v>-5138.1345223142525</c:v>
                </c:pt>
                <c:pt idx="1240">
                  <c:v>7752.6558811423893</c:v>
                </c:pt>
                <c:pt idx="1241">
                  <c:v>8524.0309829295875</c:v>
                </c:pt>
                <c:pt idx="1242">
                  <c:v>2456.8466178244498</c:v>
                </c:pt>
                <c:pt idx="1243">
                  <c:v>-2601.9018751317594</c:v>
                </c:pt>
                <c:pt idx="1244">
                  <c:v>-2129.8883104532679</c:v>
                </c:pt>
                <c:pt idx="1245">
                  <c:v>309.85150617020463</c:v>
                </c:pt>
                <c:pt idx="1246">
                  <c:v>-90.748451331895922</c:v>
                </c:pt>
                <c:pt idx="1247">
                  <c:v>-1703.5318694259358</c:v>
                </c:pt>
                <c:pt idx="1248">
                  <c:v>-3720.682814892737</c:v>
                </c:pt>
                <c:pt idx="1249">
                  <c:v>6350.3480045080396</c:v>
                </c:pt>
                <c:pt idx="1250">
                  <c:v>-8849.4242905066822</c:v>
                </c:pt>
                <c:pt idx="1251">
                  <c:v>2072.5359626579816</c:v>
                </c:pt>
                <c:pt idx="1252">
                  <c:v>-9419.3169119969916</c:v>
                </c:pt>
                <c:pt idx="1253">
                  <c:v>6293.3554195456945</c:v>
                </c:pt>
                <c:pt idx="1254">
                  <c:v>-1170.6759577997591</c:v>
                </c:pt>
                <c:pt idx="1255">
                  <c:v>-4451.0650973661513</c:v>
                </c:pt>
                <c:pt idx="1256">
                  <c:v>-2741.8875346723871</c:v>
                </c:pt>
                <c:pt idx="1257">
                  <c:v>113.74623526038886</c:v>
                </c:pt>
                <c:pt idx="1258">
                  <c:v>14425.494470227375</c:v>
                </c:pt>
                <c:pt idx="1259">
                  <c:v>1431.8516791529364</c:v>
                </c:pt>
                <c:pt idx="1260">
                  <c:v>1791.4291573176815</c:v>
                </c:pt>
                <c:pt idx="1261">
                  <c:v>-4254.0451880140226</c:v>
                </c:pt>
                <c:pt idx="1262">
                  <c:v>-1200.3020875956754</c:v>
                </c:pt>
                <c:pt idx="1263">
                  <c:v>-1743.8706975126315</c:v>
                </c:pt>
                <c:pt idx="1264">
                  <c:v>-1840.0835398285653</c:v>
                </c:pt>
                <c:pt idx="1265">
                  <c:v>-8931.6738684747615</c:v>
                </c:pt>
                <c:pt idx="1266">
                  <c:v>-1190.9513116358066</c:v>
                </c:pt>
                <c:pt idx="1267">
                  <c:v>6358.720926984417</c:v>
                </c:pt>
                <c:pt idx="1268">
                  <c:v>-1891.385483028741</c:v>
                </c:pt>
                <c:pt idx="1269">
                  <c:v>-1156.5789764460806</c:v>
                </c:pt>
                <c:pt idx="1270">
                  <c:v>-2697.8806553040463</c:v>
                </c:pt>
                <c:pt idx="1271">
                  <c:v>-2420.7047320473598</c:v>
                </c:pt>
                <c:pt idx="1272">
                  <c:v>4912.4113847485896</c:v>
                </c:pt>
                <c:pt idx="1273">
                  <c:v>-1534.7300263634061</c:v>
                </c:pt>
                <c:pt idx="1274">
                  <c:v>-10078.675219297234</c:v>
                </c:pt>
                <c:pt idx="1275">
                  <c:v>736.79921302372713</c:v>
                </c:pt>
                <c:pt idx="1276">
                  <c:v>-612.25442944993802</c:v>
                </c:pt>
                <c:pt idx="1277">
                  <c:v>-1361.6227198640909</c:v>
                </c:pt>
                <c:pt idx="1278">
                  <c:v>-9407.6229992777626</c:v>
                </c:pt>
                <c:pt idx="1279">
                  <c:v>276.24108172412434</c:v>
                </c:pt>
                <c:pt idx="1280">
                  <c:v>-2717.6335303639462</c:v>
                </c:pt>
                <c:pt idx="1281">
                  <c:v>-9136.4453749884669</c:v>
                </c:pt>
                <c:pt idx="1282">
                  <c:v>-9037.7635853118409</c:v>
                </c:pt>
                <c:pt idx="1283">
                  <c:v>-956.86799662308954</c:v>
                </c:pt>
                <c:pt idx="1284">
                  <c:v>7809.7213463416774</c:v>
                </c:pt>
                <c:pt idx="1285">
                  <c:v>691.08821656573491</c:v>
                </c:pt>
                <c:pt idx="1286">
                  <c:v>3050.7975178162224</c:v>
                </c:pt>
                <c:pt idx="1287">
                  <c:v>-516.81753483528882</c:v>
                </c:pt>
                <c:pt idx="1288">
                  <c:v>7850.9954825326895</c:v>
                </c:pt>
                <c:pt idx="1289">
                  <c:v>-3614.5786054011478</c:v>
                </c:pt>
                <c:pt idx="1290">
                  <c:v>2070.4504818633905</c:v>
                </c:pt>
                <c:pt idx="1291">
                  <c:v>6988.2689337401534</c:v>
                </c:pt>
                <c:pt idx="1292">
                  <c:v>733.10356430873435</c:v>
                </c:pt>
                <c:pt idx="1293">
                  <c:v>-162.98567179010752</c:v>
                </c:pt>
                <c:pt idx="1294">
                  <c:v>976.01408650258418</c:v>
                </c:pt>
                <c:pt idx="1295">
                  <c:v>1356.3260535311356</c:v>
                </c:pt>
                <c:pt idx="1296">
                  <c:v>762.03614701766764</c:v>
                </c:pt>
                <c:pt idx="1297">
                  <c:v>-255.86124747140639</c:v>
                </c:pt>
                <c:pt idx="1298">
                  <c:v>-928.22985980812973</c:v>
                </c:pt>
                <c:pt idx="1299">
                  <c:v>1154.8906572211495</c:v>
                </c:pt>
                <c:pt idx="1300">
                  <c:v>29509.606212049999</c:v>
                </c:pt>
                <c:pt idx="1301">
                  <c:v>7665.1942683332527</c:v>
                </c:pt>
                <c:pt idx="1302">
                  <c:v>1697.3072002888093</c:v>
                </c:pt>
                <c:pt idx="1303">
                  <c:v>6086.0959179842102</c:v>
                </c:pt>
                <c:pt idx="1304">
                  <c:v>-10145.090173699406</c:v>
                </c:pt>
                <c:pt idx="1305">
                  <c:v>-542.7208844962006</c:v>
                </c:pt>
                <c:pt idx="1306">
                  <c:v>-10103.414832485591</c:v>
                </c:pt>
                <c:pt idx="1307">
                  <c:v>-9431.8066124743491</c:v>
                </c:pt>
                <c:pt idx="1308">
                  <c:v>6025.8724831117142</c:v>
                </c:pt>
                <c:pt idx="1309">
                  <c:v>-2903.7192249325317</c:v>
                </c:pt>
                <c:pt idx="1310">
                  <c:v>-729.02211099652777</c:v>
                </c:pt>
                <c:pt idx="1311">
                  <c:v>-426.67456255716297</c:v>
                </c:pt>
                <c:pt idx="1312">
                  <c:v>-6408.7823684751893</c:v>
                </c:pt>
                <c:pt idx="1313">
                  <c:v>7674.5565832167449</c:v>
                </c:pt>
                <c:pt idx="1314">
                  <c:v>-9712.1421685817986</c:v>
                </c:pt>
                <c:pt idx="1315">
                  <c:v>9148.6941162637941</c:v>
                </c:pt>
                <c:pt idx="1316">
                  <c:v>2305.1668403850108</c:v>
                </c:pt>
                <c:pt idx="1317">
                  <c:v>-8475.024086709278</c:v>
                </c:pt>
                <c:pt idx="1318">
                  <c:v>7900.027352620451</c:v>
                </c:pt>
                <c:pt idx="1319">
                  <c:v>-168.18490455128449</c:v>
                </c:pt>
                <c:pt idx="1320">
                  <c:v>-1884.3627249500196</c:v>
                </c:pt>
                <c:pt idx="1321">
                  <c:v>-8185.7901211530116</c:v>
                </c:pt>
                <c:pt idx="1322">
                  <c:v>-3400.0443486155982</c:v>
                </c:pt>
                <c:pt idx="1323">
                  <c:v>7417.9207605088886</c:v>
                </c:pt>
                <c:pt idx="1324">
                  <c:v>-471.391197282951</c:v>
                </c:pt>
                <c:pt idx="1325">
                  <c:v>-1276.0007632410197</c:v>
                </c:pt>
                <c:pt idx="1326">
                  <c:v>-2256.1442410748514</c:v>
                </c:pt>
                <c:pt idx="1327">
                  <c:v>-1808.3507385248358</c:v>
                </c:pt>
                <c:pt idx="1328">
                  <c:v>19824.120044672549</c:v>
                </c:pt>
                <c:pt idx="1329">
                  <c:v>-4350.6677837502066</c:v>
                </c:pt>
                <c:pt idx="1330">
                  <c:v>803.05332013600855</c:v>
                </c:pt>
                <c:pt idx="1331">
                  <c:v>6218.3311546960686</c:v>
                </c:pt>
                <c:pt idx="1332">
                  <c:v>-5700.9846566274264</c:v>
                </c:pt>
                <c:pt idx="1333">
                  <c:v>-1577.4025809568648</c:v>
                </c:pt>
                <c:pt idx="1334">
                  <c:v>-606.03773244715876</c:v>
                </c:pt>
                <c:pt idx="1335">
                  <c:v>-2768.9124484543363</c:v>
                </c:pt>
                <c:pt idx="1336">
                  <c:v>392.10853094999425</c:v>
                </c:pt>
                <c:pt idx="1337">
                  <c:v>-7652.3103955705301</c:v>
                </c:pt>
              </c:numCache>
            </c:numRef>
          </c:yVal>
          <c:smooth val="0"/>
          <c:extLst>
            <c:ext xmlns:c16="http://schemas.microsoft.com/office/drawing/2014/chart" uri="{C3380CC4-5D6E-409C-BE32-E72D297353CC}">
              <c16:uniqueId val="{00000000-A466-4582-A3A0-E4B4E3904E34}"/>
            </c:ext>
          </c:extLst>
        </c:ser>
        <c:dLbls>
          <c:showLegendKey val="0"/>
          <c:showVal val="0"/>
          <c:showCatName val="0"/>
          <c:showSerName val="0"/>
          <c:showPercent val="0"/>
          <c:showBubbleSize val="0"/>
        </c:dLbls>
        <c:axId val="672579296"/>
        <c:axId val="672573056"/>
      </c:scatterChart>
      <c:valAx>
        <c:axId val="672579296"/>
        <c:scaling>
          <c:orientation val="minMax"/>
        </c:scaling>
        <c:delete val="0"/>
        <c:axPos val="b"/>
        <c:title>
          <c:tx>
            <c:rich>
              <a:bodyPr/>
              <a:lstStyle/>
              <a:p>
                <a:pPr>
                  <a:defRPr/>
                </a:pPr>
                <a:r>
                  <a:rPr lang="en-GB"/>
                  <a:t>bmi</a:t>
                </a:r>
              </a:p>
            </c:rich>
          </c:tx>
          <c:overlay val="0"/>
        </c:title>
        <c:numFmt formatCode="General" sourceLinked="1"/>
        <c:majorTickMark val="out"/>
        <c:minorTickMark val="none"/>
        <c:tickLblPos val="nextTo"/>
        <c:crossAx val="672573056"/>
        <c:crosses val="autoZero"/>
        <c:crossBetween val="midCat"/>
      </c:valAx>
      <c:valAx>
        <c:axId val="672573056"/>
        <c:scaling>
          <c:orientation val="minMax"/>
        </c:scaling>
        <c:delete val="0"/>
        <c:axPos val="l"/>
        <c:title>
          <c:tx>
            <c:rich>
              <a:bodyPr/>
              <a:lstStyle/>
              <a:p>
                <a:pPr>
                  <a:defRPr/>
                </a:pPr>
                <a:r>
                  <a:rPr lang="en-GB"/>
                  <a:t>Residuals</a:t>
                </a:r>
              </a:p>
            </c:rich>
          </c:tx>
          <c:overlay val="0"/>
        </c:title>
        <c:numFmt formatCode="General" sourceLinked="1"/>
        <c:majorTickMark val="out"/>
        <c:minorTickMark val="none"/>
        <c:tickLblPos val="nextTo"/>
        <c:crossAx val="672579296"/>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children  Residual Plot</a:t>
            </a:r>
          </a:p>
        </c:rich>
      </c:tx>
      <c:overlay val="0"/>
    </c:title>
    <c:autoTitleDeleted val="0"/>
    <c:plotArea>
      <c:layout/>
      <c:scatterChart>
        <c:scatterStyle val="lineMarker"/>
        <c:varyColors val="0"/>
        <c:ser>
          <c:idx val="0"/>
          <c:order val="0"/>
          <c:spPr>
            <a:ln w="38100">
              <a:noFill/>
            </a:ln>
          </c:spPr>
          <c:xVal>
            <c:numRef>
              <c:f>'insurance (Clean)'!$J$2:$J$1339</c:f>
              <c:numCache>
                <c:formatCode>General</c:formatCode>
                <c:ptCount val="1338"/>
                <c:pt idx="0">
                  <c:v>0</c:v>
                </c:pt>
                <c:pt idx="1">
                  <c:v>1</c:v>
                </c:pt>
                <c:pt idx="2">
                  <c:v>3</c:v>
                </c:pt>
                <c:pt idx="3">
                  <c:v>0</c:v>
                </c:pt>
                <c:pt idx="4">
                  <c:v>0</c:v>
                </c:pt>
                <c:pt idx="5">
                  <c:v>0</c:v>
                </c:pt>
                <c:pt idx="6">
                  <c:v>1</c:v>
                </c:pt>
                <c:pt idx="7">
                  <c:v>3</c:v>
                </c:pt>
                <c:pt idx="8">
                  <c:v>2</c:v>
                </c:pt>
                <c:pt idx="9">
                  <c:v>0</c:v>
                </c:pt>
                <c:pt idx="10">
                  <c:v>0</c:v>
                </c:pt>
                <c:pt idx="11">
                  <c:v>0</c:v>
                </c:pt>
                <c:pt idx="12">
                  <c:v>0</c:v>
                </c:pt>
                <c:pt idx="13">
                  <c:v>0</c:v>
                </c:pt>
                <c:pt idx="14">
                  <c:v>0</c:v>
                </c:pt>
                <c:pt idx="15">
                  <c:v>1</c:v>
                </c:pt>
                <c:pt idx="16">
                  <c:v>1</c:v>
                </c:pt>
                <c:pt idx="17">
                  <c:v>0</c:v>
                </c:pt>
                <c:pt idx="18">
                  <c:v>0</c:v>
                </c:pt>
                <c:pt idx="19">
                  <c:v>0</c:v>
                </c:pt>
                <c:pt idx="20">
                  <c:v>0</c:v>
                </c:pt>
                <c:pt idx="21">
                  <c:v>1</c:v>
                </c:pt>
                <c:pt idx="22">
                  <c:v>0</c:v>
                </c:pt>
                <c:pt idx="23">
                  <c:v>1</c:v>
                </c:pt>
                <c:pt idx="24">
                  <c:v>2</c:v>
                </c:pt>
                <c:pt idx="25">
                  <c:v>3</c:v>
                </c:pt>
                <c:pt idx="26">
                  <c:v>0</c:v>
                </c:pt>
                <c:pt idx="27">
                  <c:v>2</c:v>
                </c:pt>
                <c:pt idx="28">
                  <c:v>1</c:v>
                </c:pt>
                <c:pt idx="29">
                  <c:v>2</c:v>
                </c:pt>
                <c:pt idx="30">
                  <c:v>0</c:v>
                </c:pt>
                <c:pt idx="31">
                  <c:v>0</c:v>
                </c:pt>
                <c:pt idx="32">
                  <c:v>5</c:v>
                </c:pt>
                <c:pt idx="33">
                  <c:v>0</c:v>
                </c:pt>
                <c:pt idx="34">
                  <c:v>1</c:v>
                </c:pt>
                <c:pt idx="35">
                  <c:v>0</c:v>
                </c:pt>
                <c:pt idx="36">
                  <c:v>3</c:v>
                </c:pt>
                <c:pt idx="37">
                  <c:v>0</c:v>
                </c:pt>
                <c:pt idx="38">
                  <c:v>1</c:v>
                </c:pt>
                <c:pt idx="39">
                  <c:v>0</c:v>
                </c:pt>
                <c:pt idx="40">
                  <c:v>0</c:v>
                </c:pt>
                <c:pt idx="41">
                  <c:v>2</c:v>
                </c:pt>
                <c:pt idx="42">
                  <c:v>1</c:v>
                </c:pt>
                <c:pt idx="43">
                  <c:v>2</c:v>
                </c:pt>
                <c:pt idx="44">
                  <c:v>1</c:v>
                </c:pt>
                <c:pt idx="45">
                  <c:v>0</c:v>
                </c:pt>
                <c:pt idx="46">
                  <c:v>2</c:v>
                </c:pt>
                <c:pt idx="47">
                  <c:v>0</c:v>
                </c:pt>
                <c:pt idx="48">
                  <c:v>0</c:v>
                </c:pt>
                <c:pt idx="49">
                  <c:v>1</c:v>
                </c:pt>
                <c:pt idx="50">
                  <c:v>0</c:v>
                </c:pt>
                <c:pt idx="51">
                  <c:v>2</c:v>
                </c:pt>
                <c:pt idx="52">
                  <c:v>1</c:v>
                </c:pt>
                <c:pt idx="53">
                  <c:v>0</c:v>
                </c:pt>
                <c:pt idx="54">
                  <c:v>3</c:v>
                </c:pt>
                <c:pt idx="55">
                  <c:v>2</c:v>
                </c:pt>
                <c:pt idx="56">
                  <c:v>2</c:v>
                </c:pt>
                <c:pt idx="57">
                  <c:v>2</c:v>
                </c:pt>
                <c:pt idx="58">
                  <c:v>1</c:v>
                </c:pt>
                <c:pt idx="59">
                  <c:v>2</c:v>
                </c:pt>
                <c:pt idx="60">
                  <c:v>3</c:v>
                </c:pt>
                <c:pt idx="61">
                  <c:v>4</c:v>
                </c:pt>
                <c:pt idx="62">
                  <c:v>1</c:v>
                </c:pt>
                <c:pt idx="63">
                  <c:v>1</c:v>
                </c:pt>
                <c:pt idx="64">
                  <c:v>0</c:v>
                </c:pt>
                <c:pt idx="65">
                  <c:v>0</c:v>
                </c:pt>
                <c:pt idx="66">
                  <c:v>2</c:v>
                </c:pt>
                <c:pt idx="67">
                  <c:v>1</c:v>
                </c:pt>
                <c:pt idx="68">
                  <c:v>0</c:v>
                </c:pt>
                <c:pt idx="69">
                  <c:v>3</c:v>
                </c:pt>
                <c:pt idx="70">
                  <c:v>0</c:v>
                </c:pt>
                <c:pt idx="71">
                  <c:v>5</c:v>
                </c:pt>
                <c:pt idx="72">
                  <c:v>3</c:v>
                </c:pt>
                <c:pt idx="73">
                  <c:v>1</c:v>
                </c:pt>
                <c:pt idx="74">
                  <c:v>2</c:v>
                </c:pt>
                <c:pt idx="75">
                  <c:v>0</c:v>
                </c:pt>
                <c:pt idx="76">
                  <c:v>1</c:v>
                </c:pt>
                <c:pt idx="77">
                  <c:v>0</c:v>
                </c:pt>
                <c:pt idx="78">
                  <c:v>0</c:v>
                </c:pt>
                <c:pt idx="79">
                  <c:v>0</c:v>
                </c:pt>
                <c:pt idx="80">
                  <c:v>1</c:v>
                </c:pt>
                <c:pt idx="81">
                  <c:v>0</c:v>
                </c:pt>
                <c:pt idx="82">
                  <c:v>1</c:v>
                </c:pt>
                <c:pt idx="83">
                  <c:v>4</c:v>
                </c:pt>
                <c:pt idx="84">
                  <c:v>2</c:v>
                </c:pt>
                <c:pt idx="85">
                  <c:v>2</c:v>
                </c:pt>
                <c:pt idx="86">
                  <c:v>0</c:v>
                </c:pt>
                <c:pt idx="87">
                  <c:v>0</c:v>
                </c:pt>
                <c:pt idx="88">
                  <c:v>0</c:v>
                </c:pt>
                <c:pt idx="89">
                  <c:v>0</c:v>
                </c:pt>
                <c:pt idx="90">
                  <c:v>0</c:v>
                </c:pt>
                <c:pt idx="91">
                  <c:v>1</c:v>
                </c:pt>
                <c:pt idx="92">
                  <c:v>3</c:v>
                </c:pt>
                <c:pt idx="93">
                  <c:v>2</c:v>
                </c:pt>
                <c:pt idx="94">
                  <c:v>2</c:v>
                </c:pt>
                <c:pt idx="95">
                  <c:v>1</c:v>
                </c:pt>
                <c:pt idx="96">
                  <c:v>3</c:v>
                </c:pt>
                <c:pt idx="97">
                  <c:v>0</c:v>
                </c:pt>
                <c:pt idx="98">
                  <c:v>0</c:v>
                </c:pt>
                <c:pt idx="99">
                  <c:v>0</c:v>
                </c:pt>
                <c:pt idx="100">
                  <c:v>0</c:v>
                </c:pt>
                <c:pt idx="101">
                  <c:v>0</c:v>
                </c:pt>
                <c:pt idx="102">
                  <c:v>0</c:v>
                </c:pt>
                <c:pt idx="103">
                  <c:v>3</c:v>
                </c:pt>
                <c:pt idx="104">
                  <c:v>1</c:v>
                </c:pt>
                <c:pt idx="105">
                  <c:v>1</c:v>
                </c:pt>
                <c:pt idx="106">
                  <c:v>1</c:v>
                </c:pt>
                <c:pt idx="107">
                  <c:v>2</c:v>
                </c:pt>
                <c:pt idx="108">
                  <c:v>0</c:v>
                </c:pt>
                <c:pt idx="109">
                  <c:v>0</c:v>
                </c:pt>
                <c:pt idx="110">
                  <c:v>1</c:v>
                </c:pt>
                <c:pt idx="111">
                  <c:v>2</c:v>
                </c:pt>
                <c:pt idx="112">
                  <c:v>0</c:v>
                </c:pt>
                <c:pt idx="113">
                  <c:v>0</c:v>
                </c:pt>
                <c:pt idx="114">
                  <c:v>3</c:v>
                </c:pt>
                <c:pt idx="115">
                  <c:v>0</c:v>
                </c:pt>
                <c:pt idx="116">
                  <c:v>0</c:v>
                </c:pt>
                <c:pt idx="117">
                  <c:v>1</c:v>
                </c:pt>
                <c:pt idx="118">
                  <c:v>0</c:v>
                </c:pt>
                <c:pt idx="119">
                  <c:v>2</c:v>
                </c:pt>
                <c:pt idx="120">
                  <c:v>2</c:v>
                </c:pt>
                <c:pt idx="121">
                  <c:v>0</c:v>
                </c:pt>
                <c:pt idx="122">
                  <c:v>0</c:v>
                </c:pt>
                <c:pt idx="123">
                  <c:v>1</c:v>
                </c:pt>
                <c:pt idx="124">
                  <c:v>3</c:v>
                </c:pt>
                <c:pt idx="125">
                  <c:v>0</c:v>
                </c:pt>
                <c:pt idx="126">
                  <c:v>0</c:v>
                </c:pt>
                <c:pt idx="127">
                  <c:v>0</c:v>
                </c:pt>
                <c:pt idx="128">
                  <c:v>2</c:v>
                </c:pt>
                <c:pt idx="129">
                  <c:v>2</c:v>
                </c:pt>
                <c:pt idx="130">
                  <c:v>0</c:v>
                </c:pt>
                <c:pt idx="131">
                  <c:v>0</c:v>
                </c:pt>
                <c:pt idx="132">
                  <c:v>2</c:v>
                </c:pt>
                <c:pt idx="133">
                  <c:v>0</c:v>
                </c:pt>
                <c:pt idx="134">
                  <c:v>0</c:v>
                </c:pt>
                <c:pt idx="135">
                  <c:v>0</c:v>
                </c:pt>
                <c:pt idx="136">
                  <c:v>0</c:v>
                </c:pt>
                <c:pt idx="137">
                  <c:v>0</c:v>
                </c:pt>
                <c:pt idx="138">
                  <c:v>3</c:v>
                </c:pt>
                <c:pt idx="139">
                  <c:v>0</c:v>
                </c:pt>
                <c:pt idx="140">
                  <c:v>2</c:v>
                </c:pt>
                <c:pt idx="141">
                  <c:v>1</c:v>
                </c:pt>
                <c:pt idx="142">
                  <c:v>2</c:v>
                </c:pt>
                <c:pt idx="143">
                  <c:v>2</c:v>
                </c:pt>
                <c:pt idx="144">
                  <c:v>3</c:v>
                </c:pt>
                <c:pt idx="145">
                  <c:v>3</c:v>
                </c:pt>
                <c:pt idx="146">
                  <c:v>3</c:v>
                </c:pt>
                <c:pt idx="147">
                  <c:v>1</c:v>
                </c:pt>
                <c:pt idx="148">
                  <c:v>1</c:v>
                </c:pt>
                <c:pt idx="149">
                  <c:v>1</c:v>
                </c:pt>
                <c:pt idx="150">
                  <c:v>1</c:v>
                </c:pt>
                <c:pt idx="151">
                  <c:v>0</c:v>
                </c:pt>
                <c:pt idx="152">
                  <c:v>3</c:v>
                </c:pt>
                <c:pt idx="153">
                  <c:v>0</c:v>
                </c:pt>
                <c:pt idx="154">
                  <c:v>1</c:v>
                </c:pt>
                <c:pt idx="155">
                  <c:v>0</c:v>
                </c:pt>
                <c:pt idx="156">
                  <c:v>0</c:v>
                </c:pt>
                <c:pt idx="157">
                  <c:v>0</c:v>
                </c:pt>
                <c:pt idx="158">
                  <c:v>0</c:v>
                </c:pt>
                <c:pt idx="159">
                  <c:v>3</c:v>
                </c:pt>
                <c:pt idx="160">
                  <c:v>0</c:v>
                </c:pt>
                <c:pt idx="161">
                  <c:v>0</c:v>
                </c:pt>
                <c:pt idx="162">
                  <c:v>1</c:v>
                </c:pt>
                <c:pt idx="163">
                  <c:v>2</c:v>
                </c:pt>
                <c:pt idx="164">
                  <c:v>0</c:v>
                </c:pt>
                <c:pt idx="165">
                  <c:v>4</c:v>
                </c:pt>
                <c:pt idx="166">
                  <c:v>5</c:v>
                </c:pt>
                <c:pt idx="167">
                  <c:v>3</c:v>
                </c:pt>
                <c:pt idx="168">
                  <c:v>1</c:v>
                </c:pt>
                <c:pt idx="169">
                  <c:v>3</c:v>
                </c:pt>
                <c:pt idx="170">
                  <c:v>0</c:v>
                </c:pt>
                <c:pt idx="171">
                  <c:v>0</c:v>
                </c:pt>
                <c:pt idx="172">
                  <c:v>0</c:v>
                </c:pt>
                <c:pt idx="173">
                  <c:v>1</c:v>
                </c:pt>
                <c:pt idx="174">
                  <c:v>0</c:v>
                </c:pt>
                <c:pt idx="175">
                  <c:v>0</c:v>
                </c:pt>
                <c:pt idx="176">
                  <c:v>2</c:v>
                </c:pt>
                <c:pt idx="177">
                  <c:v>1</c:v>
                </c:pt>
                <c:pt idx="178">
                  <c:v>2</c:v>
                </c:pt>
                <c:pt idx="179">
                  <c:v>3</c:v>
                </c:pt>
                <c:pt idx="180">
                  <c:v>0</c:v>
                </c:pt>
                <c:pt idx="181">
                  <c:v>0</c:v>
                </c:pt>
                <c:pt idx="182">
                  <c:v>3</c:v>
                </c:pt>
                <c:pt idx="183">
                  <c:v>0</c:v>
                </c:pt>
                <c:pt idx="184">
                  <c:v>2</c:v>
                </c:pt>
                <c:pt idx="185">
                  <c:v>3</c:v>
                </c:pt>
                <c:pt idx="186">
                  <c:v>2</c:v>
                </c:pt>
                <c:pt idx="187">
                  <c:v>3</c:v>
                </c:pt>
                <c:pt idx="188">
                  <c:v>1</c:v>
                </c:pt>
                <c:pt idx="189">
                  <c:v>2</c:v>
                </c:pt>
                <c:pt idx="190">
                  <c:v>0</c:v>
                </c:pt>
                <c:pt idx="191">
                  <c:v>0</c:v>
                </c:pt>
                <c:pt idx="192">
                  <c:v>0</c:v>
                </c:pt>
                <c:pt idx="193">
                  <c:v>1</c:v>
                </c:pt>
                <c:pt idx="194">
                  <c:v>0</c:v>
                </c:pt>
                <c:pt idx="195">
                  <c:v>0</c:v>
                </c:pt>
                <c:pt idx="196">
                  <c:v>0</c:v>
                </c:pt>
                <c:pt idx="197">
                  <c:v>2</c:v>
                </c:pt>
                <c:pt idx="198">
                  <c:v>0</c:v>
                </c:pt>
                <c:pt idx="199">
                  <c:v>0</c:v>
                </c:pt>
                <c:pt idx="200">
                  <c:v>0</c:v>
                </c:pt>
                <c:pt idx="201">
                  <c:v>1</c:v>
                </c:pt>
                <c:pt idx="202">
                  <c:v>0</c:v>
                </c:pt>
                <c:pt idx="203">
                  <c:v>0</c:v>
                </c:pt>
                <c:pt idx="204">
                  <c:v>0</c:v>
                </c:pt>
                <c:pt idx="205">
                  <c:v>1</c:v>
                </c:pt>
                <c:pt idx="206">
                  <c:v>0</c:v>
                </c:pt>
                <c:pt idx="207">
                  <c:v>2</c:v>
                </c:pt>
                <c:pt idx="208">
                  <c:v>0</c:v>
                </c:pt>
                <c:pt idx="209">
                  <c:v>1</c:v>
                </c:pt>
                <c:pt idx="210">
                  <c:v>1</c:v>
                </c:pt>
                <c:pt idx="211">
                  <c:v>4</c:v>
                </c:pt>
                <c:pt idx="212">
                  <c:v>2</c:v>
                </c:pt>
                <c:pt idx="213">
                  <c:v>1</c:v>
                </c:pt>
                <c:pt idx="214">
                  <c:v>2</c:v>
                </c:pt>
                <c:pt idx="215">
                  <c:v>2</c:v>
                </c:pt>
                <c:pt idx="216">
                  <c:v>0</c:v>
                </c:pt>
                <c:pt idx="217">
                  <c:v>0</c:v>
                </c:pt>
                <c:pt idx="218">
                  <c:v>1</c:v>
                </c:pt>
                <c:pt idx="219">
                  <c:v>0</c:v>
                </c:pt>
                <c:pt idx="220">
                  <c:v>1</c:v>
                </c:pt>
                <c:pt idx="221">
                  <c:v>0</c:v>
                </c:pt>
                <c:pt idx="222">
                  <c:v>3</c:v>
                </c:pt>
                <c:pt idx="223">
                  <c:v>0</c:v>
                </c:pt>
                <c:pt idx="224">
                  <c:v>0</c:v>
                </c:pt>
                <c:pt idx="225">
                  <c:v>3</c:v>
                </c:pt>
                <c:pt idx="226">
                  <c:v>0</c:v>
                </c:pt>
                <c:pt idx="227">
                  <c:v>0</c:v>
                </c:pt>
                <c:pt idx="228">
                  <c:v>1</c:v>
                </c:pt>
                <c:pt idx="229">
                  <c:v>2</c:v>
                </c:pt>
                <c:pt idx="230">
                  <c:v>1</c:v>
                </c:pt>
                <c:pt idx="231">
                  <c:v>3</c:v>
                </c:pt>
                <c:pt idx="232">
                  <c:v>0</c:v>
                </c:pt>
                <c:pt idx="233">
                  <c:v>1</c:v>
                </c:pt>
                <c:pt idx="234">
                  <c:v>2</c:v>
                </c:pt>
                <c:pt idx="235">
                  <c:v>2</c:v>
                </c:pt>
                <c:pt idx="236">
                  <c:v>0</c:v>
                </c:pt>
                <c:pt idx="237">
                  <c:v>2</c:v>
                </c:pt>
                <c:pt idx="238">
                  <c:v>0</c:v>
                </c:pt>
                <c:pt idx="239">
                  <c:v>1</c:v>
                </c:pt>
                <c:pt idx="240">
                  <c:v>2</c:v>
                </c:pt>
                <c:pt idx="241">
                  <c:v>1</c:v>
                </c:pt>
                <c:pt idx="242">
                  <c:v>1</c:v>
                </c:pt>
                <c:pt idx="243">
                  <c:v>3</c:v>
                </c:pt>
                <c:pt idx="244">
                  <c:v>0</c:v>
                </c:pt>
                <c:pt idx="245">
                  <c:v>0</c:v>
                </c:pt>
                <c:pt idx="246">
                  <c:v>0</c:v>
                </c:pt>
                <c:pt idx="247">
                  <c:v>0</c:v>
                </c:pt>
                <c:pt idx="248">
                  <c:v>1</c:v>
                </c:pt>
                <c:pt idx="249">
                  <c:v>1</c:v>
                </c:pt>
                <c:pt idx="250">
                  <c:v>2</c:v>
                </c:pt>
                <c:pt idx="251">
                  <c:v>2</c:v>
                </c:pt>
                <c:pt idx="252">
                  <c:v>2</c:v>
                </c:pt>
                <c:pt idx="253">
                  <c:v>3</c:v>
                </c:pt>
                <c:pt idx="254">
                  <c:v>0</c:v>
                </c:pt>
                <c:pt idx="255">
                  <c:v>3</c:v>
                </c:pt>
                <c:pt idx="256">
                  <c:v>0</c:v>
                </c:pt>
                <c:pt idx="257">
                  <c:v>0</c:v>
                </c:pt>
                <c:pt idx="258">
                  <c:v>4</c:v>
                </c:pt>
                <c:pt idx="259">
                  <c:v>0</c:v>
                </c:pt>
                <c:pt idx="260">
                  <c:v>0</c:v>
                </c:pt>
                <c:pt idx="261">
                  <c:v>1</c:v>
                </c:pt>
                <c:pt idx="262">
                  <c:v>3</c:v>
                </c:pt>
                <c:pt idx="263">
                  <c:v>0</c:v>
                </c:pt>
                <c:pt idx="264">
                  <c:v>3</c:v>
                </c:pt>
                <c:pt idx="265">
                  <c:v>3</c:v>
                </c:pt>
                <c:pt idx="266">
                  <c:v>1</c:v>
                </c:pt>
                <c:pt idx="267">
                  <c:v>3</c:v>
                </c:pt>
                <c:pt idx="268">
                  <c:v>1</c:v>
                </c:pt>
                <c:pt idx="269">
                  <c:v>1</c:v>
                </c:pt>
                <c:pt idx="270">
                  <c:v>1</c:v>
                </c:pt>
                <c:pt idx="271">
                  <c:v>2</c:v>
                </c:pt>
                <c:pt idx="272">
                  <c:v>2</c:v>
                </c:pt>
                <c:pt idx="273">
                  <c:v>1</c:v>
                </c:pt>
                <c:pt idx="274">
                  <c:v>0</c:v>
                </c:pt>
                <c:pt idx="275">
                  <c:v>2</c:v>
                </c:pt>
                <c:pt idx="276">
                  <c:v>2</c:v>
                </c:pt>
                <c:pt idx="277">
                  <c:v>0</c:v>
                </c:pt>
                <c:pt idx="278">
                  <c:v>2</c:v>
                </c:pt>
                <c:pt idx="279">
                  <c:v>1</c:v>
                </c:pt>
                <c:pt idx="280">
                  <c:v>1</c:v>
                </c:pt>
                <c:pt idx="281">
                  <c:v>3</c:v>
                </c:pt>
                <c:pt idx="282">
                  <c:v>1</c:v>
                </c:pt>
                <c:pt idx="283">
                  <c:v>1</c:v>
                </c:pt>
                <c:pt idx="284">
                  <c:v>0</c:v>
                </c:pt>
                <c:pt idx="285">
                  <c:v>1</c:v>
                </c:pt>
                <c:pt idx="286">
                  <c:v>2</c:v>
                </c:pt>
                <c:pt idx="287">
                  <c:v>0</c:v>
                </c:pt>
                <c:pt idx="288">
                  <c:v>1</c:v>
                </c:pt>
                <c:pt idx="289">
                  <c:v>3</c:v>
                </c:pt>
                <c:pt idx="290">
                  <c:v>0</c:v>
                </c:pt>
                <c:pt idx="291">
                  <c:v>1</c:v>
                </c:pt>
                <c:pt idx="292">
                  <c:v>2</c:v>
                </c:pt>
                <c:pt idx="293">
                  <c:v>0</c:v>
                </c:pt>
                <c:pt idx="294">
                  <c:v>3</c:v>
                </c:pt>
                <c:pt idx="295">
                  <c:v>0</c:v>
                </c:pt>
                <c:pt idx="296">
                  <c:v>0</c:v>
                </c:pt>
                <c:pt idx="297">
                  <c:v>1</c:v>
                </c:pt>
                <c:pt idx="298">
                  <c:v>3</c:v>
                </c:pt>
                <c:pt idx="299">
                  <c:v>1</c:v>
                </c:pt>
                <c:pt idx="300">
                  <c:v>3</c:v>
                </c:pt>
                <c:pt idx="301">
                  <c:v>3</c:v>
                </c:pt>
                <c:pt idx="302">
                  <c:v>2</c:v>
                </c:pt>
                <c:pt idx="303">
                  <c:v>2</c:v>
                </c:pt>
                <c:pt idx="304">
                  <c:v>2</c:v>
                </c:pt>
                <c:pt idx="305">
                  <c:v>2</c:v>
                </c:pt>
                <c:pt idx="306">
                  <c:v>2</c:v>
                </c:pt>
                <c:pt idx="307">
                  <c:v>1</c:v>
                </c:pt>
                <c:pt idx="308">
                  <c:v>0</c:v>
                </c:pt>
                <c:pt idx="309">
                  <c:v>2</c:v>
                </c:pt>
                <c:pt idx="310">
                  <c:v>0</c:v>
                </c:pt>
                <c:pt idx="311">
                  <c:v>0</c:v>
                </c:pt>
                <c:pt idx="312">
                  <c:v>3</c:v>
                </c:pt>
                <c:pt idx="313">
                  <c:v>0</c:v>
                </c:pt>
                <c:pt idx="314">
                  <c:v>0</c:v>
                </c:pt>
                <c:pt idx="315">
                  <c:v>0</c:v>
                </c:pt>
                <c:pt idx="316">
                  <c:v>0</c:v>
                </c:pt>
                <c:pt idx="317">
                  <c:v>0</c:v>
                </c:pt>
                <c:pt idx="318">
                  <c:v>0</c:v>
                </c:pt>
                <c:pt idx="319">
                  <c:v>1</c:v>
                </c:pt>
                <c:pt idx="320">
                  <c:v>1</c:v>
                </c:pt>
                <c:pt idx="321">
                  <c:v>4</c:v>
                </c:pt>
                <c:pt idx="322">
                  <c:v>0</c:v>
                </c:pt>
                <c:pt idx="323">
                  <c:v>0</c:v>
                </c:pt>
                <c:pt idx="324">
                  <c:v>0</c:v>
                </c:pt>
                <c:pt idx="325">
                  <c:v>1</c:v>
                </c:pt>
                <c:pt idx="326">
                  <c:v>1</c:v>
                </c:pt>
                <c:pt idx="327">
                  <c:v>2</c:v>
                </c:pt>
                <c:pt idx="328">
                  <c:v>1</c:v>
                </c:pt>
                <c:pt idx="329">
                  <c:v>0</c:v>
                </c:pt>
                <c:pt idx="330">
                  <c:v>1</c:v>
                </c:pt>
                <c:pt idx="331">
                  <c:v>0</c:v>
                </c:pt>
                <c:pt idx="332">
                  <c:v>0</c:v>
                </c:pt>
                <c:pt idx="333">
                  <c:v>0</c:v>
                </c:pt>
                <c:pt idx="334">
                  <c:v>2</c:v>
                </c:pt>
                <c:pt idx="335">
                  <c:v>0</c:v>
                </c:pt>
                <c:pt idx="336">
                  <c:v>0</c:v>
                </c:pt>
                <c:pt idx="337">
                  <c:v>1</c:v>
                </c:pt>
                <c:pt idx="338">
                  <c:v>1</c:v>
                </c:pt>
                <c:pt idx="339">
                  <c:v>1</c:v>
                </c:pt>
                <c:pt idx="340">
                  <c:v>0</c:v>
                </c:pt>
                <c:pt idx="341">
                  <c:v>0</c:v>
                </c:pt>
                <c:pt idx="342">
                  <c:v>0</c:v>
                </c:pt>
                <c:pt idx="343">
                  <c:v>0</c:v>
                </c:pt>
                <c:pt idx="344">
                  <c:v>4</c:v>
                </c:pt>
                <c:pt idx="345">
                  <c:v>3</c:v>
                </c:pt>
                <c:pt idx="346">
                  <c:v>2</c:v>
                </c:pt>
                <c:pt idx="347">
                  <c:v>1</c:v>
                </c:pt>
                <c:pt idx="348">
                  <c:v>1</c:v>
                </c:pt>
                <c:pt idx="349">
                  <c:v>0</c:v>
                </c:pt>
                <c:pt idx="350">
                  <c:v>0</c:v>
                </c:pt>
                <c:pt idx="351">
                  <c:v>0</c:v>
                </c:pt>
                <c:pt idx="352">
                  <c:v>0</c:v>
                </c:pt>
                <c:pt idx="353">
                  <c:v>0</c:v>
                </c:pt>
                <c:pt idx="354">
                  <c:v>0</c:v>
                </c:pt>
                <c:pt idx="355">
                  <c:v>0</c:v>
                </c:pt>
                <c:pt idx="356">
                  <c:v>3</c:v>
                </c:pt>
                <c:pt idx="357">
                  <c:v>3</c:v>
                </c:pt>
                <c:pt idx="358">
                  <c:v>0</c:v>
                </c:pt>
                <c:pt idx="359">
                  <c:v>0</c:v>
                </c:pt>
                <c:pt idx="360">
                  <c:v>2</c:v>
                </c:pt>
                <c:pt idx="361">
                  <c:v>1</c:v>
                </c:pt>
                <c:pt idx="362">
                  <c:v>0</c:v>
                </c:pt>
                <c:pt idx="363">
                  <c:v>1</c:v>
                </c:pt>
                <c:pt idx="364">
                  <c:v>2</c:v>
                </c:pt>
                <c:pt idx="365">
                  <c:v>1</c:v>
                </c:pt>
                <c:pt idx="366">
                  <c:v>3</c:v>
                </c:pt>
                <c:pt idx="367">
                  <c:v>2</c:v>
                </c:pt>
                <c:pt idx="368">
                  <c:v>2</c:v>
                </c:pt>
                <c:pt idx="369">
                  <c:v>3</c:v>
                </c:pt>
                <c:pt idx="370">
                  <c:v>0</c:v>
                </c:pt>
                <c:pt idx="371">
                  <c:v>0</c:v>
                </c:pt>
                <c:pt idx="372">
                  <c:v>1</c:v>
                </c:pt>
                <c:pt idx="373">
                  <c:v>2</c:v>
                </c:pt>
                <c:pt idx="374">
                  <c:v>0</c:v>
                </c:pt>
                <c:pt idx="375">
                  <c:v>0</c:v>
                </c:pt>
                <c:pt idx="376">
                  <c:v>3</c:v>
                </c:pt>
                <c:pt idx="377">
                  <c:v>0</c:v>
                </c:pt>
                <c:pt idx="378">
                  <c:v>3</c:v>
                </c:pt>
                <c:pt idx="379">
                  <c:v>1</c:v>
                </c:pt>
                <c:pt idx="380">
                  <c:v>2</c:v>
                </c:pt>
                <c:pt idx="381">
                  <c:v>0</c:v>
                </c:pt>
                <c:pt idx="382">
                  <c:v>0</c:v>
                </c:pt>
                <c:pt idx="383">
                  <c:v>2</c:v>
                </c:pt>
                <c:pt idx="384">
                  <c:v>2</c:v>
                </c:pt>
                <c:pt idx="385">
                  <c:v>0</c:v>
                </c:pt>
                <c:pt idx="386">
                  <c:v>0</c:v>
                </c:pt>
                <c:pt idx="387">
                  <c:v>2</c:v>
                </c:pt>
                <c:pt idx="388">
                  <c:v>0</c:v>
                </c:pt>
                <c:pt idx="389">
                  <c:v>3</c:v>
                </c:pt>
                <c:pt idx="390">
                  <c:v>4</c:v>
                </c:pt>
                <c:pt idx="391">
                  <c:v>0</c:v>
                </c:pt>
                <c:pt idx="392">
                  <c:v>1</c:v>
                </c:pt>
                <c:pt idx="393">
                  <c:v>1</c:v>
                </c:pt>
                <c:pt idx="394">
                  <c:v>2</c:v>
                </c:pt>
                <c:pt idx="395">
                  <c:v>0</c:v>
                </c:pt>
                <c:pt idx="396">
                  <c:v>3</c:v>
                </c:pt>
                <c:pt idx="397">
                  <c:v>0</c:v>
                </c:pt>
                <c:pt idx="398">
                  <c:v>2</c:v>
                </c:pt>
                <c:pt idx="399">
                  <c:v>0</c:v>
                </c:pt>
                <c:pt idx="400">
                  <c:v>0</c:v>
                </c:pt>
                <c:pt idx="401">
                  <c:v>1</c:v>
                </c:pt>
                <c:pt idx="402">
                  <c:v>0</c:v>
                </c:pt>
                <c:pt idx="403">
                  <c:v>3</c:v>
                </c:pt>
                <c:pt idx="404">
                  <c:v>0</c:v>
                </c:pt>
                <c:pt idx="405">
                  <c:v>2</c:v>
                </c:pt>
                <c:pt idx="406">
                  <c:v>0</c:v>
                </c:pt>
                <c:pt idx="407">
                  <c:v>1</c:v>
                </c:pt>
                <c:pt idx="408">
                  <c:v>3</c:v>
                </c:pt>
                <c:pt idx="409">
                  <c:v>1</c:v>
                </c:pt>
                <c:pt idx="410">
                  <c:v>0</c:v>
                </c:pt>
                <c:pt idx="411">
                  <c:v>1</c:v>
                </c:pt>
                <c:pt idx="412">
                  <c:v>2</c:v>
                </c:pt>
                <c:pt idx="413">
                  <c:v>5</c:v>
                </c:pt>
                <c:pt idx="414">
                  <c:v>0</c:v>
                </c:pt>
                <c:pt idx="415">
                  <c:v>1</c:v>
                </c:pt>
                <c:pt idx="416">
                  <c:v>0</c:v>
                </c:pt>
                <c:pt idx="417">
                  <c:v>2</c:v>
                </c:pt>
                <c:pt idx="418">
                  <c:v>1</c:v>
                </c:pt>
                <c:pt idx="419">
                  <c:v>0</c:v>
                </c:pt>
                <c:pt idx="420">
                  <c:v>0</c:v>
                </c:pt>
                <c:pt idx="421">
                  <c:v>0</c:v>
                </c:pt>
                <c:pt idx="422">
                  <c:v>1</c:v>
                </c:pt>
                <c:pt idx="423">
                  <c:v>0</c:v>
                </c:pt>
                <c:pt idx="424">
                  <c:v>2</c:v>
                </c:pt>
                <c:pt idx="425">
                  <c:v>5</c:v>
                </c:pt>
                <c:pt idx="426">
                  <c:v>1</c:v>
                </c:pt>
                <c:pt idx="427">
                  <c:v>0</c:v>
                </c:pt>
                <c:pt idx="428">
                  <c:v>1</c:v>
                </c:pt>
                <c:pt idx="429">
                  <c:v>3</c:v>
                </c:pt>
                <c:pt idx="430">
                  <c:v>0</c:v>
                </c:pt>
                <c:pt idx="431">
                  <c:v>2</c:v>
                </c:pt>
                <c:pt idx="432">
                  <c:v>0</c:v>
                </c:pt>
                <c:pt idx="433">
                  <c:v>0</c:v>
                </c:pt>
                <c:pt idx="434">
                  <c:v>1</c:v>
                </c:pt>
                <c:pt idx="435">
                  <c:v>3</c:v>
                </c:pt>
                <c:pt idx="436">
                  <c:v>0</c:v>
                </c:pt>
                <c:pt idx="437">
                  <c:v>3</c:v>
                </c:pt>
                <c:pt idx="438">
                  <c:v>5</c:v>
                </c:pt>
                <c:pt idx="439">
                  <c:v>0</c:v>
                </c:pt>
                <c:pt idx="440">
                  <c:v>1</c:v>
                </c:pt>
                <c:pt idx="441">
                  <c:v>0</c:v>
                </c:pt>
                <c:pt idx="442">
                  <c:v>0</c:v>
                </c:pt>
                <c:pt idx="443">
                  <c:v>1</c:v>
                </c:pt>
                <c:pt idx="444">
                  <c:v>1</c:v>
                </c:pt>
                <c:pt idx="445">
                  <c:v>0</c:v>
                </c:pt>
                <c:pt idx="446">
                  <c:v>0</c:v>
                </c:pt>
                <c:pt idx="447">
                  <c:v>0</c:v>
                </c:pt>
                <c:pt idx="448">
                  <c:v>0</c:v>
                </c:pt>
                <c:pt idx="449">
                  <c:v>1</c:v>
                </c:pt>
                <c:pt idx="450">
                  <c:v>4</c:v>
                </c:pt>
                <c:pt idx="451">
                  <c:v>1</c:v>
                </c:pt>
                <c:pt idx="452">
                  <c:v>0</c:v>
                </c:pt>
                <c:pt idx="453">
                  <c:v>0</c:v>
                </c:pt>
                <c:pt idx="454">
                  <c:v>2</c:v>
                </c:pt>
                <c:pt idx="455">
                  <c:v>0</c:v>
                </c:pt>
                <c:pt idx="456">
                  <c:v>2</c:v>
                </c:pt>
                <c:pt idx="457">
                  <c:v>0</c:v>
                </c:pt>
                <c:pt idx="458">
                  <c:v>0</c:v>
                </c:pt>
                <c:pt idx="459">
                  <c:v>3</c:v>
                </c:pt>
                <c:pt idx="460">
                  <c:v>3</c:v>
                </c:pt>
                <c:pt idx="461">
                  <c:v>0</c:v>
                </c:pt>
                <c:pt idx="462">
                  <c:v>2</c:v>
                </c:pt>
                <c:pt idx="463">
                  <c:v>0</c:v>
                </c:pt>
                <c:pt idx="464">
                  <c:v>0</c:v>
                </c:pt>
                <c:pt idx="465">
                  <c:v>1</c:v>
                </c:pt>
                <c:pt idx="466">
                  <c:v>1</c:v>
                </c:pt>
                <c:pt idx="467">
                  <c:v>2</c:v>
                </c:pt>
                <c:pt idx="468">
                  <c:v>1</c:v>
                </c:pt>
                <c:pt idx="469">
                  <c:v>1</c:v>
                </c:pt>
                <c:pt idx="470">
                  <c:v>0</c:v>
                </c:pt>
                <c:pt idx="471">
                  <c:v>0</c:v>
                </c:pt>
                <c:pt idx="472">
                  <c:v>0</c:v>
                </c:pt>
                <c:pt idx="473">
                  <c:v>0</c:v>
                </c:pt>
                <c:pt idx="474">
                  <c:v>3</c:v>
                </c:pt>
                <c:pt idx="475">
                  <c:v>1</c:v>
                </c:pt>
                <c:pt idx="476">
                  <c:v>0</c:v>
                </c:pt>
                <c:pt idx="477">
                  <c:v>0</c:v>
                </c:pt>
                <c:pt idx="478">
                  <c:v>0</c:v>
                </c:pt>
                <c:pt idx="479">
                  <c:v>0</c:v>
                </c:pt>
                <c:pt idx="480">
                  <c:v>3</c:v>
                </c:pt>
                <c:pt idx="481">
                  <c:v>2</c:v>
                </c:pt>
                <c:pt idx="482">
                  <c:v>0</c:v>
                </c:pt>
                <c:pt idx="483">
                  <c:v>1</c:v>
                </c:pt>
                <c:pt idx="484">
                  <c:v>3</c:v>
                </c:pt>
                <c:pt idx="485">
                  <c:v>0</c:v>
                </c:pt>
                <c:pt idx="486">
                  <c:v>3</c:v>
                </c:pt>
                <c:pt idx="487">
                  <c:v>0</c:v>
                </c:pt>
                <c:pt idx="488">
                  <c:v>0</c:v>
                </c:pt>
                <c:pt idx="489">
                  <c:v>1</c:v>
                </c:pt>
                <c:pt idx="490">
                  <c:v>0</c:v>
                </c:pt>
                <c:pt idx="491">
                  <c:v>0</c:v>
                </c:pt>
                <c:pt idx="492">
                  <c:v>0</c:v>
                </c:pt>
                <c:pt idx="493">
                  <c:v>0</c:v>
                </c:pt>
                <c:pt idx="494">
                  <c:v>4</c:v>
                </c:pt>
                <c:pt idx="495">
                  <c:v>0</c:v>
                </c:pt>
                <c:pt idx="496">
                  <c:v>2</c:v>
                </c:pt>
                <c:pt idx="497">
                  <c:v>2</c:v>
                </c:pt>
                <c:pt idx="498">
                  <c:v>2</c:v>
                </c:pt>
                <c:pt idx="499">
                  <c:v>0</c:v>
                </c:pt>
                <c:pt idx="500">
                  <c:v>0</c:v>
                </c:pt>
                <c:pt idx="501">
                  <c:v>0</c:v>
                </c:pt>
                <c:pt idx="502">
                  <c:v>1</c:v>
                </c:pt>
                <c:pt idx="503">
                  <c:v>0</c:v>
                </c:pt>
                <c:pt idx="504">
                  <c:v>1</c:v>
                </c:pt>
                <c:pt idx="505">
                  <c:v>3</c:v>
                </c:pt>
                <c:pt idx="506">
                  <c:v>1</c:v>
                </c:pt>
                <c:pt idx="507">
                  <c:v>2</c:v>
                </c:pt>
                <c:pt idx="508">
                  <c:v>0</c:v>
                </c:pt>
                <c:pt idx="509">
                  <c:v>0</c:v>
                </c:pt>
                <c:pt idx="510">
                  <c:v>1</c:v>
                </c:pt>
                <c:pt idx="511">
                  <c:v>0</c:v>
                </c:pt>
                <c:pt idx="512">
                  <c:v>0</c:v>
                </c:pt>
                <c:pt idx="513">
                  <c:v>0</c:v>
                </c:pt>
                <c:pt idx="514">
                  <c:v>1</c:v>
                </c:pt>
                <c:pt idx="515">
                  <c:v>0</c:v>
                </c:pt>
                <c:pt idx="516">
                  <c:v>1</c:v>
                </c:pt>
                <c:pt idx="517">
                  <c:v>2</c:v>
                </c:pt>
                <c:pt idx="518">
                  <c:v>1</c:v>
                </c:pt>
                <c:pt idx="519">
                  <c:v>0</c:v>
                </c:pt>
                <c:pt idx="520">
                  <c:v>0</c:v>
                </c:pt>
                <c:pt idx="521">
                  <c:v>0</c:v>
                </c:pt>
                <c:pt idx="522">
                  <c:v>0</c:v>
                </c:pt>
                <c:pt idx="523">
                  <c:v>0</c:v>
                </c:pt>
                <c:pt idx="524">
                  <c:v>1</c:v>
                </c:pt>
                <c:pt idx="525">
                  <c:v>0</c:v>
                </c:pt>
                <c:pt idx="526">
                  <c:v>2</c:v>
                </c:pt>
                <c:pt idx="527">
                  <c:v>1</c:v>
                </c:pt>
                <c:pt idx="528">
                  <c:v>1</c:v>
                </c:pt>
                <c:pt idx="529">
                  <c:v>0</c:v>
                </c:pt>
                <c:pt idx="530">
                  <c:v>1</c:v>
                </c:pt>
                <c:pt idx="531">
                  <c:v>0</c:v>
                </c:pt>
                <c:pt idx="532">
                  <c:v>2</c:v>
                </c:pt>
                <c:pt idx="533">
                  <c:v>0</c:v>
                </c:pt>
                <c:pt idx="534">
                  <c:v>0</c:v>
                </c:pt>
                <c:pt idx="535">
                  <c:v>1</c:v>
                </c:pt>
                <c:pt idx="536">
                  <c:v>3</c:v>
                </c:pt>
                <c:pt idx="537">
                  <c:v>2</c:v>
                </c:pt>
                <c:pt idx="538">
                  <c:v>1</c:v>
                </c:pt>
                <c:pt idx="539">
                  <c:v>0</c:v>
                </c:pt>
                <c:pt idx="540">
                  <c:v>3</c:v>
                </c:pt>
                <c:pt idx="541">
                  <c:v>2</c:v>
                </c:pt>
                <c:pt idx="542">
                  <c:v>0</c:v>
                </c:pt>
                <c:pt idx="543">
                  <c:v>0</c:v>
                </c:pt>
                <c:pt idx="544">
                  <c:v>0</c:v>
                </c:pt>
                <c:pt idx="545">
                  <c:v>2</c:v>
                </c:pt>
                <c:pt idx="546">
                  <c:v>0</c:v>
                </c:pt>
                <c:pt idx="547">
                  <c:v>2</c:v>
                </c:pt>
                <c:pt idx="548">
                  <c:v>0</c:v>
                </c:pt>
                <c:pt idx="549">
                  <c:v>0</c:v>
                </c:pt>
                <c:pt idx="550">
                  <c:v>0</c:v>
                </c:pt>
                <c:pt idx="551">
                  <c:v>0</c:v>
                </c:pt>
                <c:pt idx="552">
                  <c:v>0</c:v>
                </c:pt>
                <c:pt idx="553">
                  <c:v>2</c:v>
                </c:pt>
                <c:pt idx="554">
                  <c:v>0</c:v>
                </c:pt>
                <c:pt idx="555">
                  <c:v>2</c:v>
                </c:pt>
                <c:pt idx="556">
                  <c:v>1</c:v>
                </c:pt>
                <c:pt idx="557">
                  <c:v>0</c:v>
                </c:pt>
                <c:pt idx="558">
                  <c:v>3</c:v>
                </c:pt>
                <c:pt idx="559">
                  <c:v>0</c:v>
                </c:pt>
                <c:pt idx="560">
                  <c:v>2</c:v>
                </c:pt>
                <c:pt idx="561">
                  <c:v>0</c:v>
                </c:pt>
                <c:pt idx="562">
                  <c:v>0</c:v>
                </c:pt>
                <c:pt idx="563">
                  <c:v>1</c:v>
                </c:pt>
                <c:pt idx="564">
                  <c:v>2</c:v>
                </c:pt>
                <c:pt idx="565">
                  <c:v>0</c:v>
                </c:pt>
                <c:pt idx="566">
                  <c:v>1</c:v>
                </c:pt>
                <c:pt idx="567">
                  <c:v>2</c:v>
                </c:pt>
                <c:pt idx="568">
                  <c:v>5</c:v>
                </c:pt>
                <c:pt idx="569">
                  <c:v>2</c:v>
                </c:pt>
                <c:pt idx="570">
                  <c:v>0</c:v>
                </c:pt>
                <c:pt idx="571">
                  <c:v>1</c:v>
                </c:pt>
                <c:pt idx="572">
                  <c:v>2</c:v>
                </c:pt>
                <c:pt idx="573">
                  <c:v>1</c:v>
                </c:pt>
                <c:pt idx="574">
                  <c:v>2</c:v>
                </c:pt>
                <c:pt idx="575">
                  <c:v>0</c:v>
                </c:pt>
                <c:pt idx="576">
                  <c:v>0</c:v>
                </c:pt>
                <c:pt idx="577">
                  <c:v>1</c:v>
                </c:pt>
                <c:pt idx="578">
                  <c:v>1</c:v>
                </c:pt>
                <c:pt idx="579">
                  <c:v>0</c:v>
                </c:pt>
                <c:pt idx="580">
                  <c:v>1</c:v>
                </c:pt>
                <c:pt idx="581">
                  <c:v>0</c:v>
                </c:pt>
                <c:pt idx="582">
                  <c:v>2</c:v>
                </c:pt>
                <c:pt idx="583">
                  <c:v>1</c:v>
                </c:pt>
                <c:pt idx="584">
                  <c:v>0</c:v>
                </c:pt>
                <c:pt idx="585">
                  <c:v>1</c:v>
                </c:pt>
                <c:pt idx="586">
                  <c:v>3</c:v>
                </c:pt>
                <c:pt idx="587">
                  <c:v>1</c:v>
                </c:pt>
                <c:pt idx="588">
                  <c:v>0</c:v>
                </c:pt>
                <c:pt idx="589">
                  <c:v>1</c:v>
                </c:pt>
                <c:pt idx="590">
                  <c:v>0</c:v>
                </c:pt>
                <c:pt idx="591">
                  <c:v>1</c:v>
                </c:pt>
                <c:pt idx="592">
                  <c:v>2</c:v>
                </c:pt>
                <c:pt idx="593">
                  <c:v>1</c:v>
                </c:pt>
                <c:pt idx="594">
                  <c:v>0</c:v>
                </c:pt>
                <c:pt idx="595">
                  <c:v>1</c:v>
                </c:pt>
                <c:pt idx="596">
                  <c:v>2</c:v>
                </c:pt>
                <c:pt idx="597">
                  <c:v>1</c:v>
                </c:pt>
                <c:pt idx="598">
                  <c:v>2</c:v>
                </c:pt>
                <c:pt idx="599">
                  <c:v>2</c:v>
                </c:pt>
                <c:pt idx="600">
                  <c:v>0</c:v>
                </c:pt>
                <c:pt idx="601">
                  <c:v>0</c:v>
                </c:pt>
                <c:pt idx="602">
                  <c:v>0</c:v>
                </c:pt>
                <c:pt idx="603">
                  <c:v>3</c:v>
                </c:pt>
                <c:pt idx="604">
                  <c:v>0</c:v>
                </c:pt>
                <c:pt idx="605">
                  <c:v>0</c:v>
                </c:pt>
                <c:pt idx="606">
                  <c:v>0</c:v>
                </c:pt>
                <c:pt idx="607">
                  <c:v>0</c:v>
                </c:pt>
                <c:pt idx="608">
                  <c:v>2</c:v>
                </c:pt>
                <c:pt idx="609">
                  <c:v>2</c:v>
                </c:pt>
                <c:pt idx="610">
                  <c:v>1</c:v>
                </c:pt>
                <c:pt idx="611">
                  <c:v>2</c:v>
                </c:pt>
                <c:pt idx="612">
                  <c:v>0</c:v>
                </c:pt>
                <c:pt idx="613">
                  <c:v>3</c:v>
                </c:pt>
                <c:pt idx="614">
                  <c:v>0</c:v>
                </c:pt>
                <c:pt idx="615">
                  <c:v>1</c:v>
                </c:pt>
                <c:pt idx="616">
                  <c:v>0</c:v>
                </c:pt>
                <c:pt idx="617">
                  <c:v>2</c:v>
                </c:pt>
                <c:pt idx="618">
                  <c:v>0</c:v>
                </c:pt>
                <c:pt idx="619">
                  <c:v>0</c:v>
                </c:pt>
                <c:pt idx="620">
                  <c:v>1</c:v>
                </c:pt>
                <c:pt idx="621">
                  <c:v>4</c:v>
                </c:pt>
                <c:pt idx="622">
                  <c:v>1</c:v>
                </c:pt>
                <c:pt idx="623">
                  <c:v>0</c:v>
                </c:pt>
                <c:pt idx="624">
                  <c:v>0</c:v>
                </c:pt>
                <c:pt idx="625">
                  <c:v>0</c:v>
                </c:pt>
                <c:pt idx="626">
                  <c:v>3</c:v>
                </c:pt>
                <c:pt idx="627">
                  <c:v>1</c:v>
                </c:pt>
                <c:pt idx="628">
                  <c:v>0</c:v>
                </c:pt>
                <c:pt idx="629">
                  <c:v>0</c:v>
                </c:pt>
                <c:pt idx="630">
                  <c:v>1</c:v>
                </c:pt>
                <c:pt idx="631">
                  <c:v>0</c:v>
                </c:pt>
                <c:pt idx="632">
                  <c:v>0</c:v>
                </c:pt>
                <c:pt idx="633">
                  <c:v>2</c:v>
                </c:pt>
                <c:pt idx="634">
                  <c:v>1</c:v>
                </c:pt>
                <c:pt idx="635">
                  <c:v>0</c:v>
                </c:pt>
                <c:pt idx="636">
                  <c:v>1</c:v>
                </c:pt>
                <c:pt idx="637">
                  <c:v>2</c:v>
                </c:pt>
                <c:pt idx="638">
                  <c:v>0</c:v>
                </c:pt>
                <c:pt idx="639">
                  <c:v>4</c:v>
                </c:pt>
                <c:pt idx="640">
                  <c:v>5</c:v>
                </c:pt>
                <c:pt idx="641">
                  <c:v>3</c:v>
                </c:pt>
                <c:pt idx="642">
                  <c:v>0</c:v>
                </c:pt>
                <c:pt idx="643">
                  <c:v>3</c:v>
                </c:pt>
                <c:pt idx="644">
                  <c:v>2</c:v>
                </c:pt>
                <c:pt idx="645">
                  <c:v>3</c:v>
                </c:pt>
                <c:pt idx="646">
                  <c:v>1</c:v>
                </c:pt>
                <c:pt idx="647">
                  <c:v>3</c:v>
                </c:pt>
                <c:pt idx="648">
                  <c:v>0</c:v>
                </c:pt>
                <c:pt idx="649">
                  <c:v>0</c:v>
                </c:pt>
                <c:pt idx="650">
                  <c:v>2</c:v>
                </c:pt>
                <c:pt idx="651">
                  <c:v>1</c:v>
                </c:pt>
                <c:pt idx="652">
                  <c:v>0</c:v>
                </c:pt>
                <c:pt idx="653">
                  <c:v>2</c:v>
                </c:pt>
                <c:pt idx="654">
                  <c:v>0</c:v>
                </c:pt>
                <c:pt idx="655">
                  <c:v>2</c:v>
                </c:pt>
                <c:pt idx="656">
                  <c:v>1</c:v>
                </c:pt>
                <c:pt idx="657">
                  <c:v>2</c:v>
                </c:pt>
                <c:pt idx="658">
                  <c:v>1</c:v>
                </c:pt>
                <c:pt idx="659">
                  <c:v>4</c:v>
                </c:pt>
                <c:pt idx="660">
                  <c:v>3</c:v>
                </c:pt>
                <c:pt idx="661">
                  <c:v>1</c:v>
                </c:pt>
                <c:pt idx="662">
                  <c:v>1</c:v>
                </c:pt>
                <c:pt idx="663">
                  <c:v>0</c:v>
                </c:pt>
                <c:pt idx="664">
                  <c:v>0</c:v>
                </c:pt>
                <c:pt idx="665">
                  <c:v>2</c:v>
                </c:pt>
                <c:pt idx="666">
                  <c:v>1</c:v>
                </c:pt>
                <c:pt idx="667">
                  <c:v>2</c:v>
                </c:pt>
                <c:pt idx="668">
                  <c:v>0</c:v>
                </c:pt>
                <c:pt idx="669">
                  <c:v>1</c:v>
                </c:pt>
                <c:pt idx="670">
                  <c:v>3</c:v>
                </c:pt>
                <c:pt idx="671">
                  <c:v>0</c:v>
                </c:pt>
                <c:pt idx="672">
                  <c:v>0</c:v>
                </c:pt>
                <c:pt idx="673">
                  <c:v>0</c:v>
                </c:pt>
                <c:pt idx="674">
                  <c:v>2</c:v>
                </c:pt>
                <c:pt idx="675">
                  <c:v>0</c:v>
                </c:pt>
                <c:pt idx="676">
                  <c:v>3</c:v>
                </c:pt>
                <c:pt idx="677">
                  <c:v>3</c:v>
                </c:pt>
                <c:pt idx="678">
                  <c:v>3</c:v>
                </c:pt>
                <c:pt idx="679">
                  <c:v>2</c:v>
                </c:pt>
                <c:pt idx="680">
                  <c:v>1</c:v>
                </c:pt>
                <c:pt idx="681">
                  <c:v>0</c:v>
                </c:pt>
                <c:pt idx="682">
                  <c:v>2</c:v>
                </c:pt>
                <c:pt idx="683">
                  <c:v>0</c:v>
                </c:pt>
                <c:pt idx="684">
                  <c:v>1</c:v>
                </c:pt>
                <c:pt idx="685">
                  <c:v>2</c:v>
                </c:pt>
                <c:pt idx="686">
                  <c:v>2</c:v>
                </c:pt>
                <c:pt idx="687">
                  <c:v>0</c:v>
                </c:pt>
                <c:pt idx="688">
                  <c:v>1</c:v>
                </c:pt>
                <c:pt idx="689">
                  <c:v>1</c:v>
                </c:pt>
                <c:pt idx="690">
                  <c:v>0</c:v>
                </c:pt>
                <c:pt idx="691">
                  <c:v>1</c:v>
                </c:pt>
                <c:pt idx="692">
                  <c:v>1</c:v>
                </c:pt>
                <c:pt idx="693">
                  <c:v>0</c:v>
                </c:pt>
                <c:pt idx="694">
                  <c:v>1</c:v>
                </c:pt>
                <c:pt idx="695">
                  <c:v>0</c:v>
                </c:pt>
                <c:pt idx="696">
                  <c:v>2</c:v>
                </c:pt>
                <c:pt idx="697">
                  <c:v>1</c:v>
                </c:pt>
                <c:pt idx="698">
                  <c:v>0</c:v>
                </c:pt>
                <c:pt idx="699">
                  <c:v>2</c:v>
                </c:pt>
                <c:pt idx="700">
                  <c:v>0</c:v>
                </c:pt>
                <c:pt idx="701">
                  <c:v>0</c:v>
                </c:pt>
                <c:pt idx="702">
                  <c:v>0</c:v>
                </c:pt>
                <c:pt idx="703">
                  <c:v>1</c:v>
                </c:pt>
                <c:pt idx="704">
                  <c:v>1</c:v>
                </c:pt>
                <c:pt idx="705">
                  <c:v>2</c:v>
                </c:pt>
                <c:pt idx="706">
                  <c:v>0</c:v>
                </c:pt>
                <c:pt idx="707">
                  <c:v>3</c:v>
                </c:pt>
                <c:pt idx="708">
                  <c:v>3</c:v>
                </c:pt>
                <c:pt idx="709">
                  <c:v>0</c:v>
                </c:pt>
                <c:pt idx="710">
                  <c:v>1</c:v>
                </c:pt>
                <c:pt idx="711">
                  <c:v>2</c:v>
                </c:pt>
                <c:pt idx="712">
                  <c:v>2</c:v>
                </c:pt>
                <c:pt idx="713">
                  <c:v>0</c:v>
                </c:pt>
                <c:pt idx="714">
                  <c:v>0</c:v>
                </c:pt>
                <c:pt idx="715">
                  <c:v>0</c:v>
                </c:pt>
                <c:pt idx="716">
                  <c:v>1</c:v>
                </c:pt>
                <c:pt idx="717">
                  <c:v>1</c:v>
                </c:pt>
                <c:pt idx="718">
                  <c:v>2</c:v>
                </c:pt>
                <c:pt idx="719">
                  <c:v>0</c:v>
                </c:pt>
                <c:pt idx="720">
                  <c:v>0</c:v>
                </c:pt>
                <c:pt idx="721">
                  <c:v>3</c:v>
                </c:pt>
                <c:pt idx="722">
                  <c:v>0</c:v>
                </c:pt>
                <c:pt idx="723">
                  <c:v>0</c:v>
                </c:pt>
                <c:pt idx="724">
                  <c:v>1</c:v>
                </c:pt>
                <c:pt idx="725">
                  <c:v>3</c:v>
                </c:pt>
                <c:pt idx="726">
                  <c:v>1</c:v>
                </c:pt>
                <c:pt idx="727">
                  <c:v>1</c:v>
                </c:pt>
                <c:pt idx="728">
                  <c:v>0</c:v>
                </c:pt>
                <c:pt idx="729">
                  <c:v>1</c:v>
                </c:pt>
                <c:pt idx="730">
                  <c:v>3</c:v>
                </c:pt>
                <c:pt idx="731">
                  <c:v>1</c:v>
                </c:pt>
                <c:pt idx="732">
                  <c:v>3</c:v>
                </c:pt>
                <c:pt idx="733">
                  <c:v>1</c:v>
                </c:pt>
                <c:pt idx="734">
                  <c:v>3</c:v>
                </c:pt>
                <c:pt idx="735">
                  <c:v>1</c:v>
                </c:pt>
                <c:pt idx="736">
                  <c:v>0</c:v>
                </c:pt>
                <c:pt idx="737">
                  <c:v>2</c:v>
                </c:pt>
                <c:pt idx="738">
                  <c:v>3</c:v>
                </c:pt>
                <c:pt idx="739">
                  <c:v>2</c:v>
                </c:pt>
                <c:pt idx="740">
                  <c:v>2</c:v>
                </c:pt>
                <c:pt idx="741">
                  <c:v>0</c:v>
                </c:pt>
                <c:pt idx="742">
                  <c:v>0</c:v>
                </c:pt>
                <c:pt idx="743">
                  <c:v>0</c:v>
                </c:pt>
                <c:pt idx="744">
                  <c:v>0</c:v>
                </c:pt>
                <c:pt idx="745">
                  <c:v>1</c:v>
                </c:pt>
                <c:pt idx="746">
                  <c:v>2</c:v>
                </c:pt>
                <c:pt idx="747">
                  <c:v>0</c:v>
                </c:pt>
                <c:pt idx="748">
                  <c:v>1</c:v>
                </c:pt>
                <c:pt idx="749">
                  <c:v>0</c:v>
                </c:pt>
                <c:pt idx="750">
                  <c:v>0</c:v>
                </c:pt>
                <c:pt idx="751">
                  <c:v>0</c:v>
                </c:pt>
                <c:pt idx="752">
                  <c:v>0</c:v>
                </c:pt>
                <c:pt idx="753">
                  <c:v>0</c:v>
                </c:pt>
                <c:pt idx="754">
                  <c:v>4</c:v>
                </c:pt>
                <c:pt idx="755">
                  <c:v>2</c:v>
                </c:pt>
                <c:pt idx="756">
                  <c:v>3</c:v>
                </c:pt>
                <c:pt idx="757">
                  <c:v>0</c:v>
                </c:pt>
                <c:pt idx="758">
                  <c:v>3</c:v>
                </c:pt>
                <c:pt idx="759">
                  <c:v>0</c:v>
                </c:pt>
                <c:pt idx="760">
                  <c:v>2</c:v>
                </c:pt>
                <c:pt idx="761">
                  <c:v>1</c:v>
                </c:pt>
                <c:pt idx="762">
                  <c:v>1</c:v>
                </c:pt>
                <c:pt idx="763">
                  <c:v>0</c:v>
                </c:pt>
                <c:pt idx="764">
                  <c:v>2</c:v>
                </c:pt>
                <c:pt idx="765">
                  <c:v>0</c:v>
                </c:pt>
                <c:pt idx="766">
                  <c:v>1</c:v>
                </c:pt>
                <c:pt idx="767">
                  <c:v>1</c:v>
                </c:pt>
                <c:pt idx="768">
                  <c:v>0</c:v>
                </c:pt>
                <c:pt idx="769">
                  <c:v>2</c:v>
                </c:pt>
                <c:pt idx="770">
                  <c:v>3</c:v>
                </c:pt>
                <c:pt idx="771">
                  <c:v>2</c:v>
                </c:pt>
                <c:pt idx="772">
                  <c:v>0</c:v>
                </c:pt>
                <c:pt idx="773">
                  <c:v>0</c:v>
                </c:pt>
                <c:pt idx="774">
                  <c:v>2</c:v>
                </c:pt>
                <c:pt idx="775">
                  <c:v>3</c:v>
                </c:pt>
                <c:pt idx="776">
                  <c:v>2</c:v>
                </c:pt>
                <c:pt idx="777">
                  <c:v>0</c:v>
                </c:pt>
                <c:pt idx="778">
                  <c:v>3</c:v>
                </c:pt>
                <c:pt idx="779">
                  <c:v>0</c:v>
                </c:pt>
                <c:pt idx="780">
                  <c:v>3</c:v>
                </c:pt>
                <c:pt idx="781">
                  <c:v>0</c:v>
                </c:pt>
                <c:pt idx="782">
                  <c:v>1</c:v>
                </c:pt>
                <c:pt idx="783">
                  <c:v>1</c:v>
                </c:pt>
                <c:pt idx="784">
                  <c:v>1</c:v>
                </c:pt>
                <c:pt idx="785">
                  <c:v>3</c:v>
                </c:pt>
                <c:pt idx="786">
                  <c:v>0</c:v>
                </c:pt>
                <c:pt idx="787">
                  <c:v>0</c:v>
                </c:pt>
                <c:pt idx="788">
                  <c:v>3</c:v>
                </c:pt>
                <c:pt idx="789">
                  <c:v>0</c:v>
                </c:pt>
                <c:pt idx="790">
                  <c:v>0</c:v>
                </c:pt>
                <c:pt idx="791">
                  <c:v>0</c:v>
                </c:pt>
                <c:pt idx="792">
                  <c:v>0</c:v>
                </c:pt>
                <c:pt idx="793">
                  <c:v>0</c:v>
                </c:pt>
                <c:pt idx="794">
                  <c:v>2</c:v>
                </c:pt>
                <c:pt idx="795">
                  <c:v>0</c:v>
                </c:pt>
                <c:pt idx="796">
                  <c:v>2</c:v>
                </c:pt>
                <c:pt idx="797">
                  <c:v>1</c:v>
                </c:pt>
                <c:pt idx="798">
                  <c:v>0</c:v>
                </c:pt>
                <c:pt idx="799">
                  <c:v>0</c:v>
                </c:pt>
                <c:pt idx="800">
                  <c:v>1</c:v>
                </c:pt>
                <c:pt idx="801">
                  <c:v>0</c:v>
                </c:pt>
                <c:pt idx="802">
                  <c:v>1</c:v>
                </c:pt>
                <c:pt idx="803">
                  <c:v>0</c:v>
                </c:pt>
                <c:pt idx="804">
                  <c:v>0</c:v>
                </c:pt>
                <c:pt idx="805">
                  <c:v>0</c:v>
                </c:pt>
                <c:pt idx="806">
                  <c:v>1</c:v>
                </c:pt>
                <c:pt idx="807">
                  <c:v>0</c:v>
                </c:pt>
                <c:pt idx="808">
                  <c:v>0</c:v>
                </c:pt>
                <c:pt idx="809">
                  <c:v>1</c:v>
                </c:pt>
                <c:pt idx="810">
                  <c:v>3</c:v>
                </c:pt>
                <c:pt idx="811">
                  <c:v>3</c:v>
                </c:pt>
                <c:pt idx="812">
                  <c:v>2</c:v>
                </c:pt>
                <c:pt idx="813">
                  <c:v>2</c:v>
                </c:pt>
                <c:pt idx="814">
                  <c:v>2</c:v>
                </c:pt>
                <c:pt idx="815">
                  <c:v>0</c:v>
                </c:pt>
                <c:pt idx="816">
                  <c:v>0</c:v>
                </c:pt>
                <c:pt idx="817">
                  <c:v>3</c:v>
                </c:pt>
                <c:pt idx="818">
                  <c:v>1</c:v>
                </c:pt>
                <c:pt idx="819">
                  <c:v>0</c:v>
                </c:pt>
                <c:pt idx="820">
                  <c:v>1</c:v>
                </c:pt>
                <c:pt idx="821">
                  <c:v>0</c:v>
                </c:pt>
                <c:pt idx="822">
                  <c:v>0</c:v>
                </c:pt>
                <c:pt idx="823">
                  <c:v>2</c:v>
                </c:pt>
                <c:pt idx="824">
                  <c:v>0</c:v>
                </c:pt>
                <c:pt idx="825">
                  <c:v>2</c:v>
                </c:pt>
                <c:pt idx="826">
                  <c:v>2</c:v>
                </c:pt>
                <c:pt idx="827">
                  <c:v>1</c:v>
                </c:pt>
                <c:pt idx="828">
                  <c:v>3</c:v>
                </c:pt>
                <c:pt idx="829">
                  <c:v>1</c:v>
                </c:pt>
                <c:pt idx="830">
                  <c:v>0</c:v>
                </c:pt>
                <c:pt idx="831">
                  <c:v>0</c:v>
                </c:pt>
                <c:pt idx="832">
                  <c:v>2</c:v>
                </c:pt>
                <c:pt idx="833">
                  <c:v>0</c:v>
                </c:pt>
                <c:pt idx="834">
                  <c:v>1</c:v>
                </c:pt>
                <c:pt idx="835">
                  <c:v>2</c:v>
                </c:pt>
                <c:pt idx="836">
                  <c:v>0</c:v>
                </c:pt>
                <c:pt idx="837">
                  <c:v>0</c:v>
                </c:pt>
                <c:pt idx="838">
                  <c:v>2</c:v>
                </c:pt>
                <c:pt idx="839">
                  <c:v>0</c:v>
                </c:pt>
                <c:pt idx="840">
                  <c:v>0</c:v>
                </c:pt>
                <c:pt idx="841">
                  <c:v>0</c:v>
                </c:pt>
                <c:pt idx="842">
                  <c:v>2</c:v>
                </c:pt>
                <c:pt idx="843">
                  <c:v>0</c:v>
                </c:pt>
                <c:pt idx="844">
                  <c:v>0</c:v>
                </c:pt>
                <c:pt idx="845">
                  <c:v>0</c:v>
                </c:pt>
                <c:pt idx="846">
                  <c:v>1</c:v>
                </c:pt>
                <c:pt idx="847">
                  <c:v>1</c:v>
                </c:pt>
                <c:pt idx="848">
                  <c:v>0</c:v>
                </c:pt>
                <c:pt idx="849">
                  <c:v>0</c:v>
                </c:pt>
                <c:pt idx="850">
                  <c:v>0</c:v>
                </c:pt>
                <c:pt idx="851">
                  <c:v>2</c:v>
                </c:pt>
                <c:pt idx="852">
                  <c:v>0</c:v>
                </c:pt>
                <c:pt idx="853">
                  <c:v>2</c:v>
                </c:pt>
                <c:pt idx="854">
                  <c:v>3</c:v>
                </c:pt>
                <c:pt idx="855">
                  <c:v>0</c:v>
                </c:pt>
                <c:pt idx="856">
                  <c:v>0</c:v>
                </c:pt>
                <c:pt idx="857">
                  <c:v>0</c:v>
                </c:pt>
                <c:pt idx="858">
                  <c:v>1</c:v>
                </c:pt>
                <c:pt idx="859">
                  <c:v>0</c:v>
                </c:pt>
                <c:pt idx="860">
                  <c:v>2</c:v>
                </c:pt>
                <c:pt idx="861">
                  <c:v>3</c:v>
                </c:pt>
                <c:pt idx="862">
                  <c:v>2</c:v>
                </c:pt>
                <c:pt idx="863">
                  <c:v>0</c:v>
                </c:pt>
                <c:pt idx="864">
                  <c:v>0</c:v>
                </c:pt>
                <c:pt idx="865">
                  <c:v>2</c:v>
                </c:pt>
                <c:pt idx="866">
                  <c:v>0</c:v>
                </c:pt>
                <c:pt idx="867">
                  <c:v>1</c:v>
                </c:pt>
                <c:pt idx="868">
                  <c:v>0</c:v>
                </c:pt>
                <c:pt idx="869">
                  <c:v>3</c:v>
                </c:pt>
                <c:pt idx="870">
                  <c:v>0</c:v>
                </c:pt>
                <c:pt idx="871">
                  <c:v>1</c:v>
                </c:pt>
                <c:pt idx="872">
                  <c:v>0</c:v>
                </c:pt>
                <c:pt idx="873">
                  <c:v>1</c:v>
                </c:pt>
                <c:pt idx="874">
                  <c:v>3</c:v>
                </c:pt>
                <c:pt idx="875">
                  <c:v>0</c:v>
                </c:pt>
                <c:pt idx="876">
                  <c:v>1</c:v>
                </c:pt>
                <c:pt idx="877">
                  <c:v>5</c:v>
                </c:pt>
                <c:pt idx="878">
                  <c:v>1</c:v>
                </c:pt>
                <c:pt idx="879">
                  <c:v>2</c:v>
                </c:pt>
                <c:pt idx="880">
                  <c:v>3</c:v>
                </c:pt>
                <c:pt idx="881">
                  <c:v>1</c:v>
                </c:pt>
                <c:pt idx="882">
                  <c:v>0</c:v>
                </c:pt>
                <c:pt idx="883">
                  <c:v>3</c:v>
                </c:pt>
                <c:pt idx="884">
                  <c:v>4</c:v>
                </c:pt>
                <c:pt idx="885">
                  <c:v>1</c:v>
                </c:pt>
                <c:pt idx="886">
                  <c:v>0</c:v>
                </c:pt>
                <c:pt idx="887">
                  <c:v>0</c:v>
                </c:pt>
                <c:pt idx="888">
                  <c:v>0</c:v>
                </c:pt>
                <c:pt idx="889">
                  <c:v>1</c:v>
                </c:pt>
                <c:pt idx="890">
                  <c:v>0</c:v>
                </c:pt>
                <c:pt idx="891">
                  <c:v>4</c:v>
                </c:pt>
                <c:pt idx="892">
                  <c:v>0</c:v>
                </c:pt>
                <c:pt idx="893">
                  <c:v>2</c:v>
                </c:pt>
                <c:pt idx="894">
                  <c:v>0</c:v>
                </c:pt>
                <c:pt idx="895">
                  <c:v>0</c:v>
                </c:pt>
                <c:pt idx="896">
                  <c:v>2</c:v>
                </c:pt>
                <c:pt idx="897">
                  <c:v>1</c:v>
                </c:pt>
                <c:pt idx="898">
                  <c:v>0</c:v>
                </c:pt>
                <c:pt idx="899">
                  <c:v>0</c:v>
                </c:pt>
                <c:pt idx="900">
                  <c:v>0</c:v>
                </c:pt>
                <c:pt idx="901">
                  <c:v>0</c:v>
                </c:pt>
                <c:pt idx="902">
                  <c:v>3</c:v>
                </c:pt>
                <c:pt idx="903">
                  <c:v>0</c:v>
                </c:pt>
                <c:pt idx="904">
                  <c:v>0</c:v>
                </c:pt>
                <c:pt idx="905">
                  <c:v>2</c:v>
                </c:pt>
                <c:pt idx="906">
                  <c:v>3</c:v>
                </c:pt>
                <c:pt idx="907">
                  <c:v>1</c:v>
                </c:pt>
                <c:pt idx="908">
                  <c:v>3</c:v>
                </c:pt>
                <c:pt idx="909">
                  <c:v>0</c:v>
                </c:pt>
                <c:pt idx="910">
                  <c:v>1</c:v>
                </c:pt>
                <c:pt idx="911">
                  <c:v>0</c:v>
                </c:pt>
                <c:pt idx="912">
                  <c:v>3</c:v>
                </c:pt>
                <c:pt idx="913">
                  <c:v>1</c:v>
                </c:pt>
                <c:pt idx="914">
                  <c:v>2</c:v>
                </c:pt>
                <c:pt idx="915">
                  <c:v>0</c:v>
                </c:pt>
                <c:pt idx="916">
                  <c:v>0</c:v>
                </c:pt>
                <c:pt idx="917">
                  <c:v>0</c:v>
                </c:pt>
                <c:pt idx="918">
                  <c:v>0</c:v>
                </c:pt>
                <c:pt idx="919">
                  <c:v>1</c:v>
                </c:pt>
                <c:pt idx="920">
                  <c:v>0</c:v>
                </c:pt>
                <c:pt idx="921">
                  <c:v>0</c:v>
                </c:pt>
                <c:pt idx="922">
                  <c:v>1</c:v>
                </c:pt>
                <c:pt idx="923">
                  <c:v>0</c:v>
                </c:pt>
                <c:pt idx="924">
                  <c:v>0</c:v>
                </c:pt>
                <c:pt idx="925">
                  <c:v>2</c:v>
                </c:pt>
                <c:pt idx="926">
                  <c:v>2</c:v>
                </c:pt>
                <c:pt idx="927">
                  <c:v>1</c:v>
                </c:pt>
                <c:pt idx="928">
                  <c:v>0</c:v>
                </c:pt>
                <c:pt idx="929">
                  <c:v>1</c:v>
                </c:pt>
                <c:pt idx="930">
                  <c:v>1</c:v>
                </c:pt>
                <c:pt idx="931">
                  <c:v>1</c:v>
                </c:pt>
                <c:pt idx="932">
                  <c:v>5</c:v>
                </c:pt>
                <c:pt idx="933">
                  <c:v>0</c:v>
                </c:pt>
                <c:pt idx="934">
                  <c:v>2</c:v>
                </c:pt>
                <c:pt idx="935">
                  <c:v>0</c:v>
                </c:pt>
                <c:pt idx="936">
                  <c:v>2</c:v>
                </c:pt>
                <c:pt idx="937">
                  <c:v>5</c:v>
                </c:pt>
                <c:pt idx="938">
                  <c:v>2</c:v>
                </c:pt>
                <c:pt idx="939">
                  <c:v>0</c:v>
                </c:pt>
                <c:pt idx="940">
                  <c:v>0</c:v>
                </c:pt>
                <c:pt idx="941">
                  <c:v>1</c:v>
                </c:pt>
                <c:pt idx="942">
                  <c:v>0</c:v>
                </c:pt>
                <c:pt idx="943">
                  <c:v>0</c:v>
                </c:pt>
                <c:pt idx="944">
                  <c:v>0</c:v>
                </c:pt>
                <c:pt idx="945">
                  <c:v>1</c:v>
                </c:pt>
                <c:pt idx="946">
                  <c:v>2</c:v>
                </c:pt>
                <c:pt idx="947">
                  <c:v>1</c:v>
                </c:pt>
                <c:pt idx="948">
                  <c:v>0</c:v>
                </c:pt>
                <c:pt idx="949">
                  <c:v>3</c:v>
                </c:pt>
                <c:pt idx="950">
                  <c:v>0</c:v>
                </c:pt>
                <c:pt idx="951">
                  <c:v>2</c:v>
                </c:pt>
                <c:pt idx="952">
                  <c:v>1</c:v>
                </c:pt>
                <c:pt idx="953">
                  <c:v>2</c:v>
                </c:pt>
                <c:pt idx="954">
                  <c:v>1</c:v>
                </c:pt>
                <c:pt idx="955">
                  <c:v>1</c:v>
                </c:pt>
                <c:pt idx="956">
                  <c:v>1</c:v>
                </c:pt>
                <c:pt idx="957">
                  <c:v>1</c:v>
                </c:pt>
                <c:pt idx="958">
                  <c:v>1</c:v>
                </c:pt>
                <c:pt idx="959">
                  <c:v>1</c:v>
                </c:pt>
                <c:pt idx="960">
                  <c:v>1</c:v>
                </c:pt>
                <c:pt idx="961">
                  <c:v>0</c:v>
                </c:pt>
                <c:pt idx="962">
                  <c:v>1</c:v>
                </c:pt>
                <c:pt idx="963">
                  <c:v>3</c:v>
                </c:pt>
                <c:pt idx="964">
                  <c:v>2</c:v>
                </c:pt>
                <c:pt idx="965">
                  <c:v>1</c:v>
                </c:pt>
                <c:pt idx="966">
                  <c:v>2</c:v>
                </c:pt>
                <c:pt idx="967">
                  <c:v>1</c:v>
                </c:pt>
                <c:pt idx="968">
                  <c:v>2</c:v>
                </c:pt>
                <c:pt idx="969">
                  <c:v>5</c:v>
                </c:pt>
                <c:pt idx="970">
                  <c:v>3</c:v>
                </c:pt>
                <c:pt idx="971">
                  <c:v>0</c:v>
                </c:pt>
                <c:pt idx="972">
                  <c:v>0</c:v>
                </c:pt>
                <c:pt idx="973">
                  <c:v>0</c:v>
                </c:pt>
                <c:pt idx="974">
                  <c:v>0</c:v>
                </c:pt>
                <c:pt idx="975">
                  <c:v>0</c:v>
                </c:pt>
                <c:pt idx="976">
                  <c:v>0</c:v>
                </c:pt>
                <c:pt idx="977">
                  <c:v>1</c:v>
                </c:pt>
                <c:pt idx="978">
                  <c:v>3</c:v>
                </c:pt>
                <c:pt idx="979">
                  <c:v>0</c:v>
                </c:pt>
                <c:pt idx="980">
                  <c:v>1</c:v>
                </c:pt>
                <c:pt idx="981">
                  <c:v>0</c:v>
                </c:pt>
                <c:pt idx="982">
                  <c:v>3</c:v>
                </c:pt>
                <c:pt idx="983">
                  <c:v>1</c:v>
                </c:pt>
                <c:pt idx="984">
                  <c:v>5</c:v>
                </c:pt>
                <c:pt idx="985">
                  <c:v>1</c:v>
                </c:pt>
                <c:pt idx="986">
                  <c:v>3</c:v>
                </c:pt>
                <c:pt idx="987">
                  <c:v>1</c:v>
                </c:pt>
                <c:pt idx="988">
                  <c:v>0</c:v>
                </c:pt>
                <c:pt idx="989">
                  <c:v>0</c:v>
                </c:pt>
                <c:pt idx="990">
                  <c:v>1</c:v>
                </c:pt>
                <c:pt idx="991">
                  <c:v>2</c:v>
                </c:pt>
                <c:pt idx="992">
                  <c:v>2</c:v>
                </c:pt>
                <c:pt idx="993">
                  <c:v>1</c:v>
                </c:pt>
                <c:pt idx="994">
                  <c:v>3</c:v>
                </c:pt>
                <c:pt idx="995">
                  <c:v>3</c:v>
                </c:pt>
                <c:pt idx="996">
                  <c:v>3</c:v>
                </c:pt>
                <c:pt idx="997">
                  <c:v>0</c:v>
                </c:pt>
                <c:pt idx="998">
                  <c:v>3</c:v>
                </c:pt>
                <c:pt idx="999">
                  <c:v>0</c:v>
                </c:pt>
                <c:pt idx="1000">
                  <c:v>2</c:v>
                </c:pt>
                <c:pt idx="1001">
                  <c:v>0</c:v>
                </c:pt>
                <c:pt idx="1002">
                  <c:v>0</c:v>
                </c:pt>
                <c:pt idx="1003">
                  <c:v>0</c:v>
                </c:pt>
                <c:pt idx="1004">
                  <c:v>1</c:v>
                </c:pt>
                <c:pt idx="1005">
                  <c:v>2</c:v>
                </c:pt>
                <c:pt idx="1006">
                  <c:v>2</c:v>
                </c:pt>
                <c:pt idx="1007">
                  <c:v>3</c:v>
                </c:pt>
                <c:pt idx="1008">
                  <c:v>2</c:v>
                </c:pt>
                <c:pt idx="1009">
                  <c:v>1</c:v>
                </c:pt>
                <c:pt idx="1010">
                  <c:v>0</c:v>
                </c:pt>
                <c:pt idx="1011">
                  <c:v>2</c:v>
                </c:pt>
                <c:pt idx="1012">
                  <c:v>4</c:v>
                </c:pt>
                <c:pt idx="1013">
                  <c:v>1</c:v>
                </c:pt>
                <c:pt idx="1014">
                  <c:v>0</c:v>
                </c:pt>
                <c:pt idx="1015">
                  <c:v>0</c:v>
                </c:pt>
                <c:pt idx="1016">
                  <c:v>1</c:v>
                </c:pt>
                <c:pt idx="1017">
                  <c:v>2</c:v>
                </c:pt>
                <c:pt idx="1018">
                  <c:v>3</c:v>
                </c:pt>
                <c:pt idx="1019">
                  <c:v>2</c:v>
                </c:pt>
                <c:pt idx="1020">
                  <c:v>0</c:v>
                </c:pt>
                <c:pt idx="1021">
                  <c:v>3</c:v>
                </c:pt>
                <c:pt idx="1022">
                  <c:v>1</c:v>
                </c:pt>
                <c:pt idx="1023">
                  <c:v>1</c:v>
                </c:pt>
                <c:pt idx="1024">
                  <c:v>1</c:v>
                </c:pt>
                <c:pt idx="1025">
                  <c:v>0</c:v>
                </c:pt>
                <c:pt idx="1026">
                  <c:v>1</c:v>
                </c:pt>
                <c:pt idx="1027">
                  <c:v>0</c:v>
                </c:pt>
                <c:pt idx="1028">
                  <c:v>0</c:v>
                </c:pt>
                <c:pt idx="1029">
                  <c:v>2</c:v>
                </c:pt>
                <c:pt idx="1030">
                  <c:v>1</c:v>
                </c:pt>
                <c:pt idx="1031">
                  <c:v>0</c:v>
                </c:pt>
                <c:pt idx="1032">
                  <c:v>0</c:v>
                </c:pt>
                <c:pt idx="1033">
                  <c:v>0</c:v>
                </c:pt>
                <c:pt idx="1034">
                  <c:v>0</c:v>
                </c:pt>
                <c:pt idx="1035">
                  <c:v>3</c:v>
                </c:pt>
                <c:pt idx="1036">
                  <c:v>2</c:v>
                </c:pt>
                <c:pt idx="1037">
                  <c:v>1</c:v>
                </c:pt>
                <c:pt idx="1038">
                  <c:v>0</c:v>
                </c:pt>
                <c:pt idx="1039">
                  <c:v>2</c:v>
                </c:pt>
                <c:pt idx="1040">
                  <c:v>0</c:v>
                </c:pt>
                <c:pt idx="1041">
                  <c:v>0</c:v>
                </c:pt>
                <c:pt idx="1042">
                  <c:v>0</c:v>
                </c:pt>
                <c:pt idx="1043">
                  <c:v>0</c:v>
                </c:pt>
                <c:pt idx="1044">
                  <c:v>1</c:v>
                </c:pt>
                <c:pt idx="1045">
                  <c:v>2</c:v>
                </c:pt>
                <c:pt idx="1046">
                  <c:v>0</c:v>
                </c:pt>
                <c:pt idx="1047">
                  <c:v>1</c:v>
                </c:pt>
                <c:pt idx="1048">
                  <c:v>1</c:v>
                </c:pt>
                <c:pt idx="1049">
                  <c:v>0</c:v>
                </c:pt>
                <c:pt idx="1050">
                  <c:v>1</c:v>
                </c:pt>
                <c:pt idx="1051">
                  <c:v>0</c:v>
                </c:pt>
                <c:pt idx="1052">
                  <c:v>1</c:v>
                </c:pt>
                <c:pt idx="1053">
                  <c:v>3</c:v>
                </c:pt>
                <c:pt idx="1054">
                  <c:v>0</c:v>
                </c:pt>
                <c:pt idx="1055">
                  <c:v>0</c:v>
                </c:pt>
                <c:pt idx="1056">
                  <c:v>0</c:v>
                </c:pt>
                <c:pt idx="1057">
                  <c:v>0</c:v>
                </c:pt>
                <c:pt idx="1058">
                  <c:v>0</c:v>
                </c:pt>
                <c:pt idx="1059">
                  <c:v>1</c:v>
                </c:pt>
                <c:pt idx="1060">
                  <c:v>0</c:v>
                </c:pt>
                <c:pt idx="1061">
                  <c:v>1</c:v>
                </c:pt>
                <c:pt idx="1062">
                  <c:v>1</c:v>
                </c:pt>
                <c:pt idx="1063">
                  <c:v>3</c:v>
                </c:pt>
                <c:pt idx="1064">
                  <c:v>4</c:v>
                </c:pt>
                <c:pt idx="1065">
                  <c:v>1</c:v>
                </c:pt>
                <c:pt idx="1066">
                  <c:v>2</c:v>
                </c:pt>
                <c:pt idx="1067">
                  <c:v>0</c:v>
                </c:pt>
                <c:pt idx="1068">
                  <c:v>1</c:v>
                </c:pt>
                <c:pt idx="1069">
                  <c:v>1</c:v>
                </c:pt>
                <c:pt idx="1070">
                  <c:v>1</c:v>
                </c:pt>
                <c:pt idx="1071">
                  <c:v>0</c:v>
                </c:pt>
                <c:pt idx="1072">
                  <c:v>0</c:v>
                </c:pt>
                <c:pt idx="1073">
                  <c:v>2</c:v>
                </c:pt>
                <c:pt idx="1074">
                  <c:v>0</c:v>
                </c:pt>
                <c:pt idx="1075">
                  <c:v>1</c:v>
                </c:pt>
                <c:pt idx="1076">
                  <c:v>1</c:v>
                </c:pt>
                <c:pt idx="1077">
                  <c:v>0</c:v>
                </c:pt>
                <c:pt idx="1078">
                  <c:v>0</c:v>
                </c:pt>
                <c:pt idx="1079">
                  <c:v>3</c:v>
                </c:pt>
                <c:pt idx="1080">
                  <c:v>2</c:v>
                </c:pt>
                <c:pt idx="1081">
                  <c:v>1</c:v>
                </c:pt>
                <c:pt idx="1082">
                  <c:v>1</c:v>
                </c:pt>
                <c:pt idx="1083">
                  <c:v>1</c:v>
                </c:pt>
                <c:pt idx="1084">
                  <c:v>2</c:v>
                </c:pt>
                <c:pt idx="1085">
                  <c:v>5</c:v>
                </c:pt>
                <c:pt idx="1086">
                  <c:v>0</c:v>
                </c:pt>
                <c:pt idx="1087">
                  <c:v>0</c:v>
                </c:pt>
                <c:pt idx="1088">
                  <c:v>1</c:v>
                </c:pt>
                <c:pt idx="1089">
                  <c:v>0</c:v>
                </c:pt>
                <c:pt idx="1090">
                  <c:v>0</c:v>
                </c:pt>
                <c:pt idx="1091">
                  <c:v>0</c:v>
                </c:pt>
                <c:pt idx="1092">
                  <c:v>3</c:v>
                </c:pt>
                <c:pt idx="1093">
                  <c:v>0</c:v>
                </c:pt>
                <c:pt idx="1094">
                  <c:v>4</c:v>
                </c:pt>
                <c:pt idx="1095">
                  <c:v>4</c:v>
                </c:pt>
                <c:pt idx="1096">
                  <c:v>2</c:v>
                </c:pt>
                <c:pt idx="1097">
                  <c:v>0</c:v>
                </c:pt>
                <c:pt idx="1098">
                  <c:v>0</c:v>
                </c:pt>
                <c:pt idx="1099">
                  <c:v>1</c:v>
                </c:pt>
                <c:pt idx="1100">
                  <c:v>2</c:v>
                </c:pt>
                <c:pt idx="1101">
                  <c:v>3</c:v>
                </c:pt>
                <c:pt idx="1102">
                  <c:v>1</c:v>
                </c:pt>
                <c:pt idx="1103">
                  <c:v>0</c:v>
                </c:pt>
                <c:pt idx="1104">
                  <c:v>0</c:v>
                </c:pt>
                <c:pt idx="1105">
                  <c:v>0</c:v>
                </c:pt>
                <c:pt idx="1106">
                  <c:v>0</c:v>
                </c:pt>
                <c:pt idx="1107">
                  <c:v>2</c:v>
                </c:pt>
                <c:pt idx="1108">
                  <c:v>1</c:v>
                </c:pt>
                <c:pt idx="1109">
                  <c:v>3</c:v>
                </c:pt>
                <c:pt idx="1110">
                  <c:v>1</c:v>
                </c:pt>
                <c:pt idx="1111">
                  <c:v>3</c:v>
                </c:pt>
                <c:pt idx="1112">
                  <c:v>3</c:v>
                </c:pt>
                <c:pt idx="1113">
                  <c:v>3</c:v>
                </c:pt>
                <c:pt idx="1114">
                  <c:v>0</c:v>
                </c:pt>
                <c:pt idx="1115">
                  <c:v>1</c:v>
                </c:pt>
                <c:pt idx="1116">
                  <c:v>5</c:v>
                </c:pt>
                <c:pt idx="1117">
                  <c:v>2</c:v>
                </c:pt>
                <c:pt idx="1118">
                  <c:v>1</c:v>
                </c:pt>
                <c:pt idx="1119">
                  <c:v>3</c:v>
                </c:pt>
                <c:pt idx="1120">
                  <c:v>0</c:v>
                </c:pt>
                <c:pt idx="1121">
                  <c:v>2</c:v>
                </c:pt>
                <c:pt idx="1122">
                  <c:v>3</c:v>
                </c:pt>
                <c:pt idx="1123">
                  <c:v>1</c:v>
                </c:pt>
                <c:pt idx="1124">
                  <c:v>1</c:v>
                </c:pt>
                <c:pt idx="1125">
                  <c:v>0</c:v>
                </c:pt>
                <c:pt idx="1126">
                  <c:v>0</c:v>
                </c:pt>
                <c:pt idx="1127">
                  <c:v>2</c:v>
                </c:pt>
                <c:pt idx="1128">
                  <c:v>1</c:v>
                </c:pt>
                <c:pt idx="1129">
                  <c:v>0</c:v>
                </c:pt>
                <c:pt idx="1130">
                  <c:v>5</c:v>
                </c:pt>
                <c:pt idx="1131">
                  <c:v>2</c:v>
                </c:pt>
                <c:pt idx="1132">
                  <c:v>0</c:v>
                </c:pt>
                <c:pt idx="1133">
                  <c:v>0</c:v>
                </c:pt>
                <c:pt idx="1134">
                  <c:v>0</c:v>
                </c:pt>
                <c:pt idx="1135">
                  <c:v>3</c:v>
                </c:pt>
                <c:pt idx="1136">
                  <c:v>1</c:v>
                </c:pt>
                <c:pt idx="1137">
                  <c:v>0</c:v>
                </c:pt>
                <c:pt idx="1138">
                  <c:v>0</c:v>
                </c:pt>
                <c:pt idx="1139">
                  <c:v>0</c:v>
                </c:pt>
                <c:pt idx="1140">
                  <c:v>1</c:v>
                </c:pt>
                <c:pt idx="1141">
                  <c:v>3</c:v>
                </c:pt>
                <c:pt idx="1142">
                  <c:v>0</c:v>
                </c:pt>
                <c:pt idx="1143">
                  <c:v>2</c:v>
                </c:pt>
                <c:pt idx="1144">
                  <c:v>2</c:v>
                </c:pt>
                <c:pt idx="1145">
                  <c:v>3</c:v>
                </c:pt>
                <c:pt idx="1146">
                  <c:v>0</c:v>
                </c:pt>
                <c:pt idx="1147">
                  <c:v>0</c:v>
                </c:pt>
                <c:pt idx="1148">
                  <c:v>1</c:v>
                </c:pt>
                <c:pt idx="1149">
                  <c:v>0</c:v>
                </c:pt>
                <c:pt idx="1150">
                  <c:v>0</c:v>
                </c:pt>
                <c:pt idx="1151">
                  <c:v>0</c:v>
                </c:pt>
                <c:pt idx="1152">
                  <c:v>3</c:v>
                </c:pt>
                <c:pt idx="1153">
                  <c:v>1</c:v>
                </c:pt>
                <c:pt idx="1154">
                  <c:v>4</c:v>
                </c:pt>
                <c:pt idx="1155">
                  <c:v>3</c:v>
                </c:pt>
                <c:pt idx="1156">
                  <c:v>0</c:v>
                </c:pt>
                <c:pt idx="1157">
                  <c:v>2</c:v>
                </c:pt>
                <c:pt idx="1158">
                  <c:v>0</c:v>
                </c:pt>
                <c:pt idx="1159">
                  <c:v>0</c:v>
                </c:pt>
                <c:pt idx="1160">
                  <c:v>1</c:v>
                </c:pt>
                <c:pt idx="1161">
                  <c:v>2</c:v>
                </c:pt>
                <c:pt idx="1162">
                  <c:v>1</c:v>
                </c:pt>
                <c:pt idx="1163">
                  <c:v>0</c:v>
                </c:pt>
                <c:pt idx="1164">
                  <c:v>1</c:v>
                </c:pt>
                <c:pt idx="1165">
                  <c:v>0</c:v>
                </c:pt>
                <c:pt idx="1166">
                  <c:v>0</c:v>
                </c:pt>
                <c:pt idx="1167">
                  <c:v>2</c:v>
                </c:pt>
                <c:pt idx="1168">
                  <c:v>2</c:v>
                </c:pt>
                <c:pt idx="1169">
                  <c:v>1</c:v>
                </c:pt>
                <c:pt idx="1170">
                  <c:v>1</c:v>
                </c:pt>
                <c:pt idx="1171">
                  <c:v>2</c:v>
                </c:pt>
                <c:pt idx="1172">
                  <c:v>0</c:v>
                </c:pt>
                <c:pt idx="1173">
                  <c:v>2</c:v>
                </c:pt>
                <c:pt idx="1174">
                  <c:v>2</c:v>
                </c:pt>
                <c:pt idx="1175">
                  <c:v>0</c:v>
                </c:pt>
                <c:pt idx="1176">
                  <c:v>1</c:v>
                </c:pt>
                <c:pt idx="1177">
                  <c:v>1</c:v>
                </c:pt>
                <c:pt idx="1178">
                  <c:v>0</c:v>
                </c:pt>
                <c:pt idx="1179">
                  <c:v>0</c:v>
                </c:pt>
                <c:pt idx="1180">
                  <c:v>1</c:v>
                </c:pt>
                <c:pt idx="1181">
                  <c:v>0</c:v>
                </c:pt>
                <c:pt idx="1182">
                  <c:v>0</c:v>
                </c:pt>
                <c:pt idx="1183">
                  <c:v>1</c:v>
                </c:pt>
                <c:pt idx="1184">
                  <c:v>1</c:v>
                </c:pt>
                <c:pt idx="1185">
                  <c:v>2</c:v>
                </c:pt>
                <c:pt idx="1186">
                  <c:v>3</c:v>
                </c:pt>
                <c:pt idx="1187">
                  <c:v>0</c:v>
                </c:pt>
                <c:pt idx="1188">
                  <c:v>1</c:v>
                </c:pt>
                <c:pt idx="1189">
                  <c:v>0</c:v>
                </c:pt>
                <c:pt idx="1190">
                  <c:v>2</c:v>
                </c:pt>
                <c:pt idx="1191">
                  <c:v>1</c:v>
                </c:pt>
                <c:pt idx="1192">
                  <c:v>1</c:v>
                </c:pt>
                <c:pt idx="1193">
                  <c:v>0</c:v>
                </c:pt>
                <c:pt idx="1194">
                  <c:v>0</c:v>
                </c:pt>
                <c:pt idx="1195">
                  <c:v>3</c:v>
                </c:pt>
                <c:pt idx="1196">
                  <c:v>0</c:v>
                </c:pt>
                <c:pt idx="1197">
                  <c:v>0</c:v>
                </c:pt>
                <c:pt idx="1198">
                  <c:v>1</c:v>
                </c:pt>
                <c:pt idx="1199">
                  <c:v>2</c:v>
                </c:pt>
                <c:pt idx="1200">
                  <c:v>2</c:v>
                </c:pt>
                <c:pt idx="1201">
                  <c:v>2</c:v>
                </c:pt>
                <c:pt idx="1202">
                  <c:v>0</c:v>
                </c:pt>
                <c:pt idx="1203">
                  <c:v>1</c:v>
                </c:pt>
                <c:pt idx="1204">
                  <c:v>3</c:v>
                </c:pt>
                <c:pt idx="1205">
                  <c:v>1</c:v>
                </c:pt>
                <c:pt idx="1206">
                  <c:v>2</c:v>
                </c:pt>
                <c:pt idx="1207">
                  <c:v>2</c:v>
                </c:pt>
                <c:pt idx="1208">
                  <c:v>1</c:v>
                </c:pt>
                <c:pt idx="1209">
                  <c:v>1</c:v>
                </c:pt>
                <c:pt idx="1210">
                  <c:v>1</c:v>
                </c:pt>
                <c:pt idx="1211">
                  <c:v>2</c:v>
                </c:pt>
                <c:pt idx="1212">
                  <c:v>0</c:v>
                </c:pt>
                <c:pt idx="1213">
                  <c:v>2</c:v>
                </c:pt>
                <c:pt idx="1214">
                  <c:v>1</c:v>
                </c:pt>
                <c:pt idx="1215">
                  <c:v>0</c:v>
                </c:pt>
                <c:pt idx="1216">
                  <c:v>0</c:v>
                </c:pt>
                <c:pt idx="1217">
                  <c:v>2</c:v>
                </c:pt>
                <c:pt idx="1218">
                  <c:v>1</c:v>
                </c:pt>
                <c:pt idx="1219">
                  <c:v>3</c:v>
                </c:pt>
                <c:pt idx="1220">
                  <c:v>1</c:v>
                </c:pt>
                <c:pt idx="1221">
                  <c:v>2</c:v>
                </c:pt>
                <c:pt idx="1222">
                  <c:v>0</c:v>
                </c:pt>
                <c:pt idx="1223">
                  <c:v>0</c:v>
                </c:pt>
                <c:pt idx="1224">
                  <c:v>1</c:v>
                </c:pt>
                <c:pt idx="1225">
                  <c:v>1</c:v>
                </c:pt>
                <c:pt idx="1226">
                  <c:v>2</c:v>
                </c:pt>
                <c:pt idx="1227">
                  <c:v>2</c:v>
                </c:pt>
                <c:pt idx="1228">
                  <c:v>0</c:v>
                </c:pt>
                <c:pt idx="1229">
                  <c:v>0</c:v>
                </c:pt>
                <c:pt idx="1230">
                  <c:v>3</c:v>
                </c:pt>
                <c:pt idx="1231">
                  <c:v>0</c:v>
                </c:pt>
                <c:pt idx="1232">
                  <c:v>3</c:v>
                </c:pt>
                <c:pt idx="1233">
                  <c:v>0</c:v>
                </c:pt>
                <c:pt idx="1234">
                  <c:v>2</c:v>
                </c:pt>
                <c:pt idx="1235">
                  <c:v>0</c:v>
                </c:pt>
                <c:pt idx="1236">
                  <c:v>0</c:v>
                </c:pt>
                <c:pt idx="1237">
                  <c:v>0</c:v>
                </c:pt>
                <c:pt idx="1238">
                  <c:v>3</c:v>
                </c:pt>
                <c:pt idx="1239">
                  <c:v>1</c:v>
                </c:pt>
                <c:pt idx="1240">
                  <c:v>2</c:v>
                </c:pt>
                <c:pt idx="1241">
                  <c:v>2</c:v>
                </c:pt>
                <c:pt idx="1242">
                  <c:v>3</c:v>
                </c:pt>
                <c:pt idx="1243">
                  <c:v>0</c:v>
                </c:pt>
                <c:pt idx="1244">
                  <c:v>0</c:v>
                </c:pt>
                <c:pt idx="1245">
                  <c:v>5</c:v>
                </c:pt>
                <c:pt idx="1246">
                  <c:v>3</c:v>
                </c:pt>
                <c:pt idx="1247">
                  <c:v>4</c:v>
                </c:pt>
                <c:pt idx="1248">
                  <c:v>0</c:v>
                </c:pt>
                <c:pt idx="1249">
                  <c:v>1</c:v>
                </c:pt>
                <c:pt idx="1250">
                  <c:v>0</c:v>
                </c:pt>
                <c:pt idx="1251">
                  <c:v>0</c:v>
                </c:pt>
                <c:pt idx="1252">
                  <c:v>0</c:v>
                </c:pt>
                <c:pt idx="1253">
                  <c:v>4</c:v>
                </c:pt>
                <c:pt idx="1254">
                  <c:v>0</c:v>
                </c:pt>
                <c:pt idx="1255">
                  <c:v>0</c:v>
                </c:pt>
                <c:pt idx="1256">
                  <c:v>3</c:v>
                </c:pt>
                <c:pt idx="1257">
                  <c:v>1</c:v>
                </c:pt>
                <c:pt idx="1258">
                  <c:v>3</c:v>
                </c:pt>
                <c:pt idx="1259">
                  <c:v>0</c:v>
                </c:pt>
                <c:pt idx="1260">
                  <c:v>0</c:v>
                </c:pt>
                <c:pt idx="1261">
                  <c:v>1</c:v>
                </c:pt>
                <c:pt idx="1262">
                  <c:v>1</c:v>
                </c:pt>
                <c:pt idx="1263">
                  <c:v>1</c:v>
                </c:pt>
                <c:pt idx="1264">
                  <c:v>2</c:v>
                </c:pt>
                <c:pt idx="1265">
                  <c:v>0</c:v>
                </c:pt>
                <c:pt idx="1266">
                  <c:v>0</c:v>
                </c:pt>
                <c:pt idx="1267">
                  <c:v>0</c:v>
                </c:pt>
                <c:pt idx="1268">
                  <c:v>0</c:v>
                </c:pt>
                <c:pt idx="1269">
                  <c:v>3</c:v>
                </c:pt>
                <c:pt idx="1270">
                  <c:v>1</c:v>
                </c:pt>
                <c:pt idx="1271">
                  <c:v>0</c:v>
                </c:pt>
                <c:pt idx="1272">
                  <c:v>5</c:v>
                </c:pt>
                <c:pt idx="1273">
                  <c:v>1</c:v>
                </c:pt>
                <c:pt idx="1274">
                  <c:v>0</c:v>
                </c:pt>
                <c:pt idx="1275">
                  <c:v>0</c:v>
                </c:pt>
                <c:pt idx="1276">
                  <c:v>0</c:v>
                </c:pt>
                <c:pt idx="1277">
                  <c:v>0</c:v>
                </c:pt>
                <c:pt idx="1278">
                  <c:v>1</c:v>
                </c:pt>
                <c:pt idx="1279">
                  <c:v>2</c:v>
                </c:pt>
                <c:pt idx="1280">
                  <c:v>0</c:v>
                </c:pt>
                <c:pt idx="1281">
                  <c:v>2</c:v>
                </c:pt>
                <c:pt idx="1282">
                  <c:v>0</c:v>
                </c:pt>
                <c:pt idx="1283">
                  <c:v>1</c:v>
                </c:pt>
                <c:pt idx="1284">
                  <c:v>1</c:v>
                </c:pt>
                <c:pt idx="1285">
                  <c:v>0</c:v>
                </c:pt>
                <c:pt idx="1286">
                  <c:v>0</c:v>
                </c:pt>
                <c:pt idx="1287">
                  <c:v>1</c:v>
                </c:pt>
                <c:pt idx="1288">
                  <c:v>2</c:v>
                </c:pt>
                <c:pt idx="1289">
                  <c:v>1</c:v>
                </c:pt>
                <c:pt idx="1290">
                  <c:v>2</c:v>
                </c:pt>
                <c:pt idx="1291">
                  <c:v>0</c:v>
                </c:pt>
                <c:pt idx="1292">
                  <c:v>0</c:v>
                </c:pt>
                <c:pt idx="1293">
                  <c:v>3</c:v>
                </c:pt>
                <c:pt idx="1294">
                  <c:v>0</c:v>
                </c:pt>
                <c:pt idx="1295">
                  <c:v>1</c:v>
                </c:pt>
                <c:pt idx="1296">
                  <c:v>0</c:v>
                </c:pt>
                <c:pt idx="1297">
                  <c:v>2</c:v>
                </c:pt>
                <c:pt idx="1298">
                  <c:v>2</c:v>
                </c:pt>
                <c:pt idx="1299">
                  <c:v>1</c:v>
                </c:pt>
                <c:pt idx="1300">
                  <c:v>0</c:v>
                </c:pt>
                <c:pt idx="1301">
                  <c:v>3</c:v>
                </c:pt>
                <c:pt idx="1302">
                  <c:v>1</c:v>
                </c:pt>
                <c:pt idx="1303">
                  <c:v>0</c:v>
                </c:pt>
                <c:pt idx="1304">
                  <c:v>2</c:v>
                </c:pt>
                <c:pt idx="1305">
                  <c:v>0</c:v>
                </c:pt>
                <c:pt idx="1306">
                  <c:v>0</c:v>
                </c:pt>
                <c:pt idx="1307">
                  <c:v>4</c:v>
                </c:pt>
                <c:pt idx="1308">
                  <c:v>0</c:v>
                </c:pt>
                <c:pt idx="1309">
                  <c:v>2</c:v>
                </c:pt>
                <c:pt idx="1310">
                  <c:v>1</c:v>
                </c:pt>
                <c:pt idx="1311">
                  <c:v>0</c:v>
                </c:pt>
                <c:pt idx="1312">
                  <c:v>1</c:v>
                </c:pt>
                <c:pt idx="1313">
                  <c:v>2</c:v>
                </c:pt>
                <c:pt idx="1314">
                  <c:v>3</c:v>
                </c:pt>
                <c:pt idx="1315">
                  <c:v>1</c:v>
                </c:pt>
                <c:pt idx="1316">
                  <c:v>0</c:v>
                </c:pt>
                <c:pt idx="1317">
                  <c:v>0</c:v>
                </c:pt>
                <c:pt idx="1318">
                  <c:v>4</c:v>
                </c:pt>
                <c:pt idx="1319">
                  <c:v>2</c:v>
                </c:pt>
                <c:pt idx="1320">
                  <c:v>3</c:v>
                </c:pt>
                <c:pt idx="1321">
                  <c:v>0</c:v>
                </c:pt>
                <c:pt idx="1322">
                  <c:v>0</c:v>
                </c:pt>
                <c:pt idx="1323">
                  <c:v>2</c:v>
                </c:pt>
                <c:pt idx="1324">
                  <c:v>1</c:v>
                </c:pt>
                <c:pt idx="1325">
                  <c:v>0</c:v>
                </c:pt>
                <c:pt idx="1326">
                  <c:v>0</c:v>
                </c:pt>
                <c:pt idx="1327">
                  <c:v>1</c:v>
                </c:pt>
                <c:pt idx="1328">
                  <c:v>2</c:v>
                </c:pt>
                <c:pt idx="1329">
                  <c:v>2</c:v>
                </c:pt>
                <c:pt idx="1330">
                  <c:v>2</c:v>
                </c:pt>
                <c:pt idx="1331">
                  <c:v>0</c:v>
                </c:pt>
                <c:pt idx="1332">
                  <c:v>3</c:v>
                </c:pt>
                <c:pt idx="1333">
                  <c:v>3</c:v>
                </c:pt>
                <c:pt idx="1334">
                  <c:v>0</c:v>
                </c:pt>
                <c:pt idx="1335">
                  <c:v>0</c:v>
                </c:pt>
                <c:pt idx="1336">
                  <c:v>0</c:v>
                </c:pt>
                <c:pt idx="1337">
                  <c:v>0</c:v>
                </c:pt>
              </c:numCache>
            </c:numRef>
          </c:xVal>
          <c:yVal>
            <c:numRef>
              <c:f>'insurance (Clean)'!$P$156:$P$1493</c:f>
              <c:numCache>
                <c:formatCode>General</c:formatCode>
                <c:ptCount val="1338"/>
                <c:pt idx="0">
                  <c:v>-8702.5012463713647</c:v>
                </c:pt>
                <c:pt idx="1">
                  <c:v>-2155.3936432492255</c:v>
                </c:pt>
                <c:pt idx="2">
                  <c:v>-2709.1580674566958</c:v>
                </c:pt>
                <c:pt idx="3">
                  <c:v>18270.570134779278</c:v>
                </c:pt>
                <c:pt idx="4">
                  <c:v>-1576.6281704348548</c:v>
                </c:pt>
                <c:pt idx="5">
                  <c:v>-418.39885818309222</c:v>
                </c:pt>
                <c:pt idx="6">
                  <c:v>-2753.9315855615914</c:v>
                </c:pt>
                <c:pt idx="7">
                  <c:v>-504.82165448512023</c:v>
                </c:pt>
                <c:pt idx="8">
                  <c:v>-1579.0836708774323</c:v>
                </c:pt>
                <c:pt idx="9">
                  <c:v>17238.295588952467</c:v>
                </c:pt>
                <c:pt idx="10">
                  <c:v>-61.09128756473774</c:v>
                </c:pt>
                <c:pt idx="11">
                  <c:v>-8348.0482030023159</c:v>
                </c:pt>
                <c:pt idx="12">
                  <c:v>-3072.6145481451449</c:v>
                </c:pt>
                <c:pt idx="13">
                  <c:v>-4062.2080934462629</c:v>
                </c:pt>
                <c:pt idx="14">
                  <c:v>7381.5909325553366</c:v>
                </c:pt>
                <c:pt idx="15">
                  <c:v>649.81891347433839</c:v>
                </c:pt>
                <c:pt idx="16">
                  <c:v>-888.15729798610118</c:v>
                </c:pt>
                <c:pt idx="17">
                  <c:v>892.85560884385404</c:v>
                </c:pt>
                <c:pt idx="18">
                  <c:v>-4705.0295668100443</c:v>
                </c:pt>
                <c:pt idx="19">
                  <c:v>6031.9967919697483</c:v>
                </c:pt>
                <c:pt idx="20">
                  <c:v>-1727.6138209284618</c:v>
                </c:pt>
                <c:pt idx="21">
                  <c:v>-2384.4676093210337</c:v>
                </c:pt>
                <c:pt idx="22">
                  <c:v>-2376.6435906410011</c:v>
                </c:pt>
                <c:pt idx="23">
                  <c:v>6479.3639887058016</c:v>
                </c:pt>
                <c:pt idx="24">
                  <c:v>-1200.6507887490452</c:v>
                </c:pt>
                <c:pt idx="25">
                  <c:v>548.55441230387078</c:v>
                </c:pt>
                <c:pt idx="26">
                  <c:v>2880.1459817889372</c:v>
                </c:pt>
                <c:pt idx="27">
                  <c:v>-1306.0056841912101</c:v>
                </c:pt>
                <c:pt idx="28">
                  <c:v>2878.5339556522622</c:v>
                </c:pt>
                <c:pt idx="29">
                  <c:v>6378.8242507065333</c:v>
                </c:pt>
                <c:pt idx="30">
                  <c:v>6746.3464297602331</c:v>
                </c:pt>
                <c:pt idx="31">
                  <c:v>1190.1483804778381</c:v>
                </c:pt>
                <c:pt idx="32">
                  <c:v>318.96403992619435</c:v>
                </c:pt>
                <c:pt idx="33">
                  <c:v>516.73510194360279</c:v>
                </c:pt>
                <c:pt idx="34">
                  <c:v>20077.249047959303</c:v>
                </c:pt>
                <c:pt idx="35">
                  <c:v>2255.2476358822232</c:v>
                </c:pt>
                <c:pt idx="36">
                  <c:v>-302.04511758935769</c:v>
                </c:pt>
                <c:pt idx="37">
                  <c:v>1006.4730085042775</c:v>
                </c:pt>
                <c:pt idx="38">
                  <c:v>6765.119817879684</c:v>
                </c:pt>
                <c:pt idx="39">
                  <c:v>8151.889118989493</c:v>
                </c:pt>
                <c:pt idx="40">
                  <c:v>399.19588668595679</c:v>
                </c:pt>
                <c:pt idx="41">
                  <c:v>-3677.2281662155438</c:v>
                </c:pt>
                <c:pt idx="42">
                  <c:v>319.99090821872687</c:v>
                </c:pt>
                <c:pt idx="43">
                  <c:v>-1983.931231633409</c:v>
                </c:pt>
                <c:pt idx="44">
                  <c:v>-4013.9371911755188</c:v>
                </c:pt>
                <c:pt idx="45">
                  <c:v>6546.2726490439509</c:v>
                </c:pt>
                <c:pt idx="46">
                  <c:v>-2536.5544757027833</c:v>
                </c:pt>
                <c:pt idx="47">
                  <c:v>-2750.8678038481748</c:v>
                </c:pt>
                <c:pt idx="48">
                  <c:v>1366.6807266744527</c:v>
                </c:pt>
                <c:pt idx="49">
                  <c:v>5915.2915727259096</c:v>
                </c:pt>
                <c:pt idx="50">
                  <c:v>-1793.34717997385</c:v>
                </c:pt>
                <c:pt idx="51">
                  <c:v>-1503.1088843883472</c:v>
                </c:pt>
                <c:pt idx="52">
                  <c:v>-10002.476414781635</c:v>
                </c:pt>
                <c:pt idx="53">
                  <c:v>5670.0191684594683</c:v>
                </c:pt>
                <c:pt idx="54">
                  <c:v>-805.95550917534183</c:v>
                </c:pt>
                <c:pt idx="55">
                  <c:v>7991.5692839259355</c:v>
                </c:pt>
                <c:pt idx="56">
                  <c:v>-435.05877348312606</c:v>
                </c:pt>
                <c:pt idx="57">
                  <c:v>6809.9885271275671</c:v>
                </c:pt>
                <c:pt idx="58">
                  <c:v>-9967.3265688864085</c:v>
                </c:pt>
                <c:pt idx="59">
                  <c:v>-3637.9170272096635</c:v>
                </c:pt>
                <c:pt idx="60">
                  <c:v>-604.90336538759766</c:v>
                </c:pt>
                <c:pt idx="61">
                  <c:v>-2566.3333868866512</c:v>
                </c:pt>
                <c:pt idx="62">
                  <c:v>17343.7871433242</c:v>
                </c:pt>
                <c:pt idx="63">
                  <c:v>195.90632470811624</c:v>
                </c:pt>
                <c:pt idx="64">
                  <c:v>-9369.7852661318757</c:v>
                </c:pt>
                <c:pt idx="65">
                  <c:v>-354.66280319705129</c:v>
                </c:pt>
                <c:pt idx="66">
                  <c:v>-2922.3730511440153</c:v>
                </c:pt>
                <c:pt idx="67">
                  <c:v>-764.85509633581478</c:v>
                </c:pt>
                <c:pt idx="68">
                  <c:v>-3938.9090838469647</c:v>
                </c:pt>
                <c:pt idx="69">
                  <c:v>-10403.776059844484</c:v>
                </c:pt>
                <c:pt idx="70">
                  <c:v>-10058.609886064391</c:v>
                </c:pt>
                <c:pt idx="71">
                  <c:v>-631.3839077539551</c:v>
                </c:pt>
                <c:pt idx="72">
                  <c:v>-286.05987679365353</c:v>
                </c:pt>
                <c:pt idx="73">
                  <c:v>-1681.8418674629283</c:v>
                </c:pt>
                <c:pt idx="74">
                  <c:v>-1281.488013285777</c:v>
                </c:pt>
                <c:pt idx="75">
                  <c:v>-2184.1578502691718</c:v>
                </c:pt>
                <c:pt idx="76">
                  <c:v>-1424.5385600068698</c:v>
                </c:pt>
                <c:pt idx="77">
                  <c:v>-3214.9809186950038</c:v>
                </c:pt>
                <c:pt idx="78">
                  <c:v>-3626.1938731715413</c:v>
                </c:pt>
                <c:pt idx="79">
                  <c:v>-2507.8675170144124</c:v>
                </c:pt>
                <c:pt idx="80">
                  <c:v>-575.82942998210456</c:v>
                </c:pt>
                <c:pt idx="81">
                  <c:v>-3887.248209451087</c:v>
                </c:pt>
                <c:pt idx="82">
                  <c:v>7202.2920804751629</c:v>
                </c:pt>
                <c:pt idx="83">
                  <c:v>-4404.2878749928186</c:v>
                </c:pt>
                <c:pt idx="84">
                  <c:v>6440.0233109862238</c:v>
                </c:pt>
                <c:pt idx="85">
                  <c:v>-10529.096796831996</c:v>
                </c:pt>
                <c:pt idx="86">
                  <c:v>7143.9973018127639</c:v>
                </c:pt>
                <c:pt idx="87">
                  <c:v>-17.985189590161099</c:v>
                </c:pt>
                <c:pt idx="88">
                  <c:v>-659.79927382085498</c:v>
                </c:pt>
                <c:pt idx="89">
                  <c:v>320.07282636526179</c:v>
                </c:pt>
                <c:pt idx="90">
                  <c:v>-3995.008073946206</c:v>
                </c:pt>
                <c:pt idx="91">
                  <c:v>925.06964068819798</c:v>
                </c:pt>
                <c:pt idx="92">
                  <c:v>-7758.1489937066144</c:v>
                </c:pt>
                <c:pt idx="93">
                  <c:v>-3330.7359862523126</c:v>
                </c:pt>
                <c:pt idx="94">
                  <c:v>8059.1025230108498</c:v>
                </c:pt>
                <c:pt idx="95">
                  <c:v>-3931.6851174914514</c:v>
                </c:pt>
                <c:pt idx="96">
                  <c:v>-1049.314171795284</c:v>
                </c:pt>
                <c:pt idx="97">
                  <c:v>-4173.1410257404405</c:v>
                </c:pt>
                <c:pt idx="98">
                  <c:v>-10156.489865006894</c:v>
                </c:pt>
                <c:pt idx="99">
                  <c:v>-11897.944821213699</c:v>
                </c:pt>
                <c:pt idx="100">
                  <c:v>-2453.4377521361566</c:v>
                </c:pt>
                <c:pt idx="101">
                  <c:v>-181.96315805719678</c:v>
                </c:pt>
                <c:pt idx="102">
                  <c:v>19113.769949681227</c:v>
                </c:pt>
                <c:pt idx="103">
                  <c:v>-7545.559534623033</c:v>
                </c:pt>
                <c:pt idx="104">
                  <c:v>-984.67676472051608</c:v>
                </c:pt>
                <c:pt idx="105">
                  <c:v>-8798.6286946026958</c:v>
                </c:pt>
                <c:pt idx="106">
                  <c:v>-78.934417322269837</c:v>
                </c:pt>
                <c:pt idx="107">
                  <c:v>-1608.180306212585</c:v>
                </c:pt>
                <c:pt idx="108">
                  <c:v>-1500.2749297730479</c:v>
                </c:pt>
                <c:pt idx="109">
                  <c:v>7808.6169446646527</c:v>
                </c:pt>
                <c:pt idx="110">
                  <c:v>-2293.21531074427</c:v>
                </c:pt>
                <c:pt idx="111">
                  <c:v>-703.58682045448222</c:v>
                </c:pt>
                <c:pt idx="112">
                  <c:v>-2703.926600541763</c:v>
                </c:pt>
                <c:pt idx="113">
                  <c:v>-2403.8685852348335</c:v>
                </c:pt>
                <c:pt idx="114">
                  <c:v>-1602.8193781264763</c:v>
                </c:pt>
                <c:pt idx="115">
                  <c:v>17688.453674124925</c:v>
                </c:pt>
                <c:pt idx="116">
                  <c:v>-7261.2064703597807</c:v>
                </c:pt>
                <c:pt idx="117">
                  <c:v>-9544.5170913343936</c:v>
                </c:pt>
                <c:pt idx="118">
                  <c:v>-675.22979619243415</c:v>
                </c:pt>
                <c:pt idx="119">
                  <c:v>780.0969914767993</c:v>
                </c:pt>
                <c:pt idx="120">
                  <c:v>-4389.9636208455404</c:v>
                </c:pt>
                <c:pt idx="121">
                  <c:v>1523.1319287655479</c:v>
                </c:pt>
                <c:pt idx="122">
                  <c:v>-122.38996574049906</c:v>
                </c:pt>
                <c:pt idx="123">
                  <c:v>5938.9419150217291</c:v>
                </c:pt>
                <c:pt idx="124">
                  <c:v>-2237.2459403331686</c:v>
                </c:pt>
                <c:pt idx="125">
                  <c:v>-480.41124318280345</c:v>
                </c:pt>
                <c:pt idx="126">
                  <c:v>-8635.0858075078431</c:v>
                </c:pt>
                <c:pt idx="127">
                  <c:v>-3708.1094692491042</c:v>
                </c:pt>
                <c:pt idx="128">
                  <c:v>6109.6767950380527</c:v>
                </c:pt>
                <c:pt idx="129">
                  <c:v>-3728.3552100444949</c:v>
                </c:pt>
                <c:pt idx="130">
                  <c:v>1174.4220133934141</c:v>
                </c:pt>
                <c:pt idx="131">
                  <c:v>2896.703112418716</c:v>
                </c:pt>
                <c:pt idx="132">
                  <c:v>-2901.1565034092891</c:v>
                </c:pt>
                <c:pt idx="133">
                  <c:v>611.28053930680449</c:v>
                </c:pt>
                <c:pt idx="134">
                  <c:v>138.49780079933271</c:v>
                </c:pt>
                <c:pt idx="135">
                  <c:v>-442.17013277308934</c:v>
                </c:pt>
                <c:pt idx="136">
                  <c:v>-2510.0620979713567</c:v>
                </c:pt>
                <c:pt idx="137">
                  <c:v>373.15635039539666</c:v>
                </c:pt>
                <c:pt idx="138">
                  <c:v>13814.063185079383</c:v>
                </c:pt>
                <c:pt idx="139">
                  <c:v>-2989.8382853607282</c:v>
                </c:pt>
                <c:pt idx="140">
                  <c:v>22548.877846167019</c:v>
                </c:pt>
                <c:pt idx="141">
                  <c:v>-2041.2231062553192</c:v>
                </c:pt>
                <c:pt idx="142">
                  <c:v>-10592.863840031197</c:v>
                </c:pt>
                <c:pt idx="143">
                  <c:v>12265.75357103533</c:v>
                </c:pt>
                <c:pt idx="144">
                  <c:v>-9352.5502818873065</c:v>
                </c:pt>
                <c:pt idx="145">
                  <c:v>-4154.6065533513211</c:v>
                </c:pt>
                <c:pt idx="146">
                  <c:v>5915.4777186986103</c:v>
                </c:pt>
                <c:pt idx="147">
                  <c:v>-3786.9035404021706</c:v>
                </c:pt>
                <c:pt idx="148">
                  <c:v>-3123.9601342105216</c:v>
                </c:pt>
                <c:pt idx="149">
                  <c:v>-567.93441732226961</c:v>
                </c:pt>
                <c:pt idx="150">
                  <c:v>-36.524344475986254</c:v>
                </c:pt>
                <c:pt idx="151">
                  <c:v>-2043.3586380503457</c:v>
                </c:pt>
                <c:pt idx="152">
                  <c:v>-3189.7485615549467</c:v>
                </c:pt>
                <c:pt idx="153">
                  <c:v>-10095.230760098861</c:v>
                </c:pt>
                <c:pt idx="154">
                  <c:v>198.13945309342125</c:v>
                </c:pt>
                <c:pt idx="155">
                  <c:v>-5013.4755846296293</c:v>
                </c:pt>
                <c:pt idx="156">
                  <c:v>-10721.342277064265</c:v>
                </c:pt>
                <c:pt idx="157">
                  <c:v>-8934.3504662987016</c:v>
                </c:pt>
                <c:pt idx="158">
                  <c:v>6070.760669316267</c:v>
                </c:pt>
                <c:pt idx="159">
                  <c:v>8582.0459239645406</c:v>
                </c:pt>
                <c:pt idx="160">
                  <c:v>-9750.8510912759775</c:v>
                </c:pt>
                <c:pt idx="161">
                  <c:v>7939.3377055301426</c:v>
                </c:pt>
                <c:pt idx="162">
                  <c:v>-4589.3698857063082</c:v>
                </c:pt>
                <c:pt idx="163">
                  <c:v>-1534.4572921404169</c:v>
                </c:pt>
                <c:pt idx="164">
                  <c:v>-1949.1913732459561</c:v>
                </c:pt>
                <c:pt idx="165">
                  <c:v>-584.11825968408084</c:v>
                </c:pt>
                <c:pt idx="166">
                  <c:v>-2499.6042512703461</c:v>
                </c:pt>
                <c:pt idx="167">
                  <c:v>-2111.107664218508</c:v>
                </c:pt>
                <c:pt idx="168">
                  <c:v>-793.51467205342215</c:v>
                </c:pt>
                <c:pt idx="169">
                  <c:v>2463.6299629205496</c:v>
                </c:pt>
                <c:pt idx="170">
                  <c:v>-4083.5369594467556</c:v>
                </c:pt>
                <c:pt idx="171">
                  <c:v>-2167.2739870854275</c:v>
                </c:pt>
                <c:pt idx="172">
                  <c:v>4019.5262568985936</c:v>
                </c:pt>
                <c:pt idx="173">
                  <c:v>-3349.8475127917236</c:v>
                </c:pt>
                <c:pt idx="174">
                  <c:v>-1962.3162254780209</c:v>
                </c:pt>
                <c:pt idx="175">
                  <c:v>8737.5026832490839</c:v>
                </c:pt>
                <c:pt idx="176">
                  <c:v>-1145.3877295395696</c:v>
                </c:pt>
                <c:pt idx="177">
                  <c:v>-1256.5712961576974</c:v>
                </c:pt>
                <c:pt idx="178">
                  <c:v>-1183.5391322083069</c:v>
                </c:pt>
                <c:pt idx="179">
                  <c:v>-2022.2622301917127</c:v>
                </c:pt>
                <c:pt idx="180">
                  <c:v>-319.96391121436318</c:v>
                </c:pt>
                <c:pt idx="181">
                  <c:v>-3227.1722545172706</c:v>
                </c:pt>
                <c:pt idx="182">
                  <c:v>2594.0602836032626</c:v>
                </c:pt>
                <c:pt idx="183">
                  <c:v>-323.22659338133235</c:v>
                </c:pt>
                <c:pt idx="184">
                  <c:v>-2335.8060286333684</c:v>
                </c:pt>
                <c:pt idx="185">
                  <c:v>7857.6527996123477</c:v>
                </c:pt>
                <c:pt idx="186">
                  <c:v>-1196.139616499227</c:v>
                </c:pt>
                <c:pt idx="187">
                  <c:v>-1672.7801361508618</c:v>
                </c:pt>
                <c:pt idx="188">
                  <c:v>-2530.2169093867096</c:v>
                </c:pt>
                <c:pt idx="189">
                  <c:v>-1733.6036107125501</c:v>
                </c:pt>
                <c:pt idx="190">
                  <c:v>-1229.2940566580401</c:v>
                </c:pt>
                <c:pt idx="191">
                  <c:v>-728.45364014182996</c:v>
                </c:pt>
                <c:pt idx="192">
                  <c:v>-490.26981420095626</c:v>
                </c:pt>
                <c:pt idx="193">
                  <c:v>672.78933656874324</c:v>
                </c:pt>
                <c:pt idx="194">
                  <c:v>-2482.3958535786019</c:v>
                </c:pt>
                <c:pt idx="195">
                  <c:v>-1002.2425739987013</c:v>
                </c:pt>
                <c:pt idx="196">
                  <c:v>-2860.3724208848998</c:v>
                </c:pt>
                <c:pt idx="197">
                  <c:v>-1135.5842040255902</c:v>
                </c:pt>
                <c:pt idx="198">
                  <c:v>2787.2791830587148</c:v>
                </c:pt>
                <c:pt idx="199">
                  <c:v>-2156.4980646969161</c:v>
                </c:pt>
                <c:pt idx="200">
                  <c:v>-1000.3439063173437</c:v>
                </c:pt>
                <c:pt idx="201">
                  <c:v>-2249.6283027844347</c:v>
                </c:pt>
                <c:pt idx="202">
                  <c:v>1908.3090710808538</c:v>
                </c:pt>
                <c:pt idx="203">
                  <c:v>6850.9324197446767</c:v>
                </c:pt>
                <c:pt idx="204">
                  <c:v>211.51075763533936</c:v>
                </c:pt>
                <c:pt idx="205">
                  <c:v>-547.85245665925413</c:v>
                </c:pt>
                <c:pt idx="206">
                  <c:v>136.07041069174193</c:v>
                </c:pt>
                <c:pt idx="207">
                  <c:v>-9624.4321702941088</c:v>
                </c:pt>
                <c:pt idx="208">
                  <c:v>-495.67519397222895</c:v>
                </c:pt>
                <c:pt idx="209">
                  <c:v>-5344.5368697125004</c:v>
                </c:pt>
                <c:pt idx="210">
                  <c:v>-2168.7493777222016</c:v>
                </c:pt>
                <c:pt idx="211">
                  <c:v>-1879.666039929215</c:v>
                </c:pt>
                <c:pt idx="212">
                  <c:v>-667.68540980399348</c:v>
                </c:pt>
                <c:pt idx="213">
                  <c:v>-737.92148453278332</c:v>
                </c:pt>
                <c:pt idx="214">
                  <c:v>-1872.6454305603784</c:v>
                </c:pt>
                <c:pt idx="215">
                  <c:v>-3984.980098854473</c:v>
                </c:pt>
                <c:pt idx="216">
                  <c:v>231.13917410563408</c:v>
                </c:pt>
                <c:pt idx="217">
                  <c:v>189.80127463913323</c:v>
                </c:pt>
                <c:pt idx="218">
                  <c:v>-1311.6373009534032</c:v>
                </c:pt>
                <c:pt idx="219">
                  <c:v>23525.977942317666</c:v>
                </c:pt>
                <c:pt idx="220">
                  <c:v>-2971.5374623360358</c:v>
                </c:pt>
                <c:pt idx="221">
                  <c:v>-1699.9291547884295</c:v>
                </c:pt>
                <c:pt idx="222">
                  <c:v>-2228.4210105274533</c:v>
                </c:pt>
                <c:pt idx="223">
                  <c:v>6971.4150740242694</c:v>
                </c:pt>
                <c:pt idx="224">
                  <c:v>-10953.186741707199</c:v>
                </c:pt>
                <c:pt idx="225">
                  <c:v>-2416.6177998765743</c:v>
                </c:pt>
                <c:pt idx="226">
                  <c:v>-4677.1858191957626</c:v>
                </c:pt>
                <c:pt idx="227">
                  <c:v>7886.0428599548941</c:v>
                </c:pt>
                <c:pt idx="228">
                  <c:v>-1766.1562667814242</c:v>
                </c:pt>
                <c:pt idx="229">
                  <c:v>67.757586235105919</c:v>
                </c:pt>
                <c:pt idx="230">
                  <c:v>-3406.1807710677094</c:v>
                </c:pt>
                <c:pt idx="231">
                  <c:v>513.3036579913387</c:v>
                </c:pt>
                <c:pt idx="232">
                  <c:v>3202.458768340407</c:v>
                </c:pt>
                <c:pt idx="233">
                  <c:v>-100.93944797941731</c:v>
                </c:pt>
                <c:pt idx="234">
                  <c:v>-78.752022422896516</c:v>
                </c:pt>
                <c:pt idx="235">
                  <c:v>-10676.887763262399</c:v>
                </c:pt>
                <c:pt idx="236">
                  <c:v>474.15694829873405</c:v>
                </c:pt>
                <c:pt idx="237">
                  <c:v>-4730.2402352160761</c:v>
                </c:pt>
                <c:pt idx="238">
                  <c:v>-8611.3110876955834</c:v>
                </c:pt>
                <c:pt idx="239">
                  <c:v>-4813.1042520272813</c:v>
                </c:pt>
                <c:pt idx="240">
                  <c:v>8123.1635902981325</c:v>
                </c:pt>
                <c:pt idx="241">
                  <c:v>1350.1271188529431</c:v>
                </c:pt>
                <c:pt idx="242">
                  <c:v>23982.061163330854</c:v>
                </c:pt>
                <c:pt idx="243">
                  <c:v>-3796.205381955755</c:v>
                </c:pt>
                <c:pt idx="244">
                  <c:v>-7358.1417444524341</c:v>
                </c:pt>
                <c:pt idx="245">
                  <c:v>12993.395369058333</c:v>
                </c:pt>
                <c:pt idx="246">
                  <c:v>-2969.1620537671515</c:v>
                </c:pt>
                <c:pt idx="247">
                  <c:v>-3640.276703623671</c:v>
                </c:pt>
                <c:pt idx="248">
                  <c:v>1835.5261039868251</c:v>
                </c:pt>
                <c:pt idx="249">
                  <c:v>-1133.4548472595256</c:v>
                </c:pt>
                <c:pt idx="250">
                  <c:v>-10032.281885987391</c:v>
                </c:pt>
                <c:pt idx="251">
                  <c:v>8041.5357677841166</c:v>
                </c:pt>
                <c:pt idx="252">
                  <c:v>6670.7049140464878</c:v>
                </c:pt>
                <c:pt idx="253">
                  <c:v>-1771.027772455067</c:v>
                </c:pt>
                <c:pt idx="254">
                  <c:v>6253.1350702358468</c:v>
                </c:pt>
                <c:pt idx="255">
                  <c:v>1384.1110953163516</c:v>
                </c:pt>
                <c:pt idx="256">
                  <c:v>6949.1181441253211</c:v>
                </c:pt>
                <c:pt idx="257">
                  <c:v>-5216.8652244374553</c:v>
                </c:pt>
                <c:pt idx="258">
                  <c:v>720.53304179110455</c:v>
                </c:pt>
                <c:pt idx="259">
                  <c:v>6869.0239142069622</c:v>
                </c:pt>
                <c:pt idx="260">
                  <c:v>874.00260143155174</c:v>
                </c:pt>
                <c:pt idx="261">
                  <c:v>-8892.3469822358566</c:v>
                </c:pt>
                <c:pt idx="262">
                  <c:v>-9494.9011127390368</c:v>
                </c:pt>
                <c:pt idx="263">
                  <c:v>7717.6157009014642</c:v>
                </c:pt>
                <c:pt idx="264">
                  <c:v>5229.5718509078688</c:v>
                </c:pt>
                <c:pt idx="265">
                  <c:v>7530.5028380160365</c:v>
                </c:pt>
                <c:pt idx="266">
                  <c:v>-11689.248852840839</c:v>
                </c:pt>
                <c:pt idx="267">
                  <c:v>-366.6026959787996</c:v>
                </c:pt>
                <c:pt idx="268">
                  <c:v>-2252.820133025707</c:v>
                </c:pt>
                <c:pt idx="269">
                  <c:v>-39.518445959442033</c:v>
                </c:pt>
                <c:pt idx="270">
                  <c:v>-745.36347074788932</c:v>
                </c:pt>
                <c:pt idx="271">
                  <c:v>6301.4095573963205</c:v>
                </c:pt>
                <c:pt idx="272">
                  <c:v>-4074.9570287124088</c:v>
                </c:pt>
                <c:pt idx="273">
                  <c:v>-481.97616887835829</c:v>
                </c:pt>
                <c:pt idx="274">
                  <c:v>-687.30495334355055</c:v>
                </c:pt>
                <c:pt idx="275">
                  <c:v>191.43158699612468</c:v>
                </c:pt>
                <c:pt idx="276">
                  <c:v>2425.3552382507469</c:v>
                </c:pt>
                <c:pt idx="277">
                  <c:v>759.56012788145745</c:v>
                </c:pt>
                <c:pt idx="278">
                  <c:v>-1360.2211817140396</c:v>
                </c:pt>
                <c:pt idx="279">
                  <c:v>1394.9573435402363</c:v>
                </c:pt>
                <c:pt idx="280">
                  <c:v>-9215.0077244797285</c:v>
                </c:pt>
                <c:pt idx="281">
                  <c:v>8440.2654334447507</c:v>
                </c:pt>
                <c:pt idx="282">
                  <c:v>-766.67358881106884</c:v>
                </c:pt>
                <c:pt idx="283">
                  <c:v>-1099.7280355657294</c:v>
                </c:pt>
                <c:pt idx="284">
                  <c:v>-1721.2487716335872</c:v>
                </c:pt>
                <c:pt idx="285">
                  <c:v>-1057.3848181845224</c:v>
                </c:pt>
                <c:pt idx="286">
                  <c:v>-6743.7842246743512</c:v>
                </c:pt>
                <c:pt idx="287">
                  <c:v>1675.4994338817378</c:v>
                </c:pt>
                <c:pt idx="288">
                  <c:v>8668.6708586812238</c:v>
                </c:pt>
                <c:pt idx="289">
                  <c:v>14770.032015366764</c:v>
                </c:pt>
                <c:pt idx="290">
                  <c:v>-2694.8356819557112</c:v>
                </c:pt>
                <c:pt idx="291">
                  <c:v>14889.763269851068</c:v>
                </c:pt>
                <c:pt idx="292">
                  <c:v>8353.2499324358723</c:v>
                </c:pt>
                <c:pt idx="293">
                  <c:v>-688.92541296082254</c:v>
                </c:pt>
                <c:pt idx="294">
                  <c:v>-483.465847850111</c:v>
                </c:pt>
                <c:pt idx="295">
                  <c:v>1766.68259492487</c:v>
                </c:pt>
                <c:pt idx="296">
                  <c:v>-9225.20896580312</c:v>
                </c:pt>
                <c:pt idx="297">
                  <c:v>-10500.626874092533</c:v>
                </c:pt>
                <c:pt idx="298">
                  <c:v>6555.4132145874282</c:v>
                </c:pt>
                <c:pt idx="299">
                  <c:v>-793.08260326637537</c:v>
                </c:pt>
                <c:pt idx="300">
                  <c:v>-720.58348061493598</c:v>
                </c:pt>
                <c:pt idx="301">
                  <c:v>-9198.8366212109213</c:v>
                </c:pt>
                <c:pt idx="302">
                  <c:v>-3090.9468839747078</c:v>
                </c:pt>
                <c:pt idx="303">
                  <c:v>-2335.6557519108728</c:v>
                </c:pt>
                <c:pt idx="304">
                  <c:v>-3125.8034786972567</c:v>
                </c:pt>
                <c:pt idx="305">
                  <c:v>12388.347506778555</c:v>
                </c:pt>
                <c:pt idx="306">
                  <c:v>15262.736063715794</c:v>
                </c:pt>
                <c:pt idx="307">
                  <c:v>-2682.4967139633618</c:v>
                </c:pt>
                <c:pt idx="308">
                  <c:v>-2129.2568070287671</c:v>
                </c:pt>
                <c:pt idx="309">
                  <c:v>-2307.3160313759745</c:v>
                </c:pt>
                <c:pt idx="310">
                  <c:v>-906.47930390329748</c:v>
                </c:pt>
                <c:pt idx="311">
                  <c:v>991.27508873604052</c:v>
                </c:pt>
                <c:pt idx="312">
                  <c:v>6330.8541101340379</c:v>
                </c:pt>
                <c:pt idx="313">
                  <c:v>-3949.0393868825686</c:v>
                </c:pt>
                <c:pt idx="314">
                  <c:v>6062.1717850415444</c:v>
                </c:pt>
                <c:pt idx="315">
                  <c:v>-2284.1946474580727</c:v>
                </c:pt>
                <c:pt idx="316">
                  <c:v>-2319.6654168282948</c:v>
                </c:pt>
                <c:pt idx="317">
                  <c:v>-1934.7185457692085</c:v>
                </c:pt>
                <c:pt idx="318">
                  <c:v>-718.9963758902295</c:v>
                </c:pt>
                <c:pt idx="319">
                  <c:v>-3970.6316970031303</c:v>
                </c:pt>
                <c:pt idx="320">
                  <c:v>-376.0478363846114</c:v>
                </c:pt>
                <c:pt idx="321">
                  <c:v>18636.660645204665</c:v>
                </c:pt>
                <c:pt idx="322">
                  <c:v>5103.1030754337844</c:v>
                </c:pt>
                <c:pt idx="323">
                  <c:v>-4206.5576289729815</c:v>
                </c:pt>
                <c:pt idx="324">
                  <c:v>-1263.1334916705496</c:v>
                </c:pt>
                <c:pt idx="325">
                  <c:v>-3061.2493244688594</c:v>
                </c:pt>
                <c:pt idx="326">
                  <c:v>759.0482047807759</c:v>
                </c:pt>
                <c:pt idx="327">
                  <c:v>6760.5000955701398</c:v>
                </c:pt>
                <c:pt idx="328">
                  <c:v>8364.951331453638</c:v>
                </c:pt>
                <c:pt idx="329">
                  <c:v>-3972.7864872602568</c:v>
                </c:pt>
                <c:pt idx="330">
                  <c:v>8896.0471771001685</c:v>
                </c:pt>
                <c:pt idx="331">
                  <c:v>-9529.0368307388562</c:v>
                </c:pt>
                <c:pt idx="332">
                  <c:v>-225.90488149314115</c:v>
                </c:pt>
                <c:pt idx="333">
                  <c:v>57.083536906517111</c:v>
                </c:pt>
                <c:pt idx="334">
                  <c:v>7716.2803224056897</c:v>
                </c:pt>
                <c:pt idx="335">
                  <c:v>-1680.6694889738592</c:v>
                </c:pt>
                <c:pt idx="336">
                  <c:v>489.92242923658705</c:v>
                </c:pt>
                <c:pt idx="337">
                  <c:v>713.25795988745449</c:v>
                </c:pt>
                <c:pt idx="338">
                  <c:v>6448.6885383404442</c:v>
                </c:pt>
                <c:pt idx="339">
                  <c:v>-920.8923613098541</c:v>
                </c:pt>
                <c:pt idx="340">
                  <c:v>15986.502683844743</c:v>
                </c:pt>
                <c:pt idx="341">
                  <c:v>-193.77938958451705</c:v>
                </c:pt>
                <c:pt idx="342">
                  <c:v>981.8872900939914</c:v>
                </c:pt>
                <c:pt idx="343">
                  <c:v>-1992.7660090788504</c:v>
                </c:pt>
                <c:pt idx="344">
                  <c:v>-4795.8371190050657</c:v>
                </c:pt>
                <c:pt idx="345">
                  <c:v>-1317.6934648126971</c:v>
                </c:pt>
                <c:pt idx="346">
                  <c:v>-3969.4571463759876</c:v>
                </c:pt>
                <c:pt idx="347">
                  <c:v>-2629.4877022916753</c:v>
                </c:pt>
                <c:pt idx="348">
                  <c:v>-1805.0723742569635</c:v>
                </c:pt>
                <c:pt idx="349">
                  <c:v>-119.37145917116004</c:v>
                </c:pt>
                <c:pt idx="350">
                  <c:v>1775.4391425011581</c:v>
                </c:pt>
                <c:pt idx="351">
                  <c:v>-97.017901062085002</c:v>
                </c:pt>
                <c:pt idx="352">
                  <c:v>-993.79670042151201</c:v>
                </c:pt>
                <c:pt idx="353">
                  <c:v>4654.9620431504718</c:v>
                </c:pt>
                <c:pt idx="354">
                  <c:v>9274.0443454827291</c:v>
                </c:pt>
                <c:pt idx="355">
                  <c:v>15961.641722576913</c:v>
                </c:pt>
                <c:pt idx="356">
                  <c:v>-6360.7578763439069</c:v>
                </c:pt>
                <c:pt idx="357">
                  <c:v>-1417.1610597268154</c:v>
                </c:pt>
                <c:pt idx="358">
                  <c:v>-5479.2796834826495</c:v>
                </c:pt>
                <c:pt idx="359">
                  <c:v>2377.6976811755371</c:v>
                </c:pt>
                <c:pt idx="360">
                  <c:v>-1573.562916529143</c:v>
                </c:pt>
                <c:pt idx="361">
                  <c:v>-2460.8634805745105</c:v>
                </c:pt>
                <c:pt idx="362">
                  <c:v>-9747.4405487558452</c:v>
                </c:pt>
                <c:pt idx="363">
                  <c:v>315.32937369944375</c:v>
                </c:pt>
                <c:pt idx="364">
                  <c:v>1876.1079849674886</c:v>
                </c:pt>
                <c:pt idx="365">
                  <c:v>-1133.5977759950329</c:v>
                </c:pt>
                <c:pt idx="366">
                  <c:v>-722.84529071781435</c:v>
                </c:pt>
                <c:pt idx="367">
                  <c:v>301.68933923646091</c:v>
                </c:pt>
                <c:pt idx="368">
                  <c:v>-2377.4174373979749</c:v>
                </c:pt>
                <c:pt idx="369">
                  <c:v>-261.44334676598419</c:v>
                </c:pt>
                <c:pt idx="370">
                  <c:v>3001.141445117868</c:v>
                </c:pt>
                <c:pt idx="371">
                  <c:v>2279.8774752003119</c:v>
                </c:pt>
                <c:pt idx="372">
                  <c:v>-2231.9781064304225</c:v>
                </c:pt>
                <c:pt idx="373">
                  <c:v>6136.5855570184322</c:v>
                </c:pt>
                <c:pt idx="374">
                  <c:v>-2389.9993251139795</c:v>
                </c:pt>
                <c:pt idx="375">
                  <c:v>-8716.8144508576843</c:v>
                </c:pt>
                <c:pt idx="376">
                  <c:v>-9536.2195170639025</c:v>
                </c:pt>
                <c:pt idx="377">
                  <c:v>7306.8940321720074</c:v>
                </c:pt>
                <c:pt idx="378">
                  <c:v>943.04676584738809</c:v>
                </c:pt>
                <c:pt idx="379">
                  <c:v>12518.137174778314</c:v>
                </c:pt>
                <c:pt idx="380">
                  <c:v>-10389.83433485</c:v>
                </c:pt>
                <c:pt idx="381">
                  <c:v>6537.3285328230486</c:v>
                </c:pt>
                <c:pt idx="382">
                  <c:v>8081.4390812611637</c:v>
                </c:pt>
                <c:pt idx="383">
                  <c:v>-5971.0902086015039</c:v>
                </c:pt>
                <c:pt idx="384">
                  <c:v>988.74122267320399</c:v>
                </c:pt>
                <c:pt idx="385">
                  <c:v>-2606.2005188237213</c:v>
                </c:pt>
                <c:pt idx="386">
                  <c:v>-3564.3878279192395</c:v>
                </c:pt>
                <c:pt idx="387">
                  <c:v>20384.171447513952</c:v>
                </c:pt>
                <c:pt idx="388">
                  <c:v>1298.4378693616832</c:v>
                </c:pt>
                <c:pt idx="389">
                  <c:v>-611.17672420829058</c:v>
                </c:pt>
                <c:pt idx="390">
                  <c:v>-2897.101662067822</c:v>
                </c:pt>
                <c:pt idx="391">
                  <c:v>-2705.1985694325949</c:v>
                </c:pt>
                <c:pt idx="392">
                  <c:v>-1904.066051554084</c:v>
                </c:pt>
                <c:pt idx="393">
                  <c:v>-1805.2607756145262</c:v>
                </c:pt>
                <c:pt idx="394">
                  <c:v>-1690.1079018684304</c:v>
                </c:pt>
                <c:pt idx="395">
                  <c:v>1378.0388375821049</c:v>
                </c:pt>
                <c:pt idx="396">
                  <c:v>-2954.9516413897327</c:v>
                </c:pt>
                <c:pt idx="397">
                  <c:v>13290.596908118865</c:v>
                </c:pt>
                <c:pt idx="398">
                  <c:v>1402.4323652212861</c:v>
                </c:pt>
                <c:pt idx="399">
                  <c:v>-3191.9215002047358</c:v>
                </c:pt>
                <c:pt idx="400">
                  <c:v>1587.1026058136222</c:v>
                </c:pt>
                <c:pt idx="401">
                  <c:v>-7700.1186448962217</c:v>
                </c:pt>
                <c:pt idx="402">
                  <c:v>-316.76118561259864</c:v>
                </c:pt>
                <c:pt idx="403">
                  <c:v>-2078.7037394053223</c:v>
                </c:pt>
                <c:pt idx="404">
                  <c:v>803.86503298898288</c:v>
                </c:pt>
                <c:pt idx="405">
                  <c:v>-3208.1662751251388</c:v>
                </c:pt>
                <c:pt idx="406">
                  <c:v>-45.374066780870635</c:v>
                </c:pt>
                <c:pt idx="407">
                  <c:v>454.31811106558416</c:v>
                </c:pt>
                <c:pt idx="408">
                  <c:v>739.00832499334865</c:v>
                </c:pt>
                <c:pt idx="409">
                  <c:v>-2212.6610992480719</c:v>
                </c:pt>
                <c:pt idx="410">
                  <c:v>3199.0064172495945</c:v>
                </c:pt>
                <c:pt idx="411">
                  <c:v>-10445.364642398188</c:v>
                </c:pt>
                <c:pt idx="412">
                  <c:v>-10438.313161360322</c:v>
                </c:pt>
                <c:pt idx="413">
                  <c:v>676.86758929775806</c:v>
                </c:pt>
                <c:pt idx="414">
                  <c:v>-1974.5465709546306</c:v>
                </c:pt>
                <c:pt idx="415">
                  <c:v>-3583.3191498211909</c:v>
                </c:pt>
                <c:pt idx="416">
                  <c:v>-3139.5868398731036</c:v>
                </c:pt>
                <c:pt idx="417">
                  <c:v>-10603.797067020634</c:v>
                </c:pt>
                <c:pt idx="418">
                  <c:v>-3058.5219417597327</c:v>
                </c:pt>
                <c:pt idx="419">
                  <c:v>-7686.231078293109</c:v>
                </c:pt>
                <c:pt idx="420">
                  <c:v>7773.9367347721636</c:v>
                </c:pt>
                <c:pt idx="421">
                  <c:v>7620.0666791376352</c:v>
                </c:pt>
                <c:pt idx="422">
                  <c:v>6080.5393952944214</c:v>
                </c:pt>
                <c:pt idx="423">
                  <c:v>-1461.507617980837</c:v>
                </c:pt>
                <c:pt idx="424">
                  <c:v>-1972.593970562597</c:v>
                </c:pt>
                <c:pt idx="425">
                  <c:v>96.688267525742049</c:v>
                </c:pt>
                <c:pt idx="426">
                  <c:v>-389.2223143742558</c:v>
                </c:pt>
                <c:pt idx="427">
                  <c:v>5398.416882380383</c:v>
                </c:pt>
                <c:pt idx="428">
                  <c:v>3969.9518699324653</c:v>
                </c:pt>
                <c:pt idx="429">
                  <c:v>12740.795487260813</c:v>
                </c:pt>
                <c:pt idx="430">
                  <c:v>19633.302604869856</c:v>
                </c:pt>
                <c:pt idx="431">
                  <c:v>2071.8754980268486</c:v>
                </c:pt>
                <c:pt idx="432">
                  <c:v>-1414.9896661128132</c:v>
                </c:pt>
                <c:pt idx="433">
                  <c:v>-546.4738482875855</c:v>
                </c:pt>
                <c:pt idx="434">
                  <c:v>-1323.8185288405766</c:v>
                </c:pt>
                <c:pt idx="435">
                  <c:v>-1525.3850563406195</c:v>
                </c:pt>
                <c:pt idx="436">
                  <c:v>-1527.4680952287508</c:v>
                </c:pt>
                <c:pt idx="437">
                  <c:v>-1717.1298671202167</c:v>
                </c:pt>
                <c:pt idx="438">
                  <c:v>-6126.9351635435578</c:v>
                </c:pt>
                <c:pt idx="439">
                  <c:v>-1182.5181260722097</c:v>
                </c:pt>
                <c:pt idx="440">
                  <c:v>-2143.9033094469287</c:v>
                </c:pt>
                <c:pt idx="441">
                  <c:v>6079.6857950928679</c:v>
                </c:pt>
                <c:pt idx="442">
                  <c:v>-5231.9546899562047</c:v>
                </c:pt>
                <c:pt idx="443">
                  <c:v>12950.030598392847</c:v>
                </c:pt>
                <c:pt idx="444">
                  <c:v>-9104.199392716695</c:v>
                </c:pt>
                <c:pt idx="445">
                  <c:v>-2808.6558857194004</c:v>
                </c:pt>
                <c:pt idx="446">
                  <c:v>-176.8770418441436</c:v>
                </c:pt>
                <c:pt idx="447">
                  <c:v>861.72998481371906</c:v>
                </c:pt>
                <c:pt idx="448">
                  <c:v>-1827.0684391233744</c:v>
                </c:pt>
                <c:pt idx="449">
                  <c:v>-5056.6008435883341</c:v>
                </c:pt>
                <c:pt idx="450">
                  <c:v>-1861.905193976314</c:v>
                </c:pt>
                <c:pt idx="451">
                  <c:v>159.74819217579352</c:v>
                </c:pt>
                <c:pt idx="452">
                  <c:v>352.67237577783681</c:v>
                </c:pt>
                <c:pt idx="453">
                  <c:v>-854.94063189981921</c:v>
                </c:pt>
                <c:pt idx="454">
                  <c:v>-7384.7765616739025</c:v>
                </c:pt>
                <c:pt idx="455">
                  <c:v>6649.4063794384037</c:v>
                </c:pt>
                <c:pt idx="456">
                  <c:v>-844.589837704616</c:v>
                </c:pt>
                <c:pt idx="457">
                  <c:v>-568.73606928231129</c:v>
                </c:pt>
                <c:pt idx="458">
                  <c:v>-4480.7065848211969</c:v>
                </c:pt>
                <c:pt idx="459">
                  <c:v>-2570.1441554209669</c:v>
                </c:pt>
                <c:pt idx="460">
                  <c:v>-3360.3016137077739</c:v>
                </c:pt>
                <c:pt idx="461">
                  <c:v>-10049.819860936099</c:v>
                </c:pt>
                <c:pt idx="462">
                  <c:v>-1861.509898618955</c:v>
                </c:pt>
                <c:pt idx="463">
                  <c:v>481.39843500397365</c:v>
                </c:pt>
                <c:pt idx="464">
                  <c:v>733.05587238646467</c:v>
                </c:pt>
                <c:pt idx="465">
                  <c:v>-9529.792615914881</c:v>
                </c:pt>
                <c:pt idx="466">
                  <c:v>145.85436128077345</c:v>
                </c:pt>
                <c:pt idx="467">
                  <c:v>-1525.4443074906339</c:v>
                </c:pt>
                <c:pt idx="468">
                  <c:v>19870.983140296674</c:v>
                </c:pt>
                <c:pt idx="469">
                  <c:v>1435.6727362537126</c:v>
                </c:pt>
                <c:pt idx="470">
                  <c:v>-2877.0143505512706</c:v>
                </c:pt>
                <c:pt idx="471">
                  <c:v>-27.60495031876917</c:v>
                </c:pt>
                <c:pt idx="472">
                  <c:v>-643.07806575414293</c:v>
                </c:pt>
                <c:pt idx="473">
                  <c:v>10130.491905923793</c:v>
                </c:pt>
                <c:pt idx="474">
                  <c:v>-9749.1840216158962</c:v>
                </c:pt>
                <c:pt idx="475">
                  <c:v>-8153.902044957038</c:v>
                </c:pt>
                <c:pt idx="476">
                  <c:v>8077.744875272132</c:v>
                </c:pt>
                <c:pt idx="477">
                  <c:v>-3275.0307312863415</c:v>
                </c:pt>
                <c:pt idx="478">
                  <c:v>-3637.9899704454037</c:v>
                </c:pt>
                <c:pt idx="479">
                  <c:v>-2482.9655669173144</c:v>
                </c:pt>
                <c:pt idx="480">
                  <c:v>-3307.576952672247</c:v>
                </c:pt>
                <c:pt idx="481">
                  <c:v>-4246.8053326622157</c:v>
                </c:pt>
                <c:pt idx="482">
                  <c:v>-1006.3747328276679</c:v>
                </c:pt>
                <c:pt idx="483">
                  <c:v>-4354.1202234311186</c:v>
                </c:pt>
                <c:pt idx="484">
                  <c:v>-3170.9880377573918</c:v>
                </c:pt>
                <c:pt idx="485">
                  <c:v>-1541.8557783125498</c:v>
                </c:pt>
                <c:pt idx="486">
                  <c:v>2323.59071671323</c:v>
                </c:pt>
                <c:pt idx="487">
                  <c:v>-779.57052262880893</c:v>
                </c:pt>
                <c:pt idx="488">
                  <c:v>13581.462417503019</c:v>
                </c:pt>
                <c:pt idx="489">
                  <c:v>-1603.6671383961184</c:v>
                </c:pt>
                <c:pt idx="490">
                  <c:v>-1636.5084145619026</c:v>
                </c:pt>
                <c:pt idx="491">
                  <c:v>12815.007547781432</c:v>
                </c:pt>
                <c:pt idx="492">
                  <c:v>1585.918262986736</c:v>
                </c:pt>
                <c:pt idx="493">
                  <c:v>-5020.3524522695825</c:v>
                </c:pt>
                <c:pt idx="494">
                  <c:v>-9346.954436964701</c:v>
                </c:pt>
                <c:pt idx="495">
                  <c:v>-76.507749771431463</c:v>
                </c:pt>
                <c:pt idx="496">
                  <c:v>498.38391280545511</c:v>
                </c:pt>
                <c:pt idx="497">
                  <c:v>-1656.6303443097104</c:v>
                </c:pt>
                <c:pt idx="498">
                  <c:v>303.48998443116852</c:v>
                </c:pt>
                <c:pt idx="499">
                  <c:v>-3029.6150676668476</c:v>
                </c:pt>
                <c:pt idx="500">
                  <c:v>5939.7445618571946</c:v>
                </c:pt>
                <c:pt idx="501">
                  <c:v>-525.18275297131459</c:v>
                </c:pt>
                <c:pt idx="502">
                  <c:v>-10584.513817163293</c:v>
                </c:pt>
                <c:pt idx="503">
                  <c:v>6204.5644569517863</c:v>
                </c:pt>
                <c:pt idx="504">
                  <c:v>-1505.7906001048741</c:v>
                </c:pt>
                <c:pt idx="505">
                  <c:v>-1998.4682023923233</c:v>
                </c:pt>
                <c:pt idx="506">
                  <c:v>-1490.1950776949143</c:v>
                </c:pt>
                <c:pt idx="507">
                  <c:v>1174.0497756828333</c:v>
                </c:pt>
                <c:pt idx="508">
                  <c:v>825.4095524647696</c:v>
                </c:pt>
                <c:pt idx="509">
                  <c:v>-376.50780118233342</c:v>
                </c:pt>
                <c:pt idx="510">
                  <c:v>-1381.9529930863391</c:v>
                </c:pt>
                <c:pt idx="511">
                  <c:v>-3194.2711393640698</c:v>
                </c:pt>
                <c:pt idx="512">
                  <c:v>1097.8628526426164</c:v>
                </c:pt>
                <c:pt idx="513">
                  <c:v>-1324.35490745887</c:v>
                </c:pt>
                <c:pt idx="514">
                  <c:v>-10264.498269660791</c:v>
                </c:pt>
                <c:pt idx="515">
                  <c:v>-2979.8421284011802</c:v>
                </c:pt>
                <c:pt idx="516">
                  <c:v>22831.992681714593</c:v>
                </c:pt>
                <c:pt idx="517">
                  <c:v>-1848.8586124096873</c:v>
                </c:pt>
                <c:pt idx="518">
                  <c:v>-2132.0941819951167</c:v>
                </c:pt>
                <c:pt idx="519">
                  <c:v>-1969.9682117727184</c:v>
                </c:pt>
                <c:pt idx="520">
                  <c:v>16061.014929937381</c:v>
                </c:pt>
                <c:pt idx="521">
                  <c:v>-6386.5060900190547</c:v>
                </c:pt>
                <c:pt idx="522">
                  <c:v>-2096.8410230171212</c:v>
                </c:pt>
                <c:pt idx="523">
                  <c:v>-4441.3486295617213</c:v>
                </c:pt>
                <c:pt idx="524">
                  <c:v>6843.1151366840459</c:v>
                </c:pt>
                <c:pt idx="525">
                  <c:v>8039.7875179840648</c:v>
                </c:pt>
                <c:pt idx="526">
                  <c:v>20470.869894909651</c:v>
                </c:pt>
                <c:pt idx="527">
                  <c:v>36.200995493492883</c:v>
                </c:pt>
                <c:pt idx="528">
                  <c:v>-4577.8930315662474</c:v>
                </c:pt>
                <c:pt idx="529">
                  <c:v>975.14292990707418</c:v>
                </c:pt>
                <c:pt idx="530">
                  <c:v>8236.3633970988303</c:v>
                </c:pt>
                <c:pt idx="531">
                  <c:v>-52.768388442989817</c:v>
                </c:pt>
                <c:pt idx="532">
                  <c:v>-690.45684977590645</c:v>
                </c:pt>
                <c:pt idx="533">
                  <c:v>10129.240838144104</c:v>
                </c:pt>
                <c:pt idx="534">
                  <c:v>-3597.0286779643102</c:v>
                </c:pt>
                <c:pt idx="535">
                  <c:v>-1121.7729805335775</c:v>
                </c:pt>
                <c:pt idx="536">
                  <c:v>-4374.4128808716314</c:v>
                </c:pt>
                <c:pt idx="537">
                  <c:v>-1600.1389559018844</c:v>
                </c:pt>
                <c:pt idx="538">
                  <c:v>-1026.6446242474558</c:v>
                </c:pt>
                <c:pt idx="539">
                  <c:v>15692.746110609873</c:v>
                </c:pt>
                <c:pt idx="540">
                  <c:v>-4118.5261256448939</c:v>
                </c:pt>
                <c:pt idx="541">
                  <c:v>-1176.4933958301581</c:v>
                </c:pt>
                <c:pt idx="542">
                  <c:v>-1937.7515067576842</c:v>
                </c:pt>
                <c:pt idx="543">
                  <c:v>22878.949127634129</c:v>
                </c:pt>
                <c:pt idx="544">
                  <c:v>-1312.734997481497</c:v>
                </c:pt>
                <c:pt idx="545">
                  <c:v>-9799.6606075207856</c:v>
                </c:pt>
                <c:pt idx="546">
                  <c:v>-3252.9746867375798</c:v>
                </c:pt>
                <c:pt idx="547">
                  <c:v>-6260.1481614247405</c:v>
                </c:pt>
                <c:pt idx="548">
                  <c:v>-333.18716931261815</c:v>
                </c:pt>
                <c:pt idx="549">
                  <c:v>8197.510905705909</c:v>
                </c:pt>
                <c:pt idx="550">
                  <c:v>-664.2137911310183</c:v>
                </c:pt>
                <c:pt idx="551">
                  <c:v>-1486.6512405769149</c:v>
                </c:pt>
                <c:pt idx="552">
                  <c:v>2185.5979029067366</c:v>
                </c:pt>
                <c:pt idx="553">
                  <c:v>-1277.0979462310752</c:v>
                </c:pt>
                <c:pt idx="554">
                  <c:v>10234.923172518746</c:v>
                </c:pt>
                <c:pt idx="555">
                  <c:v>123.58915422828068</c:v>
                </c:pt>
                <c:pt idx="556">
                  <c:v>-2659.9315855615914</c:v>
                </c:pt>
                <c:pt idx="557">
                  <c:v>-3739.4704622392301</c:v>
                </c:pt>
                <c:pt idx="558">
                  <c:v>6852.8137350757534</c:v>
                </c:pt>
                <c:pt idx="559">
                  <c:v>-2585.3219040342919</c:v>
                </c:pt>
                <c:pt idx="560">
                  <c:v>2067.590423220543</c:v>
                </c:pt>
                <c:pt idx="561">
                  <c:v>-1415.2746624992924</c:v>
                </c:pt>
                <c:pt idx="562">
                  <c:v>-2181.6131063858393</c:v>
                </c:pt>
                <c:pt idx="563">
                  <c:v>-6613.765309073955</c:v>
                </c:pt>
                <c:pt idx="564">
                  <c:v>-1022.1346441070459</c:v>
                </c:pt>
                <c:pt idx="565">
                  <c:v>-482.79879072878566</c:v>
                </c:pt>
                <c:pt idx="566">
                  <c:v>-4851.358972162383</c:v>
                </c:pt>
                <c:pt idx="567">
                  <c:v>-2004.7763663581782</c:v>
                </c:pt>
                <c:pt idx="568">
                  <c:v>-1613.5238093604839</c:v>
                </c:pt>
                <c:pt idx="569">
                  <c:v>7613.7087929727204</c:v>
                </c:pt>
                <c:pt idx="570">
                  <c:v>-1495.1491717295671</c:v>
                </c:pt>
                <c:pt idx="571">
                  <c:v>-2794.417781250293</c:v>
                </c:pt>
                <c:pt idx="572">
                  <c:v>-5704.3161633246546</c:v>
                </c:pt>
                <c:pt idx="573">
                  <c:v>15399.155999435769</c:v>
                </c:pt>
                <c:pt idx="574">
                  <c:v>-1355.494031170565</c:v>
                </c:pt>
                <c:pt idx="575">
                  <c:v>625.69363783436347</c:v>
                </c:pt>
                <c:pt idx="576">
                  <c:v>-543.41183533522235</c:v>
                </c:pt>
                <c:pt idx="577">
                  <c:v>26134.677798152385</c:v>
                </c:pt>
                <c:pt idx="578">
                  <c:v>-1774.2896843381968</c:v>
                </c:pt>
                <c:pt idx="579">
                  <c:v>1310.7799272628017</c:v>
                </c:pt>
                <c:pt idx="580">
                  <c:v>1135.8018138166553</c:v>
                </c:pt>
                <c:pt idx="581">
                  <c:v>-1002.2425739987013</c:v>
                </c:pt>
                <c:pt idx="582">
                  <c:v>-7165.8045698610613</c:v>
                </c:pt>
                <c:pt idx="583">
                  <c:v>13392.536650878865</c:v>
                </c:pt>
                <c:pt idx="584">
                  <c:v>1784.1207001008909</c:v>
                </c:pt>
                <c:pt idx="585">
                  <c:v>-1198.9035375778949</c:v>
                </c:pt>
                <c:pt idx="586">
                  <c:v>2615.969241123873</c:v>
                </c:pt>
                <c:pt idx="587">
                  <c:v>13271.72918756428</c:v>
                </c:pt>
                <c:pt idx="588">
                  <c:v>-1548.0965449889009</c:v>
                </c:pt>
                <c:pt idx="589">
                  <c:v>-2069.8026691054092</c:v>
                </c:pt>
                <c:pt idx="590">
                  <c:v>-343.75072936505603</c:v>
                </c:pt>
                <c:pt idx="591">
                  <c:v>1639.7775645156698</c:v>
                </c:pt>
                <c:pt idx="592">
                  <c:v>-1453.9888699549583</c:v>
                </c:pt>
                <c:pt idx="593">
                  <c:v>-9270.3210893885607</c:v>
                </c:pt>
                <c:pt idx="594">
                  <c:v>-5717.6335007410562</c:v>
                </c:pt>
                <c:pt idx="595">
                  <c:v>-2262.2630353713357</c:v>
                </c:pt>
                <c:pt idx="596">
                  <c:v>-1521.7847165347885</c:v>
                </c:pt>
                <c:pt idx="597">
                  <c:v>-2244.3298310574883</c:v>
                </c:pt>
                <c:pt idx="598">
                  <c:v>-2982.618800729726</c:v>
                </c:pt>
                <c:pt idx="599">
                  <c:v>19142.088374304098</c:v>
                </c:pt>
                <c:pt idx="600">
                  <c:v>-3509.1782890175355</c:v>
                </c:pt>
                <c:pt idx="601">
                  <c:v>-2055.1890245391587</c:v>
                </c:pt>
                <c:pt idx="602">
                  <c:v>590.89147580814097</c:v>
                </c:pt>
                <c:pt idx="603">
                  <c:v>-2303.2758185388466</c:v>
                </c:pt>
                <c:pt idx="604">
                  <c:v>-8250.4004215362584</c:v>
                </c:pt>
                <c:pt idx="605">
                  <c:v>-2739.1263325427462</c:v>
                </c:pt>
                <c:pt idx="606">
                  <c:v>596.84381374361737</c:v>
                </c:pt>
                <c:pt idx="607">
                  <c:v>-8856.3679345246528</c:v>
                </c:pt>
                <c:pt idx="608">
                  <c:v>-312.47810680677503</c:v>
                </c:pt>
                <c:pt idx="609">
                  <c:v>6684.3386537750739</c:v>
                </c:pt>
                <c:pt idx="610">
                  <c:v>-1394.7441833282119</c:v>
                </c:pt>
                <c:pt idx="611">
                  <c:v>-3271.4013503286133</c:v>
                </c:pt>
                <c:pt idx="612">
                  <c:v>-1001.8076149560557</c:v>
                </c:pt>
                <c:pt idx="613">
                  <c:v>2553.2405283381431</c:v>
                </c:pt>
                <c:pt idx="614">
                  <c:v>-1795.2470621763784</c:v>
                </c:pt>
                <c:pt idx="615">
                  <c:v>6879.3761860290615</c:v>
                </c:pt>
                <c:pt idx="616">
                  <c:v>117.97110344634712</c:v>
                </c:pt>
                <c:pt idx="617">
                  <c:v>-10223.109870838896</c:v>
                </c:pt>
                <c:pt idx="618">
                  <c:v>7175.5848448259239</c:v>
                </c:pt>
                <c:pt idx="619">
                  <c:v>-3305.9965703878097</c:v>
                </c:pt>
                <c:pt idx="620">
                  <c:v>-2553.0062064798217</c:v>
                </c:pt>
                <c:pt idx="621">
                  <c:v>6064.0416618834206</c:v>
                </c:pt>
                <c:pt idx="622">
                  <c:v>1321.3763229396618</c:v>
                </c:pt>
                <c:pt idx="623">
                  <c:v>7474.6322059487647</c:v>
                </c:pt>
                <c:pt idx="624">
                  <c:v>-245.22998508455021</c:v>
                </c:pt>
                <c:pt idx="625">
                  <c:v>-16.193650346331651</c:v>
                </c:pt>
                <c:pt idx="626">
                  <c:v>-1146.7971463937492</c:v>
                </c:pt>
                <c:pt idx="627">
                  <c:v>781.13765610529845</c:v>
                </c:pt>
                <c:pt idx="628">
                  <c:v>-3716.9033549359683</c:v>
                </c:pt>
                <c:pt idx="629">
                  <c:v>7393.3375689743407</c:v>
                </c:pt>
                <c:pt idx="630">
                  <c:v>-3569.7464684317092</c:v>
                </c:pt>
                <c:pt idx="631">
                  <c:v>-1538.0499009853179</c:v>
                </c:pt>
                <c:pt idx="632">
                  <c:v>-3443.5769773378511</c:v>
                </c:pt>
                <c:pt idx="633">
                  <c:v>707.5083523751382</c:v>
                </c:pt>
                <c:pt idx="634">
                  <c:v>-4907.2125039993625</c:v>
                </c:pt>
                <c:pt idx="635">
                  <c:v>-2280.1720654579312</c:v>
                </c:pt>
                <c:pt idx="636">
                  <c:v>1550.6604397300466</c:v>
                </c:pt>
                <c:pt idx="637">
                  <c:v>14785.149099300659</c:v>
                </c:pt>
                <c:pt idx="638">
                  <c:v>-10115.533902745075</c:v>
                </c:pt>
                <c:pt idx="639">
                  <c:v>-2115.1751141276873</c:v>
                </c:pt>
                <c:pt idx="640">
                  <c:v>-5754.032421907521</c:v>
                </c:pt>
                <c:pt idx="641">
                  <c:v>-282.97133677192323</c:v>
                </c:pt>
                <c:pt idx="642">
                  <c:v>-1397.776096320682</c:v>
                </c:pt>
                <c:pt idx="643">
                  <c:v>-2033.5798803736943</c:v>
                </c:pt>
                <c:pt idx="644">
                  <c:v>7509.8083975705849</c:v>
                </c:pt>
                <c:pt idx="645">
                  <c:v>-1459.9638997563234</c:v>
                </c:pt>
                <c:pt idx="646">
                  <c:v>-742.2387057355445</c:v>
                </c:pt>
                <c:pt idx="647">
                  <c:v>1098.8991539399076</c:v>
                </c:pt>
                <c:pt idx="648">
                  <c:v>0.94026526978927905</c:v>
                </c:pt>
                <c:pt idx="649">
                  <c:v>-1031.3801416304632</c:v>
                </c:pt>
                <c:pt idx="650">
                  <c:v>-5414.5907853512854</c:v>
                </c:pt>
                <c:pt idx="651">
                  <c:v>-4202.3613783759538</c:v>
                </c:pt>
                <c:pt idx="652">
                  <c:v>-2012.6184441132791</c:v>
                </c:pt>
                <c:pt idx="653">
                  <c:v>-3603.137005902925</c:v>
                </c:pt>
                <c:pt idx="654">
                  <c:v>-2194.98993431093</c:v>
                </c:pt>
                <c:pt idx="655">
                  <c:v>-9539.2309719776022</c:v>
                </c:pt>
                <c:pt idx="656">
                  <c:v>-5310.9956084117348</c:v>
                </c:pt>
                <c:pt idx="657">
                  <c:v>-2418.4428120209054</c:v>
                </c:pt>
                <c:pt idx="658">
                  <c:v>14087.067134759904</c:v>
                </c:pt>
                <c:pt idx="659">
                  <c:v>641.2437673928689</c:v>
                </c:pt>
                <c:pt idx="660">
                  <c:v>-7398.2914138715059</c:v>
                </c:pt>
                <c:pt idx="661">
                  <c:v>11406.285604682364</c:v>
                </c:pt>
                <c:pt idx="662">
                  <c:v>-1624.5578175383034</c:v>
                </c:pt>
                <c:pt idx="663">
                  <c:v>-2235.6405733908668</c:v>
                </c:pt>
                <c:pt idx="664">
                  <c:v>-8572.4485882870285</c:v>
                </c:pt>
                <c:pt idx="665">
                  <c:v>6567.602093741727</c:v>
                </c:pt>
                <c:pt idx="666">
                  <c:v>-1539.0380580853107</c:v>
                </c:pt>
                <c:pt idx="667">
                  <c:v>6485.037079748603</c:v>
                </c:pt>
                <c:pt idx="668">
                  <c:v>7710.8352157317349</c:v>
                </c:pt>
                <c:pt idx="669">
                  <c:v>-1778.8676492658542</c:v>
                </c:pt>
                <c:pt idx="670">
                  <c:v>-2376.4892760544744</c:v>
                </c:pt>
                <c:pt idx="671">
                  <c:v>-1460.1606469217513</c:v>
                </c:pt>
                <c:pt idx="672">
                  <c:v>-2339.0685500860745</c:v>
                </c:pt>
                <c:pt idx="673">
                  <c:v>-2267.5701384882532</c:v>
                </c:pt>
                <c:pt idx="674">
                  <c:v>8073.9136078471056</c:v>
                </c:pt>
                <c:pt idx="675">
                  <c:v>842.7540125938167</c:v>
                </c:pt>
                <c:pt idx="676">
                  <c:v>-4148.4153215661772</c:v>
                </c:pt>
                <c:pt idx="677">
                  <c:v>7440.3771666443863</c:v>
                </c:pt>
                <c:pt idx="678">
                  <c:v>-3012.5986215144221</c:v>
                </c:pt>
                <c:pt idx="679">
                  <c:v>1217.4065700523588</c:v>
                </c:pt>
                <c:pt idx="680">
                  <c:v>3199.4819992703569</c:v>
                </c:pt>
                <c:pt idx="681">
                  <c:v>1912.3052612373756</c:v>
                </c:pt>
                <c:pt idx="682">
                  <c:v>6030.7695949049012</c:v>
                </c:pt>
                <c:pt idx="683">
                  <c:v>472.79117258359838</c:v>
                </c:pt>
                <c:pt idx="684">
                  <c:v>1932.0043681807506</c:v>
                </c:pt>
                <c:pt idx="685">
                  <c:v>234.02220955381745</c:v>
                </c:pt>
                <c:pt idx="686">
                  <c:v>-352.63666000252215</c:v>
                </c:pt>
                <c:pt idx="687">
                  <c:v>-6190.4467994736342</c:v>
                </c:pt>
                <c:pt idx="688">
                  <c:v>17990.301409644977</c:v>
                </c:pt>
                <c:pt idx="689">
                  <c:v>5643.1640482628536</c:v>
                </c:pt>
                <c:pt idx="690">
                  <c:v>-13.811257482297151</c:v>
                </c:pt>
                <c:pt idx="691">
                  <c:v>-4072.4955647336947</c:v>
                </c:pt>
                <c:pt idx="692">
                  <c:v>-1591.8702790032703</c:v>
                </c:pt>
                <c:pt idx="693">
                  <c:v>653.95466805332717</c:v>
                </c:pt>
                <c:pt idx="694">
                  <c:v>-2955.0994541488744</c:v>
                </c:pt>
                <c:pt idx="695">
                  <c:v>-4333.6712355726286</c:v>
                </c:pt>
                <c:pt idx="696">
                  <c:v>16280.422946819079</c:v>
                </c:pt>
                <c:pt idx="697">
                  <c:v>6013.4952645114608</c:v>
                </c:pt>
                <c:pt idx="698">
                  <c:v>-2214.9957931290719</c:v>
                </c:pt>
                <c:pt idx="699">
                  <c:v>-3913.2662110734982</c:v>
                </c:pt>
                <c:pt idx="700">
                  <c:v>-2514.4763928198017</c:v>
                </c:pt>
                <c:pt idx="701">
                  <c:v>-5649.2514084570994</c:v>
                </c:pt>
                <c:pt idx="702">
                  <c:v>-5406.1218861431971</c:v>
                </c:pt>
                <c:pt idx="703">
                  <c:v>-252.37383562359446</c:v>
                </c:pt>
                <c:pt idx="704">
                  <c:v>-1067.8248788254241</c:v>
                </c:pt>
                <c:pt idx="705">
                  <c:v>-2567.1421482785336</c:v>
                </c:pt>
                <c:pt idx="706">
                  <c:v>7291.7866661905282</c:v>
                </c:pt>
                <c:pt idx="707">
                  <c:v>-921.83807514854561</c:v>
                </c:pt>
                <c:pt idx="708">
                  <c:v>-1012.6998253305273</c:v>
                </c:pt>
                <c:pt idx="709">
                  <c:v>-638.96420051729638</c:v>
                </c:pt>
                <c:pt idx="710">
                  <c:v>-2613.6534493121599</c:v>
                </c:pt>
                <c:pt idx="711">
                  <c:v>794.12795769916738</c:v>
                </c:pt>
                <c:pt idx="712">
                  <c:v>-1496.9351642888032</c:v>
                </c:pt>
                <c:pt idx="713">
                  <c:v>-4095.0937414002356</c:v>
                </c:pt>
                <c:pt idx="714">
                  <c:v>1098.0414980508062</c:v>
                </c:pt>
                <c:pt idx="715">
                  <c:v>-522.73560374164481</c:v>
                </c:pt>
                <c:pt idx="716">
                  <c:v>1284.5718852176742</c:v>
                </c:pt>
                <c:pt idx="717">
                  <c:v>1443.4753057252838</c:v>
                </c:pt>
                <c:pt idx="718">
                  <c:v>-2948.7167689363087</c:v>
                </c:pt>
                <c:pt idx="719">
                  <c:v>-1383.5993579800379</c:v>
                </c:pt>
                <c:pt idx="720">
                  <c:v>-4258.3531351810998</c:v>
                </c:pt>
                <c:pt idx="721">
                  <c:v>-3498.9818009439623</c:v>
                </c:pt>
                <c:pt idx="722">
                  <c:v>-2941.7845425526648</c:v>
                </c:pt>
                <c:pt idx="723">
                  <c:v>-2926.6619216649333</c:v>
                </c:pt>
                <c:pt idx="724">
                  <c:v>128.79916420130212</c:v>
                </c:pt>
                <c:pt idx="725">
                  <c:v>7499.5095846777331</c:v>
                </c:pt>
                <c:pt idx="726">
                  <c:v>-1420.0658356043068</c:v>
                </c:pt>
                <c:pt idx="727">
                  <c:v>-10003.928364761494</c:v>
                </c:pt>
                <c:pt idx="728">
                  <c:v>-3285.0950601996947</c:v>
                </c:pt>
                <c:pt idx="729">
                  <c:v>-3773.6071524106119</c:v>
                </c:pt>
                <c:pt idx="730">
                  <c:v>-10651.482628407106</c:v>
                </c:pt>
                <c:pt idx="731">
                  <c:v>1141.0361533341165</c:v>
                </c:pt>
                <c:pt idx="732">
                  <c:v>-958.92596989575759</c:v>
                </c:pt>
                <c:pt idx="733">
                  <c:v>-75.537387677815786</c:v>
                </c:pt>
                <c:pt idx="734">
                  <c:v>-855.06653214064136</c:v>
                </c:pt>
                <c:pt idx="735">
                  <c:v>-2612.2387733314736</c:v>
                </c:pt>
                <c:pt idx="736">
                  <c:v>6814.0815058779044</c:v>
                </c:pt>
                <c:pt idx="737">
                  <c:v>308.13030917311517</c:v>
                </c:pt>
                <c:pt idx="738">
                  <c:v>6917.0806047879014</c:v>
                </c:pt>
                <c:pt idx="739">
                  <c:v>13026.460287640213</c:v>
                </c:pt>
                <c:pt idx="740">
                  <c:v>421.32204994454423</c:v>
                </c:pt>
                <c:pt idx="741">
                  <c:v>-9806.0400585657262</c:v>
                </c:pt>
                <c:pt idx="742">
                  <c:v>6903.0215497668105</c:v>
                </c:pt>
                <c:pt idx="743">
                  <c:v>-700.40489268336023</c:v>
                </c:pt>
                <c:pt idx="744">
                  <c:v>-462.59163736346818</c:v>
                </c:pt>
                <c:pt idx="745">
                  <c:v>-1045.403500435983</c:v>
                </c:pt>
                <c:pt idx="746">
                  <c:v>5436.7424211542666</c:v>
                </c:pt>
                <c:pt idx="747">
                  <c:v>1829.0338701034116</c:v>
                </c:pt>
                <c:pt idx="748">
                  <c:v>-3519.4032841654516</c:v>
                </c:pt>
                <c:pt idx="749">
                  <c:v>-1991.6706897816503</c:v>
                </c:pt>
                <c:pt idx="750">
                  <c:v>-10206.69627405595</c:v>
                </c:pt>
                <c:pt idx="751">
                  <c:v>-731.3564730708556</c:v>
                </c:pt>
                <c:pt idx="752">
                  <c:v>-2388.8405156481895</c:v>
                </c:pt>
                <c:pt idx="753">
                  <c:v>1652.7238103356995</c:v>
                </c:pt>
                <c:pt idx="754">
                  <c:v>10324.935362528939</c:v>
                </c:pt>
                <c:pt idx="755">
                  <c:v>-703.88241168724926</c:v>
                </c:pt>
                <c:pt idx="756">
                  <c:v>1273.7346608897542</c:v>
                </c:pt>
                <c:pt idx="757">
                  <c:v>-9719.2611534224452</c:v>
                </c:pt>
                <c:pt idx="758">
                  <c:v>-3671.3930967039805</c:v>
                </c:pt>
                <c:pt idx="759">
                  <c:v>7672.8086537797426</c:v>
                </c:pt>
                <c:pt idx="760">
                  <c:v>-1720.7877244178526</c:v>
                </c:pt>
                <c:pt idx="761">
                  <c:v>-3213.4859859639391</c:v>
                </c:pt>
                <c:pt idx="762">
                  <c:v>-10372.463542269201</c:v>
                </c:pt>
                <c:pt idx="763">
                  <c:v>-166.15063568561936</c:v>
                </c:pt>
                <c:pt idx="764">
                  <c:v>544.99605070556208</c:v>
                </c:pt>
                <c:pt idx="765">
                  <c:v>-994.94963506112435</c:v>
                </c:pt>
                <c:pt idx="766">
                  <c:v>-2822.696093652964</c:v>
                </c:pt>
                <c:pt idx="767">
                  <c:v>-1483.4609276251849</c:v>
                </c:pt>
                <c:pt idx="768">
                  <c:v>-2858.0687837481655</c:v>
                </c:pt>
                <c:pt idx="769">
                  <c:v>2022.669598212965</c:v>
                </c:pt>
                <c:pt idx="770">
                  <c:v>11275.894441833796</c:v>
                </c:pt>
                <c:pt idx="771">
                  <c:v>47.088402729867084</c:v>
                </c:pt>
                <c:pt idx="772">
                  <c:v>1813.4614800076597</c:v>
                </c:pt>
                <c:pt idx="773">
                  <c:v>-8154.3334211557485</c:v>
                </c:pt>
                <c:pt idx="774">
                  <c:v>-3161.6420306149557</c:v>
                </c:pt>
                <c:pt idx="775">
                  <c:v>-2634.8779989924824</c:v>
                </c:pt>
                <c:pt idx="776">
                  <c:v>-2567.3188578862937</c:v>
                </c:pt>
                <c:pt idx="777">
                  <c:v>-4863.3495417697286</c:v>
                </c:pt>
                <c:pt idx="778">
                  <c:v>-3454.0306705195899</c:v>
                </c:pt>
                <c:pt idx="779">
                  <c:v>-988.51282437233021</c:v>
                </c:pt>
                <c:pt idx="780">
                  <c:v>-10458.580863698502</c:v>
                </c:pt>
                <c:pt idx="781">
                  <c:v>-4632.6918666431375</c:v>
                </c:pt>
                <c:pt idx="782">
                  <c:v>-3711.8914714016373</c:v>
                </c:pt>
                <c:pt idx="783">
                  <c:v>-9437.4428683058613</c:v>
                </c:pt>
                <c:pt idx="784">
                  <c:v>-1430.9253117299832</c:v>
                </c:pt>
                <c:pt idx="785">
                  <c:v>-843.57618371076205</c:v>
                </c:pt>
                <c:pt idx="786">
                  <c:v>-2521.0522536276112</c:v>
                </c:pt>
                <c:pt idx="787">
                  <c:v>-3258.1945844738148</c:v>
                </c:pt>
                <c:pt idx="788">
                  <c:v>1167.7211840030604</c:v>
                </c:pt>
                <c:pt idx="789">
                  <c:v>-55.733249300394164</c:v>
                </c:pt>
                <c:pt idx="790">
                  <c:v>-5744.5250464558121</c:v>
                </c:pt>
                <c:pt idx="791">
                  <c:v>-427.06297950347675</c:v>
                </c:pt>
                <c:pt idx="792">
                  <c:v>1701.4768990636162</c:v>
                </c:pt>
                <c:pt idx="793">
                  <c:v>-10905.530675714981</c:v>
                </c:pt>
                <c:pt idx="794">
                  <c:v>-1964.37101747628</c:v>
                </c:pt>
                <c:pt idx="795">
                  <c:v>-9532.5901467189396</c:v>
                </c:pt>
                <c:pt idx="796">
                  <c:v>-6545.823706449989</c:v>
                </c:pt>
                <c:pt idx="797">
                  <c:v>1244.5179746846911</c:v>
                </c:pt>
                <c:pt idx="798">
                  <c:v>-1657.642481014027</c:v>
                </c:pt>
                <c:pt idx="799">
                  <c:v>-10293.442743174386</c:v>
                </c:pt>
                <c:pt idx="800">
                  <c:v>-579.75977161296487</c:v>
                </c:pt>
                <c:pt idx="801">
                  <c:v>-1662.7477511504421</c:v>
                </c:pt>
                <c:pt idx="802">
                  <c:v>1140.2211253484143</c:v>
                </c:pt>
                <c:pt idx="803">
                  <c:v>8847.7607442160006</c:v>
                </c:pt>
                <c:pt idx="804">
                  <c:v>-544.17407972797901</c:v>
                </c:pt>
                <c:pt idx="805">
                  <c:v>-3295.7086444332908</c:v>
                </c:pt>
                <c:pt idx="806">
                  <c:v>16460.936663747671</c:v>
                </c:pt>
                <c:pt idx="807">
                  <c:v>-2431.2041200033591</c:v>
                </c:pt>
                <c:pt idx="808">
                  <c:v>-1107.6164353898009</c:v>
                </c:pt>
                <c:pt idx="809">
                  <c:v>176.18172996910016</c:v>
                </c:pt>
                <c:pt idx="810">
                  <c:v>-1676.9181131524365</c:v>
                </c:pt>
                <c:pt idx="811">
                  <c:v>-5286.0769483501281</c:v>
                </c:pt>
                <c:pt idx="812">
                  <c:v>1483.5052775660115</c:v>
                </c:pt>
                <c:pt idx="813">
                  <c:v>1118.3820068792393</c:v>
                </c:pt>
                <c:pt idx="814">
                  <c:v>-3623.8556166166554</c:v>
                </c:pt>
                <c:pt idx="815">
                  <c:v>-1301.7365018009123</c:v>
                </c:pt>
                <c:pt idx="816">
                  <c:v>960.2917684338363</c:v>
                </c:pt>
                <c:pt idx="817">
                  <c:v>-3591.3672824538894</c:v>
                </c:pt>
                <c:pt idx="818">
                  <c:v>-9308.1217271240021</c:v>
                </c:pt>
                <c:pt idx="819">
                  <c:v>23482.357547325199</c:v>
                </c:pt>
                <c:pt idx="820">
                  <c:v>-3374.4350429699534</c:v>
                </c:pt>
                <c:pt idx="821">
                  <c:v>2392.5171993972726</c:v>
                </c:pt>
                <c:pt idx="822">
                  <c:v>-935.87322420259989</c:v>
                </c:pt>
                <c:pt idx="823">
                  <c:v>-1564.7999941331</c:v>
                </c:pt>
                <c:pt idx="824">
                  <c:v>1327.9776212711076</c:v>
                </c:pt>
                <c:pt idx="825">
                  <c:v>479.56018253473849</c:v>
                </c:pt>
                <c:pt idx="826">
                  <c:v>6487.0024942615055</c:v>
                </c:pt>
                <c:pt idx="827">
                  <c:v>-9710.9728118883868</c:v>
                </c:pt>
                <c:pt idx="828">
                  <c:v>5989.8538055406461</c:v>
                </c:pt>
                <c:pt idx="829">
                  <c:v>658.17762468055298</c:v>
                </c:pt>
                <c:pt idx="830">
                  <c:v>-1401.2750176658064</c:v>
                </c:pt>
                <c:pt idx="831">
                  <c:v>-230.08753511899249</c:v>
                </c:pt>
                <c:pt idx="832">
                  <c:v>981.16844110042712</c:v>
                </c:pt>
                <c:pt idx="833">
                  <c:v>-2177.0376906791898</c:v>
                </c:pt>
                <c:pt idx="834">
                  <c:v>-3160.8718453376932</c:v>
                </c:pt>
                <c:pt idx="835">
                  <c:v>-4090.5792209742576</c:v>
                </c:pt>
                <c:pt idx="836">
                  <c:v>-2915.8990752002555</c:v>
                </c:pt>
                <c:pt idx="837">
                  <c:v>209.30265325609253</c:v>
                </c:pt>
                <c:pt idx="838">
                  <c:v>981.08022286759569</c:v>
                </c:pt>
                <c:pt idx="839">
                  <c:v>-578.21353337226174</c:v>
                </c:pt>
                <c:pt idx="840">
                  <c:v>-1795.3369041084316</c:v>
                </c:pt>
                <c:pt idx="841">
                  <c:v>1263.8547955218019</c:v>
                </c:pt>
                <c:pt idx="842">
                  <c:v>6884.5484473504512</c:v>
                </c:pt>
                <c:pt idx="843">
                  <c:v>-8466.529804351605</c:v>
                </c:pt>
                <c:pt idx="844">
                  <c:v>-1306.058039960888</c:v>
                </c:pt>
                <c:pt idx="845">
                  <c:v>7385.2765701565222</c:v>
                </c:pt>
                <c:pt idx="846">
                  <c:v>-2655.674788372693</c:v>
                </c:pt>
                <c:pt idx="847">
                  <c:v>-8078.0900810935445</c:v>
                </c:pt>
                <c:pt idx="848">
                  <c:v>358.33987179792075</c:v>
                </c:pt>
                <c:pt idx="849">
                  <c:v>-2026.0010530995642</c:v>
                </c:pt>
                <c:pt idx="850">
                  <c:v>6114.502781499541</c:v>
                </c:pt>
                <c:pt idx="851">
                  <c:v>-849.23551182376832</c:v>
                </c:pt>
                <c:pt idx="852">
                  <c:v>7106.5765520305795</c:v>
                </c:pt>
                <c:pt idx="853">
                  <c:v>1575.449541111444</c:v>
                </c:pt>
                <c:pt idx="854">
                  <c:v>-9331.3973743983915</c:v>
                </c:pt>
                <c:pt idx="855">
                  <c:v>-705.67829251625608</c:v>
                </c:pt>
                <c:pt idx="856">
                  <c:v>6232.2581322456026</c:v>
                </c:pt>
                <c:pt idx="857">
                  <c:v>-10103.156801642128</c:v>
                </c:pt>
                <c:pt idx="858">
                  <c:v>13027.920065813754</c:v>
                </c:pt>
                <c:pt idx="859">
                  <c:v>-673.23095947760703</c:v>
                </c:pt>
                <c:pt idx="860">
                  <c:v>8597.3173546186954</c:v>
                </c:pt>
                <c:pt idx="861">
                  <c:v>-976.76612655419467</c:v>
                </c:pt>
                <c:pt idx="862">
                  <c:v>-1549.5563503505309</c:v>
                </c:pt>
                <c:pt idx="863">
                  <c:v>1887.8739108856635</c:v>
                </c:pt>
                <c:pt idx="864">
                  <c:v>-440.11212782419716</c:v>
                </c:pt>
                <c:pt idx="865">
                  <c:v>-2181.2114910673854</c:v>
                </c:pt>
                <c:pt idx="866">
                  <c:v>-3398.9154657044701</c:v>
                </c:pt>
                <c:pt idx="867">
                  <c:v>-5556.9311593463444</c:v>
                </c:pt>
                <c:pt idx="868">
                  <c:v>1890.1578968301583</c:v>
                </c:pt>
                <c:pt idx="869">
                  <c:v>806.68765925291973</c:v>
                </c:pt>
                <c:pt idx="870">
                  <c:v>-3982.9087711789398</c:v>
                </c:pt>
                <c:pt idx="871">
                  <c:v>-1170.6342837032689</c:v>
                </c:pt>
                <c:pt idx="872">
                  <c:v>-761.24840431674147</c:v>
                </c:pt>
                <c:pt idx="873">
                  <c:v>-2296.9629780808737</c:v>
                </c:pt>
                <c:pt idx="874">
                  <c:v>1195.5704569371264</c:v>
                </c:pt>
                <c:pt idx="875">
                  <c:v>-188.11693830233071</c:v>
                </c:pt>
                <c:pt idx="876">
                  <c:v>16412.828486460628</c:v>
                </c:pt>
                <c:pt idx="877">
                  <c:v>-2882.6982524502564</c:v>
                </c:pt>
                <c:pt idx="878">
                  <c:v>-1929.6481397265861</c:v>
                </c:pt>
                <c:pt idx="879">
                  <c:v>-1567.3314079398333</c:v>
                </c:pt>
                <c:pt idx="880">
                  <c:v>-2747.791548588742</c:v>
                </c:pt>
                <c:pt idx="881">
                  <c:v>-318.06858768883194</c:v>
                </c:pt>
                <c:pt idx="882">
                  <c:v>2149.5995223630384</c:v>
                </c:pt>
                <c:pt idx="883">
                  <c:v>8051.0557364226843</c:v>
                </c:pt>
                <c:pt idx="884">
                  <c:v>48.680233902392501</c:v>
                </c:pt>
                <c:pt idx="885">
                  <c:v>-10024.783402138262</c:v>
                </c:pt>
                <c:pt idx="886">
                  <c:v>-8513.2595829791899</c:v>
                </c:pt>
                <c:pt idx="887">
                  <c:v>-1569.6161989952625</c:v>
                </c:pt>
                <c:pt idx="888">
                  <c:v>-4600.4531953049727</c:v>
                </c:pt>
                <c:pt idx="889">
                  <c:v>-1946.8848327353371</c:v>
                </c:pt>
                <c:pt idx="890">
                  <c:v>-7532.9907023535525</c:v>
                </c:pt>
                <c:pt idx="891">
                  <c:v>-1176.5732863941657</c:v>
                </c:pt>
                <c:pt idx="892">
                  <c:v>866.11411506299009</c:v>
                </c:pt>
                <c:pt idx="893">
                  <c:v>6895.1980299200368</c:v>
                </c:pt>
                <c:pt idx="894">
                  <c:v>-663.54372152265023</c:v>
                </c:pt>
                <c:pt idx="895">
                  <c:v>-4723.6292939743089</c:v>
                </c:pt>
                <c:pt idx="896">
                  <c:v>-10396.62068407383</c:v>
                </c:pt>
                <c:pt idx="897">
                  <c:v>726.77822376098129</c:v>
                </c:pt>
                <c:pt idx="898">
                  <c:v>-3861.685832142869</c:v>
                </c:pt>
                <c:pt idx="899">
                  <c:v>2074.4832039440894</c:v>
                </c:pt>
                <c:pt idx="900">
                  <c:v>910.51798403341127</c:v>
                </c:pt>
                <c:pt idx="901">
                  <c:v>8323.7984880914591</c:v>
                </c:pt>
                <c:pt idx="902">
                  <c:v>-135.81685750163069</c:v>
                </c:pt>
                <c:pt idx="903">
                  <c:v>-4266.29617569537</c:v>
                </c:pt>
                <c:pt idx="904">
                  <c:v>-2020.5963013571636</c:v>
                </c:pt>
                <c:pt idx="905">
                  <c:v>-432.07897389394293</c:v>
                </c:pt>
                <c:pt idx="906">
                  <c:v>-1920.282027947238</c:v>
                </c:pt>
                <c:pt idx="907">
                  <c:v>-2491.0650277755476</c:v>
                </c:pt>
                <c:pt idx="908">
                  <c:v>-3201.8733633393967</c:v>
                </c:pt>
                <c:pt idx="909">
                  <c:v>-10381.053212289989</c:v>
                </c:pt>
                <c:pt idx="910">
                  <c:v>-515.99241305762826</c:v>
                </c:pt>
                <c:pt idx="911">
                  <c:v>7170.4200880771459</c:v>
                </c:pt>
                <c:pt idx="912">
                  <c:v>1260.0273002161139</c:v>
                </c:pt>
                <c:pt idx="913">
                  <c:v>-940.03183802407693</c:v>
                </c:pt>
                <c:pt idx="914">
                  <c:v>-14.914761710675521</c:v>
                </c:pt>
                <c:pt idx="915">
                  <c:v>-2552.0138803106038</c:v>
                </c:pt>
                <c:pt idx="916">
                  <c:v>-9674.8120484160791</c:v>
                </c:pt>
                <c:pt idx="917">
                  <c:v>4388.7283342596493</c:v>
                </c:pt>
                <c:pt idx="918">
                  <c:v>339.66087091684676</c:v>
                </c:pt>
                <c:pt idx="919">
                  <c:v>-3160.775285115411</c:v>
                </c:pt>
                <c:pt idx="920">
                  <c:v>1520.9368526783692</c:v>
                </c:pt>
                <c:pt idx="921">
                  <c:v>-1106.8466506195728</c:v>
                </c:pt>
                <c:pt idx="922">
                  <c:v>-2658.1457039861853</c:v>
                </c:pt>
                <c:pt idx="923">
                  <c:v>-3870.8110637993741</c:v>
                </c:pt>
                <c:pt idx="924">
                  <c:v>-201.27698293068261</c:v>
                </c:pt>
                <c:pt idx="925">
                  <c:v>13261.973635349976</c:v>
                </c:pt>
                <c:pt idx="926">
                  <c:v>1638.8702813379703</c:v>
                </c:pt>
                <c:pt idx="927">
                  <c:v>2494.9579477062689</c:v>
                </c:pt>
                <c:pt idx="928">
                  <c:v>-3016.7966115531963</c:v>
                </c:pt>
                <c:pt idx="929">
                  <c:v>-3663.3443290975465</c:v>
                </c:pt>
                <c:pt idx="930">
                  <c:v>-7123.5012021459452</c:v>
                </c:pt>
                <c:pt idx="931">
                  <c:v>-2648.7363155783614</c:v>
                </c:pt>
                <c:pt idx="932">
                  <c:v>-332.61573003802005</c:v>
                </c:pt>
                <c:pt idx="933">
                  <c:v>-3513.6709719700666</c:v>
                </c:pt>
                <c:pt idx="934">
                  <c:v>-4388.4624451085638</c:v>
                </c:pt>
                <c:pt idx="935">
                  <c:v>272.56286756640657</c:v>
                </c:pt>
                <c:pt idx="936">
                  <c:v>22348.79776107999</c:v>
                </c:pt>
                <c:pt idx="937">
                  <c:v>848.07258074937999</c:v>
                </c:pt>
                <c:pt idx="938">
                  <c:v>392.40608876975443</c:v>
                </c:pt>
                <c:pt idx="939">
                  <c:v>-1563.7896660770566</c:v>
                </c:pt>
                <c:pt idx="940">
                  <c:v>1113.1810862998022</c:v>
                </c:pt>
                <c:pt idx="941">
                  <c:v>-6547.7743608243545</c:v>
                </c:pt>
                <c:pt idx="942">
                  <c:v>-3254.6511769297808</c:v>
                </c:pt>
                <c:pt idx="943">
                  <c:v>1555.0394206741746</c:v>
                </c:pt>
                <c:pt idx="944">
                  <c:v>-3752.5518917409318</c:v>
                </c:pt>
                <c:pt idx="945">
                  <c:v>-2658.455569570413</c:v>
                </c:pt>
                <c:pt idx="946">
                  <c:v>-4036.1007824912513</c:v>
                </c:pt>
                <c:pt idx="947">
                  <c:v>6317.4024682367708</c:v>
                </c:pt>
                <c:pt idx="948">
                  <c:v>-2427.5991254862956</c:v>
                </c:pt>
                <c:pt idx="949">
                  <c:v>-9200.9037621051539</c:v>
                </c:pt>
                <c:pt idx="950">
                  <c:v>3039.0745892668328</c:v>
                </c:pt>
                <c:pt idx="951">
                  <c:v>7849.5088453474164</c:v>
                </c:pt>
                <c:pt idx="952">
                  <c:v>-721.22425497039058</c:v>
                </c:pt>
                <c:pt idx="953">
                  <c:v>5277.6202127433062</c:v>
                </c:pt>
                <c:pt idx="954">
                  <c:v>-9898.1162306878432</c:v>
                </c:pt>
                <c:pt idx="955">
                  <c:v>-5198.2454627955885</c:v>
                </c:pt>
                <c:pt idx="956">
                  <c:v>5980.4906132808319</c:v>
                </c:pt>
                <c:pt idx="957">
                  <c:v>9428.366804600304</c:v>
                </c:pt>
                <c:pt idx="958">
                  <c:v>6512.6347580953079</c:v>
                </c:pt>
                <c:pt idx="959">
                  <c:v>15919.118768600581</c:v>
                </c:pt>
                <c:pt idx="960">
                  <c:v>-3289.9091001864667</c:v>
                </c:pt>
                <c:pt idx="961">
                  <c:v>-357.53366797697299</c:v>
                </c:pt>
                <c:pt idx="962">
                  <c:v>-1469.7462791781782</c:v>
                </c:pt>
                <c:pt idx="963">
                  <c:v>341.45256090904513</c:v>
                </c:pt>
                <c:pt idx="964">
                  <c:v>12381.820940463418</c:v>
                </c:pt>
                <c:pt idx="965">
                  <c:v>-1371.2947109143879</c:v>
                </c:pt>
                <c:pt idx="966">
                  <c:v>-9818.8825062124306</c:v>
                </c:pt>
                <c:pt idx="967">
                  <c:v>-361.84669295808635</c:v>
                </c:pt>
                <c:pt idx="968">
                  <c:v>734.72932701461377</c:v>
                </c:pt>
                <c:pt idx="969">
                  <c:v>-2769.9853309326609</c:v>
                </c:pt>
                <c:pt idx="970">
                  <c:v>-570.90603897305846</c:v>
                </c:pt>
                <c:pt idx="971">
                  <c:v>745.44347801968433</c:v>
                </c:pt>
                <c:pt idx="972">
                  <c:v>2445.235680430987</c:v>
                </c:pt>
                <c:pt idx="973">
                  <c:v>-4072.0150761551167</c:v>
                </c:pt>
                <c:pt idx="974">
                  <c:v>-3678.6727010342502</c:v>
                </c:pt>
                <c:pt idx="975">
                  <c:v>-10416.292048454654</c:v>
                </c:pt>
                <c:pt idx="976">
                  <c:v>-5392.1802977410152</c:v>
                </c:pt>
                <c:pt idx="977">
                  <c:v>-1553.8820207656699</c:v>
                </c:pt>
                <c:pt idx="978">
                  <c:v>-4088.7442549470288</c:v>
                </c:pt>
                <c:pt idx="979">
                  <c:v>-1920.5700587111405</c:v>
                </c:pt>
                <c:pt idx="980">
                  <c:v>15028.170550468438</c:v>
                </c:pt>
                <c:pt idx="981">
                  <c:v>956.65159322773434</c:v>
                </c:pt>
                <c:pt idx="982">
                  <c:v>-10258.479475290678</c:v>
                </c:pt>
                <c:pt idx="983">
                  <c:v>11618.307851812628</c:v>
                </c:pt>
                <c:pt idx="984">
                  <c:v>-199.22754270859696</c:v>
                </c:pt>
                <c:pt idx="985">
                  <c:v>-395.24745319401518</c:v>
                </c:pt>
                <c:pt idx="986">
                  <c:v>-1687.7745802151367</c:v>
                </c:pt>
                <c:pt idx="987">
                  <c:v>19468.646001233588</c:v>
                </c:pt>
                <c:pt idx="988">
                  <c:v>-3305.4850645603919</c:v>
                </c:pt>
                <c:pt idx="989">
                  <c:v>-9929.5186300549922</c:v>
                </c:pt>
                <c:pt idx="990">
                  <c:v>1931.4320957996665</c:v>
                </c:pt>
                <c:pt idx="991">
                  <c:v>-456.38772953956959</c:v>
                </c:pt>
                <c:pt idx="992">
                  <c:v>-1788.7909492010058</c:v>
                </c:pt>
                <c:pt idx="993">
                  <c:v>-1783.2860742296734</c:v>
                </c:pt>
                <c:pt idx="994">
                  <c:v>-10122.090882333956</c:v>
                </c:pt>
                <c:pt idx="995">
                  <c:v>1121.5154445401795</c:v>
                </c:pt>
                <c:pt idx="996">
                  <c:v>-2930.4791912159462</c:v>
                </c:pt>
                <c:pt idx="997">
                  <c:v>-2114.0052783203519</c:v>
                </c:pt>
                <c:pt idx="998">
                  <c:v>-2955.0086194560654</c:v>
                </c:pt>
                <c:pt idx="999">
                  <c:v>-564.96965108806216</c:v>
                </c:pt>
                <c:pt idx="1000">
                  <c:v>-10428.717970146568</c:v>
                </c:pt>
                <c:pt idx="1001">
                  <c:v>6051.2814833390366</c:v>
                </c:pt>
                <c:pt idx="1002">
                  <c:v>-416.43499104107354</c:v>
                </c:pt>
                <c:pt idx="1003">
                  <c:v>11431.373802233777</c:v>
                </c:pt>
                <c:pt idx="1004">
                  <c:v>1961.5528975953321</c:v>
                </c:pt>
                <c:pt idx="1005">
                  <c:v>-2100.8282776328888</c:v>
                </c:pt>
                <c:pt idx="1006">
                  <c:v>-1043.1301052847393</c:v>
                </c:pt>
                <c:pt idx="1007">
                  <c:v>-9413.8807901537766</c:v>
                </c:pt>
                <c:pt idx="1008">
                  <c:v>19909.544263852513</c:v>
                </c:pt>
                <c:pt idx="1009">
                  <c:v>-491.49412601845688</c:v>
                </c:pt>
                <c:pt idx="1010">
                  <c:v>656.82504155402057</c:v>
                </c:pt>
                <c:pt idx="1011">
                  <c:v>-11454.29495331533</c:v>
                </c:pt>
                <c:pt idx="1012">
                  <c:v>20332.915112158134</c:v>
                </c:pt>
                <c:pt idx="1013">
                  <c:v>-2378.0606009833209</c:v>
                </c:pt>
                <c:pt idx="1014">
                  <c:v>-1195.0746187802397</c:v>
                </c:pt>
                <c:pt idx="1015">
                  <c:v>820.30412936247922</c:v>
                </c:pt>
                <c:pt idx="1016">
                  <c:v>1520.2166564601321</c:v>
                </c:pt>
                <c:pt idx="1017">
                  <c:v>-2567.7144206596172</c:v>
                </c:pt>
                <c:pt idx="1018">
                  <c:v>-2273.4281570439616</c:v>
                </c:pt>
                <c:pt idx="1019">
                  <c:v>21241.771748310806</c:v>
                </c:pt>
                <c:pt idx="1020">
                  <c:v>-4157.4644007822626</c:v>
                </c:pt>
                <c:pt idx="1021">
                  <c:v>6809.932708135515</c:v>
                </c:pt>
                <c:pt idx="1022">
                  <c:v>6297.6799575917321</c:v>
                </c:pt>
                <c:pt idx="1023">
                  <c:v>1193.4280164414458</c:v>
                </c:pt>
                <c:pt idx="1024">
                  <c:v>-6506.1035586455509</c:v>
                </c:pt>
                <c:pt idx="1025">
                  <c:v>-2427.9518140526761</c:v>
                </c:pt>
                <c:pt idx="1026">
                  <c:v>-9008.1707386041162</c:v>
                </c:pt>
                <c:pt idx="1027">
                  <c:v>21744.164005419276</c:v>
                </c:pt>
                <c:pt idx="1028">
                  <c:v>-2141.1763474307827</c:v>
                </c:pt>
                <c:pt idx="1029">
                  <c:v>2928.5023207513723</c:v>
                </c:pt>
                <c:pt idx="1030">
                  <c:v>-9979.3216547758457</c:v>
                </c:pt>
                <c:pt idx="1031">
                  <c:v>7204.2802489949681</c:v>
                </c:pt>
                <c:pt idx="1032">
                  <c:v>-484.50282307499037</c:v>
                </c:pt>
                <c:pt idx="1033">
                  <c:v>-9542.7747020419265</c:v>
                </c:pt>
                <c:pt idx="1034">
                  <c:v>-3028.6362100066963</c:v>
                </c:pt>
                <c:pt idx="1035">
                  <c:v>1450.2847703661737</c:v>
                </c:pt>
                <c:pt idx="1036">
                  <c:v>7225.0935364920042</c:v>
                </c:pt>
                <c:pt idx="1037">
                  <c:v>6125.2988571206079</c:v>
                </c:pt>
                <c:pt idx="1038">
                  <c:v>-614.15309713129545</c:v>
                </c:pt>
                <c:pt idx="1039">
                  <c:v>19975.005209356685</c:v>
                </c:pt>
                <c:pt idx="1040">
                  <c:v>-9518.3939890122056</c:v>
                </c:pt>
                <c:pt idx="1041">
                  <c:v>1736.2388116549544</c:v>
                </c:pt>
                <c:pt idx="1042">
                  <c:v>6734.1862893855032</c:v>
                </c:pt>
                <c:pt idx="1043">
                  <c:v>-259.32902036249698</c:v>
                </c:pt>
                <c:pt idx="1044">
                  <c:v>-2502.0429336631823</c:v>
                </c:pt>
                <c:pt idx="1045">
                  <c:v>-9812.0735642996733</c:v>
                </c:pt>
                <c:pt idx="1046">
                  <c:v>268.25557972783827</c:v>
                </c:pt>
                <c:pt idx="1047">
                  <c:v>9723.6294939706204</c:v>
                </c:pt>
                <c:pt idx="1048">
                  <c:v>1530.71584441613</c:v>
                </c:pt>
                <c:pt idx="1049">
                  <c:v>5439.1493251943248</c:v>
                </c:pt>
                <c:pt idx="1050">
                  <c:v>-3586.994451887741</c:v>
                </c:pt>
                <c:pt idx="1051">
                  <c:v>1494.8632600115488</c:v>
                </c:pt>
                <c:pt idx="1052">
                  <c:v>-1318.1594432958809</c:v>
                </c:pt>
                <c:pt idx="1053">
                  <c:v>-9529.7470636571015</c:v>
                </c:pt>
                <c:pt idx="1054">
                  <c:v>1584.1533612703106</c:v>
                </c:pt>
                <c:pt idx="1055">
                  <c:v>-382.03395652414474</c:v>
                </c:pt>
                <c:pt idx="1056">
                  <c:v>-1297.9895157773753</c:v>
                </c:pt>
                <c:pt idx="1057">
                  <c:v>8197.1888520025896</c:v>
                </c:pt>
                <c:pt idx="1058">
                  <c:v>-4314.5515959372733</c:v>
                </c:pt>
                <c:pt idx="1059">
                  <c:v>-3044.2098160162677</c:v>
                </c:pt>
                <c:pt idx="1060">
                  <c:v>-2406.5003026850018</c:v>
                </c:pt>
                <c:pt idx="1061">
                  <c:v>-506.45945056883829</c:v>
                </c:pt>
                <c:pt idx="1062">
                  <c:v>8334.0271712509202</c:v>
                </c:pt>
                <c:pt idx="1063">
                  <c:v>-1255.465696584004</c:v>
                </c:pt>
                <c:pt idx="1064">
                  <c:v>200.59549069209606</c:v>
                </c:pt>
                <c:pt idx="1065">
                  <c:v>-297.75373711269822</c:v>
                </c:pt>
                <c:pt idx="1066">
                  <c:v>-4244.6653167067943</c:v>
                </c:pt>
                <c:pt idx="1067">
                  <c:v>-5924.51959588505</c:v>
                </c:pt>
                <c:pt idx="1068">
                  <c:v>2763.3011152918425</c:v>
                </c:pt>
                <c:pt idx="1069">
                  <c:v>-1632.8170838289698</c:v>
                </c:pt>
                <c:pt idx="1070">
                  <c:v>6218.1082420824823</c:v>
                </c:pt>
                <c:pt idx="1071">
                  <c:v>-287.91134596359916</c:v>
                </c:pt>
                <c:pt idx="1072">
                  <c:v>-1462.0084715488201</c:v>
                </c:pt>
                <c:pt idx="1073">
                  <c:v>33.474037205669447</c:v>
                </c:pt>
                <c:pt idx="1074">
                  <c:v>3934.9390672757654</c:v>
                </c:pt>
                <c:pt idx="1075">
                  <c:v>-1582.6580819979381</c:v>
                </c:pt>
                <c:pt idx="1076">
                  <c:v>-2237.5576728006017</c:v>
                </c:pt>
                <c:pt idx="1077">
                  <c:v>412.40240829651566</c:v>
                </c:pt>
                <c:pt idx="1078">
                  <c:v>5547.4780849156487</c:v>
                </c:pt>
                <c:pt idx="1079">
                  <c:v>-1234.2403498943531</c:v>
                </c:pt>
                <c:pt idx="1080">
                  <c:v>11388.598661271089</c:v>
                </c:pt>
                <c:pt idx="1081">
                  <c:v>-1126.2483700116099</c:v>
                </c:pt>
                <c:pt idx="1082">
                  <c:v>1265.9527974092143</c:v>
                </c:pt>
                <c:pt idx="1083">
                  <c:v>-2683.7393614246544</c:v>
                </c:pt>
                <c:pt idx="1084">
                  <c:v>373.99676297426231</c:v>
                </c:pt>
                <c:pt idx="1085">
                  <c:v>-10998.893503431962</c:v>
                </c:pt>
                <c:pt idx="1086">
                  <c:v>-608.24772230295639</c:v>
                </c:pt>
                <c:pt idx="1087">
                  <c:v>-1392.6181852513782</c:v>
                </c:pt>
                <c:pt idx="1088">
                  <c:v>-7395.1826901730674</c:v>
                </c:pt>
                <c:pt idx="1089">
                  <c:v>1127.3679649000223</c:v>
                </c:pt>
                <c:pt idx="1090">
                  <c:v>6200.7215188250266</c:v>
                </c:pt>
                <c:pt idx="1091">
                  <c:v>-393.24217173219404</c:v>
                </c:pt>
                <c:pt idx="1092">
                  <c:v>-2181.3371099525534</c:v>
                </c:pt>
                <c:pt idx="1093">
                  <c:v>6741.9457245345402</c:v>
                </c:pt>
                <c:pt idx="1094">
                  <c:v>-2230.7645262592014</c:v>
                </c:pt>
                <c:pt idx="1095">
                  <c:v>38.616004989038629</c:v>
                </c:pt>
                <c:pt idx="1096">
                  <c:v>7583.3123839066393</c:v>
                </c:pt>
                <c:pt idx="1097">
                  <c:v>-2764.2093570248253</c:v>
                </c:pt>
                <c:pt idx="1098">
                  <c:v>11802.999134289808</c:v>
                </c:pt>
                <c:pt idx="1099">
                  <c:v>-2529.5787031867826</c:v>
                </c:pt>
                <c:pt idx="1100">
                  <c:v>-10534.117378071118</c:v>
                </c:pt>
                <c:pt idx="1101">
                  <c:v>-935.29057821426068</c:v>
                </c:pt>
                <c:pt idx="1102">
                  <c:v>-4909.8526765722081</c:v>
                </c:pt>
                <c:pt idx="1103">
                  <c:v>-3101.6174614808388</c:v>
                </c:pt>
                <c:pt idx="1104">
                  <c:v>13391.770402299449</c:v>
                </c:pt>
                <c:pt idx="1105">
                  <c:v>-1536.8102424079461</c:v>
                </c:pt>
                <c:pt idx="1106">
                  <c:v>-1175.1009110199739</c:v>
                </c:pt>
                <c:pt idx="1107">
                  <c:v>318.291398084717</c:v>
                </c:pt>
                <c:pt idx="1108">
                  <c:v>-1826.2742131806995</c:v>
                </c:pt>
                <c:pt idx="1109">
                  <c:v>1134.7200538685902</c:v>
                </c:pt>
                <c:pt idx="1110">
                  <c:v>-1178.001644965454</c:v>
                </c:pt>
                <c:pt idx="1111">
                  <c:v>6665.9500519100911</c:v>
                </c:pt>
                <c:pt idx="1112">
                  <c:v>-9644.8390297646692</c:v>
                </c:pt>
                <c:pt idx="1113">
                  <c:v>305.12636053680853</c:v>
                </c:pt>
                <c:pt idx="1114">
                  <c:v>679.7487259544464</c:v>
                </c:pt>
                <c:pt idx="1115">
                  <c:v>-2259.8548713470609</c:v>
                </c:pt>
                <c:pt idx="1116">
                  <c:v>-1153.8449802964988</c:v>
                </c:pt>
                <c:pt idx="1117">
                  <c:v>6295.3936611270728</c:v>
                </c:pt>
                <c:pt idx="1118">
                  <c:v>6085.3953231543092</c:v>
                </c:pt>
                <c:pt idx="1119">
                  <c:v>2219.2722249604158</c:v>
                </c:pt>
                <c:pt idx="1120">
                  <c:v>6420.9698143629721</c:v>
                </c:pt>
                <c:pt idx="1121">
                  <c:v>-4643.2163365463475</c:v>
                </c:pt>
                <c:pt idx="1122">
                  <c:v>8002.8383883017959</c:v>
                </c:pt>
                <c:pt idx="1123">
                  <c:v>13144.445569684238</c:v>
                </c:pt>
                <c:pt idx="1124">
                  <c:v>9032.3805765693905</c:v>
                </c:pt>
                <c:pt idx="1125">
                  <c:v>2040.825433120719</c:v>
                </c:pt>
                <c:pt idx="1126">
                  <c:v>-1487.6744699310784</c:v>
                </c:pt>
                <c:pt idx="1127">
                  <c:v>-3574.0389153492315</c:v>
                </c:pt>
                <c:pt idx="1128">
                  <c:v>6664.0222002210585</c:v>
                </c:pt>
                <c:pt idx="1129">
                  <c:v>2946.0896460674367</c:v>
                </c:pt>
                <c:pt idx="1130">
                  <c:v>578.83632875800959</c:v>
                </c:pt>
                <c:pt idx="1131">
                  <c:v>-6885.7233412321566</c:v>
                </c:pt>
                <c:pt idx="1132">
                  <c:v>5150.1932539164245</c:v>
                </c:pt>
                <c:pt idx="1133">
                  <c:v>2784.487125918612</c:v>
                </c:pt>
                <c:pt idx="1134">
                  <c:v>13671.304428850977</c:v>
                </c:pt>
                <c:pt idx="1135">
                  <c:v>-175.08758285941258</c:v>
                </c:pt>
                <c:pt idx="1136">
                  <c:v>-138.87833092104484</c:v>
                </c:pt>
                <c:pt idx="1137">
                  <c:v>1420.213202441344</c:v>
                </c:pt>
                <c:pt idx="1138">
                  <c:v>-2437.9147996576735</c:v>
                </c:pt>
                <c:pt idx="1139">
                  <c:v>9834.0099145874701</c:v>
                </c:pt>
                <c:pt idx="1140">
                  <c:v>-4146.2125071966166</c:v>
                </c:pt>
                <c:pt idx="1141">
                  <c:v>-2427.4061016148389</c:v>
                </c:pt>
                <c:pt idx="1142">
                  <c:v>17811.3629223797</c:v>
                </c:pt>
                <c:pt idx="1143">
                  <c:v>-2970.96480666959</c:v>
                </c:pt>
                <c:pt idx="1144">
                  <c:v>-2502.1139311898532</c:v>
                </c:pt>
                <c:pt idx="1145">
                  <c:v>-1985.4824777459653</c:v>
                </c:pt>
                <c:pt idx="1146">
                  <c:v>14854.502479162104</c:v>
                </c:pt>
                <c:pt idx="1147">
                  <c:v>-1066.1487471078699</c:v>
                </c:pt>
                <c:pt idx="1148">
                  <c:v>1319.6989983892818</c:v>
                </c:pt>
                <c:pt idx="1149">
                  <c:v>-3722.3117665695445</c:v>
                </c:pt>
                <c:pt idx="1150">
                  <c:v>-88.492516858600538</c:v>
                </c:pt>
                <c:pt idx="1151">
                  <c:v>-2357.802022617323</c:v>
                </c:pt>
                <c:pt idx="1152">
                  <c:v>6245.1374938225708</c:v>
                </c:pt>
                <c:pt idx="1153">
                  <c:v>-3292.1158866755541</c:v>
                </c:pt>
                <c:pt idx="1154">
                  <c:v>-142.15121720469324</c:v>
                </c:pt>
                <c:pt idx="1155">
                  <c:v>1503.7149657702294</c:v>
                </c:pt>
                <c:pt idx="1156">
                  <c:v>8670.2841333848482</c:v>
                </c:pt>
                <c:pt idx="1157">
                  <c:v>12190.784360641614</c:v>
                </c:pt>
                <c:pt idx="1158">
                  <c:v>-439.93508132905708</c:v>
                </c:pt>
                <c:pt idx="1159">
                  <c:v>-5386.6665131544723</c:v>
                </c:pt>
                <c:pt idx="1160">
                  <c:v>-2860.6300628095041</c:v>
                </c:pt>
                <c:pt idx="1161">
                  <c:v>-6046.5294038332786</c:v>
                </c:pt>
                <c:pt idx="1162">
                  <c:v>10359.463770409971</c:v>
                </c:pt>
                <c:pt idx="1163">
                  <c:v>581.27171507953472</c:v>
                </c:pt>
                <c:pt idx="1164">
                  <c:v>-900.6220523343909</c:v>
                </c:pt>
                <c:pt idx="1165">
                  <c:v>-102.34247759838308</c:v>
                </c:pt>
                <c:pt idx="1166">
                  <c:v>-4605.2923723392832</c:v>
                </c:pt>
                <c:pt idx="1167">
                  <c:v>290.06152462495538</c:v>
                </c:pt>
                <c:pt idx="1168">
                  <c:v>-3753.9488674829654</c:v>
                </c:pt>
                <c:pt idx="1169">
                  <c:v>-2775.5538024777916</c:v>
                </c:pt>
                <c:pt idx="1170">
                  <c:v>-8450.5958970525753</c:v>
                </c:pt>
                <c:pt idx="1171">
                  <c:v>-9857.9963699820983</c:v>
                </c:pt>
                <c:pt idx="1172">
                  <c:v>-4731.972425384396</c:v>
                </c:pt>
                <c:pt idx="1173">
                  <c:v>-1602.0451785882988</c:v>
                </c:pt>
                <c:pt idx="1174">
                  <c:v>-2222.6036107125501</c:v>
                </c:pt>
                <c:pt idx="1175">
                  <c:v>-137.73180007393785</c:v>
                </c:pt>
                <c:pt idx="1176">
                  <c:v>-9468.918815107565</c:v>
                </c:pt>
                <c:pt idx="1177">
                  <c:v>-1006.5556684185294</c:v>
                </c:pt>
                <c:pt idx="1178">
                  <c:v>-2149.6290504663089</c:v>
                </c:pt>
                <c:pt idx="1179">
                  <c:v>-9945.9866137623467</c:v>
                </c:pt>
                <c:pt idx="1180">
                  <c:v>-4850.1476676431294</c:v>
                </c:pt>
                <c:pt idx="1181">
                  <c:v>-866.33822776107536</c:v>
                </c:pt>
                <c:pt idx="1182">
                  <c:v>-1462.5738111568853</c:v>
                </c:pt>
                <c:pt idx="1183">
                  <c:v>-105.9812709477319</c:v>
                </c:pt>
                <c:pt idx="1184">
                  <c:v>-8953.9798189149224</c:v>
                </c:pt>
                <c:pt idx="1185">
                  <c:v>573.54126629411985</c:v>
                </c:pt>
                <c:pt idx="1186">
                  <c:v>7713.260012712446</c:v>
                </c:pt>
                <c:pt idx="1187">
                  <c:v>-557.20672114213994</c:v>
                </c:pt>
                <c:pt idx="1188">
                  <c:v>-9631.5042483733378</c:v>
                </c:pt>
                <c:pt idx="1189">
                  <c:v>10287.068830038615</c:v>
                </c:pt>
                <c:pt idx="1190">
                  <c:v>-2058.8495082626687</c:v>
                </c:pt>
                <c:pt idx="1191">
                  <c:v>7781.0317932897569</c:v>
                </c:pt>
                <c:pt idx="1192">
                  <c:v>-733.21955755679664</c:v>
                </c:pt>
                <c:pt idx="1193">
                  <c:v>-3374.5308325836832</c:v>
                </c:pt>
                <c:pt idx="1194">
                  <c:v>1241.6397821391402</c:v>
                </c:pt>
                <c:pt idx="1195">
                  <c:v>15632.515810921454</c:v>
                </c:pt>
                <c:pt idx="1196">
                  <c:v>7037.8005796052639</c:v>
                </c:pt>
                <c:pt idx="1197">
                  <c:v>-3567.3374876765211</c:v>
                </c:pt>
                <c:pt idx="1198">
                  <c:v>-1739.0577609731017</c:v>
                </c:pt>
                <c:pt idx="1199">
                  <c:v>-206.63117344521197</c:v>
                </c:pt>
                <c:pt idx="1200">
                  <c:v>-13.34134122235173</c:v>
                </c:pt>
                <c:pt idx="1201">
                  <c:v>-4966.8337798112225</c:v>
                </c:pt>
                <c:pt idx="1202">
                  <c:v>-1849.2434283084117</c:v>
                </c:pt>
                <c:pt idx="1203">
                  <c:v>-1952.7981229743873</c:v>
                </c:pt>
                <c:pt idx="1204">
                  <c:v>-8327.0836159169266</c:v>
                </c:pt>
                <c:pt idx="1205">
                  <c:v>1972.7686513384156</c:v>
                </c:pt>
                <c:pt idx="1206">
                  <c:v>21652.822995733914</c:v>
                </c:pt>
                <c:pt idx="1207">
                  <c:v>5727.4197822942733</c:v>
                </c:pt>
                <c:pt idx="1208">
                  <c:v>-9650.6137542009492</c:v>
                </c:pt>
                <c:pt idx="1209">
                  <c:v>-3177.3689152550578</c:v>
                </c:pt>
                <c:pt idx="1210">
                  <c:v>-2217.1130639703215</c:v>
                </c:pt>
                <c:pt idx="1211">
                  <c:v>13687.517324329876</c:v>
                </c:pt>
                <c:pt idx="1212">
                  <c:v>2253.7839272435135</c:v>
                </c:pt>
                <c:pt idx="1213">
                  <c:v>-2163.2223486917774</c:v>
                </c:pt>
                <c:pt idx="1214">
                  <c:v>-1436.0638310767781</c:v>
                </c:pt>
                <c:pt idx="1215">
                  <c:v>7754.2719390392867</c:v>
                </c:pt>
                <c:pt idx="1216">
                  <c:v>-867.58289828109446</c:v>
                </c:pt>
                <c:pt idx="1217">
                  <c:v>-4265.5936774300308</c:v>
                </c:pt>
                <c:pt idx="1218">
                  <c:v>6482.3333411270796</c:v>
                </c:pt>
                <c:pt idx="1219">
                  <c:v>-1301.9858268332737</c:v>
                </c:pt>
                <c:pt idx="1220">
                  <c:v>1548.9564073838424</c:v>
                </c:pt>
                <c:pt idx="1221">
                  <c:v>-601.3367750602074</c:v>
                </c:pt>
                <c:pt idx="1222">
                  <c:v>-489.87948020972362</c:v>
                </c:pt>
                <c:pt idx="1223">
                  <c:v>1400.442928185701</c:v>
                </c:pt>
                <c:pt idx="1224">
                  <c:v>210.79427808170749</c:v>
                </c:pt>
                <c:pt idx="1225">
                  <c:v>-4900.2327403939007</c:v>
                </c:pt>
                <c:pt idx="1226">
                  <c:v>2586.0969297705906</c:v>
                </c:pt>
                <c:pt idx="1227">
                  <c:v>-4478.3375184121242</c:v>
                </c:pt>
                <c:pt idx="1228">
                  <c:v>-2823.9211321321272</c:v>
                </c:pt>
                <c:pt idx="1229">
                  <c:v>-667.95281007283847</c:v>
                </c:pt>
                <c:pt idx="1230">
                  <c:v>22385.041577380034</c:v>
                </c:pt>
                <c:pt idx="1231">
                  <c:v>-3714.6451963703221</c:v>
                </c:pt>
                <c:pt idx="1232">
                  <c:v>1318.944268806028</c:v>
                </c:pt>
                <c:pt idx="1233">
                  <c:v>993.87926682985562</c:v>
                </c:pt>
                <c:pt idx="1234">
                  <c:v>-888.82892383785475</c:v>
                </c:pt>
                <c:pt idx="1235">
                  <c:v>-1900.0632416607696</c:v>
                </c:pt>
                <c:pt idx="1236">
                  <c:v>3336.8034308376664</c:v>
                </c:pt>
                <c:pt idx="1237">
                  <c:v>290.81142186529723</c:v>
                </c:pt>
                <c:pt idx="1238">
                  <c:v>819.70155882038307</c:v>
                </c:pt>
                <c:pt idx="1239">
                  <c:v>-5138.1345223142525</c:v>
                </c:pt>
                <c:pt idx="1240">
                  <c:v>7752.6558811423893</c:v>
                </c:pt>
                <c:pt idx="1241">
                  <c:v>8524.0309829295875</c:v>
                </c:pt>
                <c:pt idx="1242">
                  <c:v>2456.8466178244498</c:v>
                </c:pt>
                <c:pt idx="1243">
                  <c:v>-2601.9018751317594</c:v>
                </c:pt>
                <c:pt idx="1244">
                  <c:v>-2129.8883104532679</c:v>
                </c:pt>
                <c:pt idx="1245">
                  <c:v>309.85150617020463</c:v>
                </c:pt>
                <c:pt idx="1246">
                  <c:v>-90.748451331895922</c:v>
                </c:pt>
                <c:pt idx="1247">
                  <c:v>-1703.5318694259358</c:v>
                </c:pt>
                <c:pt idx="1248">
                  <c:v>-3720.682814892737</c:v>
                </c:pt>
                <c:pt idx="1249">
                  <c:v>6350.3480045080396</c:v>
                </c:pt>
                <c:pt idx="1250">
                  <c:v>-8849.4242905066822</c:v>
                </c:pt>
                <c:pt idx="1251">
                  <c:v>2072.5359626579816</c:v>
                </c:pt>
                <c:pt idx="1252">
                  <c:v>-9419.3169119969916</c:v>
                </c:pt>
                <c:pt idx="1253">
                  <c:v>6293.3554195456945</c:v>
                </c:pt>
                <c:pt idx="1254">
                  <c:v>-1170.6759577997591</c:v>
                </c:pt>
                <c:pt idx="1255">
                  <c:v>-4451.0650973661513</c:v>
                </c:pt>
                <c:pt idx="1256">
                  <c:v>-2741.8875346723871</c:v>
                </c:pt>
                <c:pt idx="1257">
                  <c:v>113.74623526038886</c:v>
                </c:pt>
                <c:pt idx="1258">
                  <c:v>14425.494470227375</c:v>
                </c:pt>
                <c:pt idx="1259">
                  <c:v>1431.8516791529364</c:v>
                </c:pt>
                <c:pt idx="1260">
                  <c:v>1791.4291573176815</c:v>
                </c:pt>
                <c:pt idx="1261">
                  <c:v>-4254.0451880140226</c:v>
                </c:pt>
                <c:pt idx="1262">
                  <c:v>-1200.3020875956754</c:v>
                </c:pt>
                <c:pt idx="1263">
                  <c:v>-1743.8706975126315</c:v>
                </c:pt>
                <c:pt idx="1264">
                  <c:v>-1840.0835398285653</c:v>
                </c:pt>
                <c:pt idx="1265">
                  <c:v>-8931.6738684747615</c:v>
                </c:pt>
                <c:pt idx="1266">
                  <c:v>-1190.9513116358066</c:v>
                </c:pt>
                <c:pt idx="1267">
                  <c:v>6358.720926984417</c:v>
                </c:pt>
                <c:pt idx="1268">
                  <c:v>-1891.385483028741</c:v>
                </c:pt>
                <c:pt idx="1269">
                  <c:v>-1156.5789764460806</c:v>
                </c:pt>
                <c:pt idx="1270">
                  <c:v>-2697.8806553040463</c:v>
                </c:pt>
                <c:pt idx="1271">
                  <c:v>-2420.7047320473598</c:v>
                </c:pt>
                <c:pt idx="1272">
                  <c:v>4912.4113847485896</c:v>
                </c:pt>
                <c:pt idx="1273">
                  <c:v>-1534.7300263634061</c:v>
                </c:pt>
                <c:pt idx="1274">
                  <c:v>-10078.675219297234</c:v>
                </c:pt>
                <c:pt idx="1275">
                  <c:v>736.79921302372713</c:v>
                </c:pt>
                <c:pt idx="1276">
                  <c:v>-612.25442944993802</c:v>
                </c:pt>
                <c:pt idx="1277">
                  <c:v>-1361.6227198640909</c:v>
                </c:pt>
                <c:pt idx="1278">
                  <c:v>-9407.6229992777626</c:v>
                </c:pt>
                <c:pt idx="1279">
                  <c:v>276.24108172412434</c:v>
                </c:pt>
                <c:pt idx="1280">
                  <c:v>-2717.6335303639462</c:v>
                </c:pt>
                <c:pt idx="1281">
                  <c:v>-9136.4453749884669</c:v>
                </c:pt>
                <c:pt idx="1282">
                  <c:v>-9037.7635853118409</c:v>
                </c:pt>
                <c:pt idx="1283">
                  <c:v>-956.86799662308954</c:v>
                </c:pt>
                <c:pt idx="1284">
                  <c:v>7809.7213463416774</c:v>
                </c:pt>
                <c:pt idx="1285">
                  <c:v>691.08821656573491</c:v>
                </c:pt>
                <c:pt idx="1286">
                  <c:v>3050.7975178162224</c:v>
                </c:pt>
                <c:pt idx="1287">
                  <c:v>-516.81753483528882</c:v>
                </c:pt>
                <c:pt idx="1288">
                  <c:v>7850.9954825326895</c:v>
                </c:pt>
                <c:pt idx="1289">
                  <c:v>-3614.5786054011478</c:v>
                </c:pt>
                <c:pt idx="1290">
                  <c:v>2070.4504818633905</c:v>
                </c:pt>
                <c:pt idx="1291">
                  <c:v>6988.2689337401534</c:v>
                </c:pt>
                <c:pt idx="1292">
                  <c:v>733.10356430873435</c:v>
                </c:pt>
                <c:pt idx="1293">
                  <c:v>-162.98567179010752</c:v>
                </c:pt>
                <c:pt idx="1294">
                  <c:v>976.01408650258418</c:v>
                </c:pt>
                <c:pt idx="1295">
                  <c:v>1356.3260535311356</c:v>
                </c:pt>
                <c:pt idx="1296">
                  <c:v>762.03614701766764</c:v>
                </c:pt>
                <c:pt idx="1297">
                  <c:v>-255.86124747140639</c:v>
                </c:pt>
                <c:pt idx="1298">
                  <c:v>-928.22985980812973</c:v>
                </c:pt>
                <c:pt idx="1299">
                  <c:v>1154.8906572211495</c:v>
                </c:pt>
                <c:pt idx="1300">
                  <c:v>29509.606212049999</c:v>
                </c:pt>
                <c:pt idx="1301">
                  <c:v>7665.1942683332527</c:v>
                </c:pt>
                <c:pt idx="1302">
                  <c:v>1697.3072002888093</c:v>
                </c:pt>
                <c:pt idx="1303">
                  <c:v>6086.0959179842102</c:v>
                </c:pt>
                <c:pt idx="1304">
                  <c:v>-10145.090173699406</c:v>
                </c:pt>
                <c:pt idx="1305">
                  <c:v>-542.7208844962006</c:v>
                </c:pt>
                <c:pt idx="1306">
                  <c:v>-10103.414832485591</c:v>
                </c:pt>
                <c:pt idx="1307">
                  <c:v>-9431.8066124743491</c:v>
                </c:pt>
                <c:pt idx="1308">
                  <c:v>6025.8724831117142</c:v>
                </c:pt>
                <c:pt idx="1309">
                  <c:v>-2903.7192249325317</c:v>
                </c:pt>
                <c:pt idx="1310">
                  <c:v>-729.02211099652777</c:v>
                </c:pt>
                <c:pt idx="1311">
                  <c:v>-426.67456255716297</c:v>
                </c:pt>
                <c:pt idx="1312">
                  <c:v>-6408.7823684751893</c:v>
                </c:pt>
                <c:pt idx="1313">
                  <c:v>7674.5565832167449</c:v>
                </c:pt>
                <c:pt idx="1314">
                  <c:v>-9712.1421685817986</c:v>
                </c:pt>
                <c:pt idx="1315">
                  <c:v>9148.6941162637941</c:v>
                </c:pt>
                <c:pt idx="1316">
                  <c:v>2305.1668403850108</c:v>
                </c:pt>
                <c:pt idx="1317">
                  <c:v>-8475.024086709278</c:v>
                </c:pt>
                <c:pt idx="1318">
                  <c:v>7900.027352620451</c:v>
                </c:pt>
                <c:pt idx="1319">
                  <c:v>-168.18490455128449</c:v>
                </c:pt>
                <c:pt idx="1320">
                  <c:v>-1884.3627249500196</c:v>
                </c:pt>
                <c:pt idx="1321">
                  <c:v>-8185.7901211530116</c:v>
                </c:pt>
                <c:pt idx="1322">
                  <c:v>-3400.0443486155982</c:v>
                </c:pt>
                <c:pt idx="1323">
                  <c:v>7417.9207605088886</c:v>
                </c:pt>
                <c:pt idx="1324">
                  <c:v>-471.391197282951</c:v>
                </c:pt>
                <c:pt idx="1325">
                  <c:v>-1276.0007632410197</c:v>
                </c:pt>
                <c:pt idx="1326">
                  <c:v>-2256.1442410748514</c:v>
                </c:pt>
                <c:pt idx="1327">
                  <c:v>-1808.3507385248358</c:v>
                </c:pt>
                <c:pt idx="1328">
                  <c:v>19824.120044672549</c:v>
                </c:pt>
                <c:pt idx="1329">
                  <c:v>-4350.6677837502066</c:v>
                </c:pt>
                <c:pt idx="1330">
                  <c:v>803.05332013600855</c:v>
                </c:pt>
                <c:pt idx="1331">
                  <c:v>6218.3311546960686</c:v>
                </c:pt>
                <c:pt idx="1332">
                  <c:v>-5700.9846566274264</c:v>
                </c:pt>
                <c:pt idx="1333">
                  <c:v>-1577.4025809568648</c:v>
                </c:pt>
                <c:pt idx="1334">
                  <c:v>-606.03773244715876</c:v>
                </c:pt>
                <c:pt idx="1335">
                  <c:v>-2768.9124484543363</c:v>
                </c:pt>
                <c:pt idx="1336">
                  <c:v>392.10853094999425</c:v>
                </c:pt>
                <c:pt idx="1337">
                  <c:v>-7652.3103955705301</c:v>
                </c:pt>
              </c:numCache>
            </c:numRef>
          </c:yVal>
          <c:smooth val="0"/>
          <c:extLst>
            <c:ext xmlns:c16="http://schemas.microsoft.com/office/drawing/2014/chart" uri="{C3380CC4-5D6E-409C-BE32-E72D297353CC}">
              <c16:uniqueId val="{00000000-EFD1-41D4-96D0-2F622B523CEE}"/>
            </c:ext>
          </c:extLst>
        </c:ser>
        <c:dLbls>
          <c:showLegendKey val="0"/>
          <c:showVal val="0"/>
          <c:showCatName val="0"/>
          <c:showSerName val="0"/>
          <c:showPercent val="0"/>
          <c:showBubbleSize val="0"/>
        </c:dLbls>
        <c:axId val="672579296"/>
        <c:axId val="672574016"/>
      </c:scatterChart>
      <c:valAx>
        <c:axId val="672579296"/>
        <c:scaling>
          <c:orientation val="minMax"/>
        </c:scaling>
        <c:delete val="0"/>
        <c:axPos val="b"/>
        <c:title>
          <c:tx>
            <c:rich>
              <a:bodyPr/>
              <a:lstStyle/>
              <a:p>
                <a:pPr>
                  <a:defRPr/>
                </a:pPr>
                <a:r>
                  <a:rPr lang="en-GB"/>
                  <a:t>children</a:t>
                </a:r>
              </a:p>
            </c:rich>
          </c:tx>
          <c:overlay val="0"/>
        </c:title>
        <c:numFmt formatCode="General" sourceLinked="1"/>
        <c:majorTickMark val="out"/>
        <c:minorTickMark val="none"/>
        <c:tickLblPos val="nextTo"/>
        <c:crossAx val="672574016"/>
        <c:crosses val="autoZero"/>
        <c:crossBetween val="midCat"/>
      </c:valAx>
      <c:valAx>
        <c:axId val="672574016"/>
        <c:scaling>
          <c:orientation val="minMax"/>
        </c:scaling>
        <c:delete val="0"/>
        <c:axPos val="l"/>
        <c:title>
          <c:tx>
            <c:rich>
              <a:bodyPr/>
              <a:lstStyle/>
              <a:p>
                <a:pPr>
                  <a:defRPr/>
                </a:pPr>
                <a:r>
                  <a:rPr lang="en-GB"/>
                  <a:t>Residuals</a:t>
                </a:r>
              </a:p>
            </c:rich>
          </c:tx>
          <c:overlay val="0"/>
        </c:title>
        <c:numFmt formatCode="General" sourceLinked="1"/>
        <c:majorTickMark val="out"/>
        <c:minorTickMark val="none"/>
        <c:tickLblPos val="nextTo"/>
        <c:crossAx val="672579296"/>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BMI Vs No. of children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'insurance (Clean)'!$J$2:$J$1339</c:f>
              <c:numCache>
                <c:formatCode>General</c:formatCode>
                <c:ptCount val="1338"/>
                <c:pt idx="0">
                  <c:v>0</c:v>
                </c:pt>
                <c:pt idx="1">
                  <c:v>1</c:v>
                </c:pt>
                <c:pt idx="2">
                  <c:v>3</c:v>
                </c:pt>
                <c:pt idx="3">
                  <c:v>0</c:v>
                </c:pt>
                <c:pt idx="4">
                  <c:v>0</c:v>
                </c:pt>
                <c:pt idx="5">
                  <c:v>0</c:v>
                </c:pt>
                <c:pt idx="6">
                  <c:v>1</c:v>
                </c:pt>
                <c:pt idx="7">
                  <c:v>3</c:v>
                </c:pt>
                <c:pt idx="8">
                  <c:v>2</c:v>
                </c:pt>
                <c:pt idx="9">
                  <c:v>0</c:v>
                </c:pt>
                <c:pt idx="10">
                  <c:v>0</c:v>
                </c:pt>
                <c:pt idx="11">
                  <c:v>0</c:v>
                </c:pt>
                <c:pt idx="12">
                  <c:v>0</c:v>
                </c:pt>
                <c:pt idx="13">
                  <c:v>0</c:v>
                </c:pt>
                <c:pt idx="14">
                  <c:v>0</c:v>
                </c:pt>
                <c:pt idx="15">
                  <c:v>1</c:v>
                </c:pt>
                <c:pt idx="16">
                  <c:v>1</c:v>
                </c:pt>
                <c:pt idx="17">
                  <c:v>0</c:v>
                </c:pt>
                <c:pt idx="18">
                  <c:v>0</c:v>
                </c:pt>
                <c:pt idx="19">
                  <c:v>0</c:v>
                </c:pt>
                <c:pt idx="20">
                  <c:v>0</c:v>
                </c:pt>
                <c:pt idx="21">
                  <c:v>1</c:v>
                </c:pt>
                <c:pt idx="22">
                  <c:v>0</c:v>
                </c:pt>
                <c:pt idx="23">
                  <c:v>1</c:v>
                </c:pt>
                <c:pt idx="24">
                  <c:v>2</c:v>
                </c:pt>
                <c:pt idx="25">
                  <c:v>3</c:v>
                </c:pt>
                <c:pt idx="26">
                  <c:v>0</c:v>
                </c:pt>
                <c:pt idx="27">
                  <c:v>2</c:v>
                </c:pt>
                <c:pt idx="28">
                  <c:v>1</c:v>
                </c:pt>
                <c:pt idx="29">
                  <c:v>2</c:v>
                </c:pt>
                <c:pt idx="30">
                  <c:v>0</c:v>
                </c:pt>
                <c:pt idx="31">
                  <c:v>0</c:v>
                </c:pt>
                <c:pt idx="32">
                  <c:v>5</c:v>
                </c:pt>
                <c:pt idx="33">
                  <c:v>0</c:v>
                </c:pt>
                <c:pt idx="34">
                  <c:v>1</c:v>
                </c:pt>
                <c:pt idx="35">
                  <c:v>0</c:v>
                </c:pt>
                <c:pt idx="36">
                  <c:v>3</c:v>
                </c:pt>
                <c:pt idx="37">
                  <c:v>0</c:v>
                </c:pt>
                <c:pt idx="38">
                  <c:v>1</c:v>
                </c:pt>
                <c:pt idx="39">
                  <c:v>0</c:v>
                </c:pt>
                <c:pt idx="40">
                  <c:v>0</c:v>
                </c:pt>
                <c:pt idx="41">
                  <c:v>2</c:v>
                </c:pt>
                <c:pt idx="42">
                  <c:v>1</c:v>
                </c:pt>
                <c:pt idx="43">
                  <c:v>2</c:v>
                </c:pt>
                <c:pt idx="44">
                  <c:v>1</c:v>
                </c:pt>
                <c:pt idx="45">
                  <c:v>0</c:v>
                </c:pt>
                <c:pt idx="46">
                  <c:v>2</c:v>
                </c:pt>
                <c:pt idx="47">
                  <c:v>0</c:v>
                </c:pt>
                <c:pt idx="48">
                  <c:v>0</c:v>
                </c:pt>
                <c:pt idx="49">
                  <c:v>1</c:v>
                </c:pt>
                <c:pt idx="50">
                  <c:v>0</c:v>
                </c:pt>
                <c:pt idx="51">
                  <c:v>2</c:v>
                </c:pt>
                <c:pt idx="52">
                  <c:v>1</c:v>
                </c:pt>
                <c:pt idx="53">
                  <c:v>0</c:v>
                </c:pt>
                <c:pt idx="54">
                  <c:v>3</c:v>
                </c:pt>
                <c:pt idx="55">
                  <c:v>2</c:v>
                </c:pt>
                <c:pt idx="56">
                  <c:v>2</c:v>
                </c:pt>
                <c:pt idx="57">
                  <c:v>2</c:v>
                </c:pt>
                <c:pt idx="58">
                  <c:v>1</c:v>
                </c:pt>
                <c:pt idx="59">
                  <c:v>2</c:v>
                </c:pt>
                <c:pt idx="60">
                  <c:v>3</c:v>
                </c:pt>
                <c:pt idx="61">
                  <c:v>4</c:v>
                </c:pt>
                <c:pt idx="62">
                  <c:v>1</c:v>
                </c:pt>
                <c:pt idx="63">
                  <c:v>1</c:v>
                </c:pt>
                <c:pt idx="64">
                  <c:v>0</c:v>
                </c:pt>
                <c:pt idx="65">
                  <c:v>0</c:v>
                </c:pt>
                <c:pt idx="66">
                  <c:v>2</c:v>
                </c:pt>
                <c:pt idx="67">
                  <c:v>1</c:v>
                </c:pt>
                <c:pt idx="68">
                  <c:v>0</c:v>
                </c:pt>
                <c:pt idx="69">
                  <c:v>3</c:v>
                </c:pt>
                <c:pt idx="70">
                  <c:v>0</c:v>
                </c:pt>
                <c:pt idx="71">
                  <c:v>5</c:v>
                </c:pt>
                <c:pt idx="72">
                  <c:v>3</c:v>
                </c:pt>
                <c:pt idx="73">
                  <c:v>1</c:v>
                </c:pt>
                <c:pt idx="74">
                  <c:v>2</c:v>
                </c:pt>
                <c:pt idx="75">
                  <c:v>0</c:v>
                </c:pt>
                <c:pt idx="76">
                  <c:v>1</c:v>
                </c:pt>
                <c:pt idx="77">
                  <c:v>0</c:v>
                </c:pt>
                <c:pt idx="78">
                  <c:v>0</c:v>
                </c:pt>
                <c:pt idx="79">
                  <c:v>0</c:v>
                </c:pt>
                <c:pt idx="80">
                  <c:v>1</c:v>
                </c:pt>
                <c:pt idx="81">
                  <c:v>0</c:v>
                </c:pt>
                <c:pt idx="82">
                  <c:v>1</c:v>
                </c:pt>
                <c:pt idx="83">
                  <c:v>4</c:v>
                </c:pt>
                <c:pt idx="84">
                  <c:v>2</c:v>
                </c:pt>
                <c:pt idx="85">
                  <c:v>2</c:v>
                </c:pt>
                <c:pt idx="86">
                  <c:v>0</c:v>
                </c:pt>
                <c:pt idx="87">
                  <c:v>0</c:v>
                </c:pt>
                <c:pt idx="88">
                  <c:v>0</c:v>
                </c:pt>
                <c:pt idx="89">
                  <c:v>0</c:v>
                </c:pt>
                <c:pt idx="90">
                  <c:v>0</c:v>
                </c:pt>
                <c:pt idx="91">
                  <c:v>1</c:v>
                </c:pt>
                <c:pt idx="92">
                  <c:v>3</c:v>
                </c:pt>
                <c:pt idx="93">
                  <c:v>2</c:v>
                </c:pt>
                <c:pt idx="94">
                  <c:v>2</c:v>
                </c:pt>
                <c:pt idx="95">
                  <c:v>1</c:v>
                </c:pt>
                <c:pt idx="96">
                  <c:v>3</c:v>
                </c:pt>
                <c:pt idx="97">
                  <c:v>0</c:v>
                </c:pt>
                <c:pt idx="98">
                  <c:v>0</c:v>
                </c:pt>
                <c:pt idx="99">
                  <c:v>0</c:v>
                </c:pt>
                <c:pt idx="100">
                  <c:v>0</c:v>
                </c:pt>
                <c:pt idx="101">
                  <c:v>0</c:v>
                </c:pt>
                <c:pt idx="102">
                  <c:v>0</c:v>
                </c:pt>
                <c:pt idx="103">
                  <c:v>3</c:v>
                </c:pt>
                <c:pt idx="104">
                  <c:v>1</c:v>
                </c:pt>
                <c:pt idx="105">
                  <c:v>1</c:v>
                </c:pt>
                <c:pt idx="106">
                  <c:v>1</c:v>
                </c:pt>
                <c:pt idx="107">
                  <c:v>2</c:v>
                </c:pt>
                <c:pt idx="108">
                  <c:v>0</c:v>
                </c:pt>
                <c:pt idx="109">
                  <c:v>0</c:v>
                </c:pt>
                <c:pt idx="110">
                  <c:v>1</c:v>
                </c:pt>
                <c:pt idx="111">
                  <c:v>2</c:v>
                </c:pt>
                <c:pt idx="112">
                  <c:v>0</c:v>
                </c:pt>
                <c:pt idx="113">
                  <c:v>0</c:v>
                </c:pt>
                <c:pt idx="114">
                  <c:v>3</c:v>
                </c:pt>
                <c:pt idx="115">
                  <c:v>0</c:v>
                </c:pt>
                <c:pt idx="116">
                  <c:v>0</c:v>
                </c:pt>
                <c:pt idx="117">
                  <c:v>1</c:v>
                </c:pt>
                <c:pt idx="118">
                  <c:v>0</c:v>
                </c:pt>
                <c:pt idx="119">
                  <c:v>2</c:v>
                </c:pt>
                <c:pt idx="120">
                  <c:v>2</c:v>
                </c:pt>
                <c:pt idx="121">
                  <c:v>0</c:v>
                </c:pt>
                <c:pt idx="122">
                  <c:v>0</c:v>
                </c:pt>
                <c:pt idx="123">
                  <c:v>1</c:v>
                </c:pt>
                <c:pt idx="124">
                  <c:v>3</c:v>
                </c:pt>
                <c:pt idx="125">
                  <c:v>0</c:v>
                </c:pt>
                <c:pt idx="126">
                  <c:v>0</c:v>
                </c:pt>
                <c:pt idx="127">
                  <c:v>0</c:v>
                </c:pt>
                <c:pt idx="128">
                  <c:v>2</c:v>
                </c:pt>
                <c:pt idx="129">
                  <c:v>2</c:v>
                </c:pt>
                <c:pt idx="130">
                  <c:v>0</c:v>
                </c:pt>
                <c:pt idx="131">
                  <c:v>0</c:v>
                </c:pt>
                <c:pt idx="132">
                  <c:v>2</c:v>
                </c:pt>
                <c:pt idx="133">
                  <c:v>0</c:v>
                </c:pt>
                <c:pt idx="134">
                  <c:v>0</c:v>
                </c:pt>
                <c:pt idx="135">
                  <c:v>0</c:v>
                </c:pt>
                <c:pt idx="136">
                  <c:v>0</c:v>
                </c:pt>
                <c:pt idx="137">
                  <c:v>0</c:v>
                </c:pt>
                <c:pt idx="138">
                  <c:v>3</c:v>
                </c:pt>
                <c:pt idx="139">
                  <c:v>0</c:v>
                </c:pt>
                <c:pt idx="140">
                  <c:v>2</c:v>
                </c:pt>
                <c:pt idx="141">
                  <c:v>1</c:v>
                </c:pt>
                <c:pt idx="142">
                  <c:v>2</c:v>
                </c:pt>
                <c:pt idx="143">
                  <c:v>2</c:v>
                </c:pt>
                <c:pt idx="144">
                  <c:v>3</c:v>
                </c:pt>
                <c:pt idx="145">
                  <c:v>3</c:v>
                </c:pt>
                <c:pt idx="146">
                  <c:v>3</c:v>
                </c:pt>
                <c:pt idx="147">
                  <c:v>1</c:v>
                </c:pt>
                <c:pt idx="148">
                  <c:v>1</c:v>
                </c:pt>
                <c:pt idx="149">
                  <c:v>1</c:v>
                </c:pt>
                <c:pt idx="150">
                  <c:v>1</c:v>
                </c:pt>
                <c:pt idx="151">
                  <c:v>0</c:v>
                </c:pt>
                <c:pt idx="152">
                  <c:v>3</c:v>
                </c:pt>
                <c:pt idx="153">
                  <c:v>0</c:v>
                </c:pt>
                <c:pt idx="154">
                  <c:v>1</c:v>
                </c:pt>
                <c:pt idx="155">
                  <c:v>0</c:v>
                </c:pt>
                <c:pt idx="156">
                  <c:v>0</c:v>
                </c:pt>
                <c:pt idx="157">
                  <c:v>0</c:v>
                </c:pt>
                <c:pt idx="158">
                  <c:v>0</c:v>
                </c:pt>
                <c:pt idx="159">
                  <c:v>3</c:v>
                </c:pt>
                <c:pt idx="160">
                  <c:v>0</c:v>
                </c:pt>
                <c:pt idx="161">
                  <c:v>0</c:v>
                </c:pt>
                <c:pt idx="162">
                  <c:v>1</c:v>
                </c:pt>
                <c:pt idx="163">
                  <c:v>2</c:v>
                </c:pt>
                <c:pt idx="164">
                  <c:v>0</c:v>
                </c:pt>
                <c:pt idx="165">
                  <c:v>4</c:v>
                </c:pt>
                <c:pt idx="166">
                  <c:v>5</c:v>
                </c:pt>
                <c:pt idx="167">
                  <c:v>3</c:v>
                </c:pt>
                <c:pt idx="168">
                  <c:v>1</c:v>
                </c:pt>
                <c:pt idx="169">
                  <c:v>3</c:v>
                </c:pt>
                <c:pt idx="170">
                  <c:v>0</c:v>
                </c:pt>
                <c:pt idx="171">
                  <c:v>0</c:v>
                </c:pt>
                <c:pt idx="172">
                  <c:v>0</c:v>
                </c:pt>
                <c:pt idx="173">
                  <c:v>1</c:v>
                </c:pt>
                <c:pt idx="174">
                  <c:v>0</c:v>
                </c:pt>
                <c:pt idx="175">
                  <c:v>0</c:v>
                </c:pt>
                <c:pt idx="176">
                  <c:v>2</c:v>
                </c:pt>
                <c:pt idx="177">
                  <c:v>1</c:v>
                </c:pt>
                <c:pt idx="178">
                  <c:v>2</c:v>
                </c:pt>
                <c:pt idx="179">
                  <c:v>3</c:v>
                </c:pt>
                <c:pt idx="180">
                  <c:v>0</c:v>
                </c:pt>
                <c:pt idx="181">
                  <c:v>0</c:v>
                </c:pt>
                <c:pt idx="182">
                  <c:v>3</c:v>
                </c:pt>
                <c:pt idx="183">
                  <c:v>0</c:v>
                </c:pt>
                <c:pt idx="184">
                  <c:v>2</c:v>
                </c:pt>
                <c:pt idx="185">
                  <c:v>3</c:v>
                </c:pt>
                <c:pt idx="186">
                  <c:v>2</c:v>
                </c:pt>
                <c:pt idx="187">
                  <c:v>3</c:v>
                </c:pt>
                <c:pt idx="188">
                  <c:v>1</c:v>
                </c:pt>
                <c:pt idx="189">
                  <c:v>2</c:v>
                </c:pt>
                <c:pt idx="190">
                  <c:v>0</c:v>
                </c:pt>
                <c:pt idx="191">
                  <c:v>0</c:v>
                </c:pt>
                <c:pt idx="192">
                  <c:v>0</c:v>
                </c:pt>
                <c:pt idx="193">
                  <c:v>1</c:v>
                </c:pt>
                <c:pt idx="194">
                  <c:v>0</c:v>
                </c:pt>
                <c:pt idx="195">
                  <c:v>0</c:v>
                </c:pt>
                <c:pt idx="196">
                  <c:v>0</c:v>
                </c:pt>
                <c:pt idx="197">
                  <c:v>2</c:v>
                </c:pt>
                <c:pt idx="198">
                  <c:v>0</c:v>
                </c:pt>
                <c:pt idx="199">
                  <c:v>0</c:v>
                </c:pt>
                <c:pt idx="200">
                  <c:v>0</c:v>
                </c:pt>
                <c:pt idx="201">
                  <c:v>1</c:v>
                </c:pt>
                <c:pt idx="202">
                  <c:v>0</c:v>
                </c:pt>
                <c:pt idx="203">
                  <c:v>0</c:v>
                </c:pt>
                <c:pt idx="204">
                  <c:v>0</c:v>
                </c:pt>
                <c:pt idx="205">
                  <c:v>1</c:v>
                </c:pt>
                <c:pt idx="206">
                  <c:v>0</c:v>
                </c:pt>
                <c:pt idx="207">
                  <c:v>2</c:v>
                </c:pt>
                <c:pt idx="208">
                  <c:v>0</c:v>
                </c:pt>
                <c:pt idx="209">
                  <c:v>1</c:v>
                </c:pt>
                <c:pt idx="210">
                  <c:v>1</c:v>
                </c:pt>
                <c:pt idx="211">
                  <c:v>4</c:v>
                </c:pt>
                <c:pt idx="212">
                  <c:v>2</c:v>
                </c:pt>
                <c:pt idx="213">
                  <c:v>1</c:v>
                </c:pt>
                <c:pt idx="214">
                  <c:v>2</c:v>
                </c:pt>
                <c:pt idx="215">
                  <c:v>2</c:v>
                </c:pt>
                <c:pt idx="216">
                  <c:v>0</c:v>
                </c:pt>
                <c:pt idx="217">
                  <c:v>0</c:v>
                </c:pt>
                <c:pt idx="218">
                  <c:v>1</c:v>
                </c:pt>
                <c:pt idx="219">
                  <c:v>0</c:v>
                </c:pt>
                <c:pt idx="220">
                  <c:v>1</c:v>
                </c:pt>
                <c:pt idx="221">
                  <c:v>0</c:v>
                </c:pt>
                <c:pt idx="222">
                  <c:v>3</c:v>
                </c:pt>
                <c:pt idx="223">
                  <c:v>0</c:v>
                </c:pt>
                <c:pt idx="224">
                  <c:v>0</c:v>
                </c:pt>
                <c:pt idx="225">
                  <c:v>3</c:v>
                </c:pt>
                <c:pt idx="226">
                  <c:v>0</c:v>
                </c:pt>
                <c:pt idx="227">
                  <c:v>0</c:v>
                </c:pt>
                <c:pt idx="228">
                  <c:v>1</c:v>
                </c:pt>
                <c:pt idx="229">
                  <c:v>2</c:v>
                </c:pt>
                <c:pt idx="230">
                  <c:v>1</c:v>
                </c:pt>
                <c:pt idx="231">
                  <c:v>3</c:v>
                </c:pt>
                <c:pt idx="232">
                  <c:v>0</c:v>
                </c:pt>
                <c:pt idx="233">
                  <c:v>1</c:v>
                </c:pt>
                <c:pt idx="234">
                  <c:v>2</c:v>
                </c:pt>
                <c:pt idx="235">
                  <c:v>2</c:v>
                </c:pt>
                <c:pt idx="236">
                  <c:v>0</c:v>
                </c:pt>
                <c:pt idx="237">
                  <c:v>2</c:v>
                </c:pt>
                <c:pt idx="238">
                  <c:v>0</c:v>
                </c:pt>
                <c:pt idx="239">
                  <c:v>1</c:v>
                </c:pt>
                <c:pt idx="240">
                  <c:v>2</c:v>
                </c:pt>
                <c:pt idx="241">
                  <c:v>1</c:v>
                </c:pt>
                <c:pt idx="242">
                  <c:v>1</c:v>
                </c:pt>
                <c:pt idx="243">
                  <c:v>3</c:v>
                </c:pt>
                <c:pt idx="244">
                  <c:v>0</c:v>
                </c:pt>
                <c:pt idx="245">
                  <c:v>0</c:v>
                </c:pt>
                <c:pt idx="246">
                  <c:v>0</c:v>
                </c:pt>
                <c:pt idx="247">
                  <c:v>0</c:v>
                </c:pt>
                <c:pt idx="248">
                  <c:v>1</c:v>
                </c:pt>
                <c:pt idx="249">
                  <c:v>1</c:v>
                </c:pt>
                <c:pt idx="250">
                  <c:v>2</c:v>
                </c:pt>
                <c:pt idx="251">
                  <c:v>2</c:v>
                </c:pt>
                <c:pt idx="252">
                  <c:v>2</c:v>
                </c:pt>
                <c:pt idx="253">
                  <c:v>3</c:v>
                </c:pt>
                <c:pt idx="254">
                  <c:v>0</c:v>
                </c:pt>
                <c:pt idx="255">
                  <c:v>3</c:v>
                </c:pt>
                <c:pt idx="256">
                  <c:v>0</c:v>
                </c:pt>
                <c:pt idx="257">
                  <c:v>0</c:v>
                </c:pt>
                <c:pt idx="258">
                  <c:v>4</c:v>
                </c:pt>
                <c:pt idx="259">
                  <c:v>0</c:v>
                </c:pt>
                <c:pt idx="260">
                  <c:v>0</c:v>
                </c:pt>
                <c:pt idx="261">
                  <c:v>1</c:v>
                </c:pt>
                <c:pt idx="262">
                  <c:v>3</c:v>
                </c:pt>
                <c:pt idx="263">
                  <c:v>0</c:v>
                </c:pt>
                <c:pt idx="264">
                  <c:v>3</c:v>
                </c:pt>
                <c:pt idx="265">
                  <c:v>3</c:v>
                </c:pt>
                <c:pt idx="266">
                  <c:v>1</c:v>
                </c:pt>
                <c:pt idx="267">
                  <c:v>3</c:v>
                </c:pt>
                <c:pt idx="268">
                  <c:v>1</c:v>
                </c:pt>
                <c:pt idx="269">
                  <c:v>1</c:v>
                </c:pt>
                <c:pt idx="270">
                  <c:v>1</c:v>
                </c:pt>
                <c:pt idx="271">
                  <c:v>2</c:v>
                </c:pt>
                <c:pt idx="272">
                  <c:v>2</c:v>
                </c:pt>
                <c:pt idx="273">
                  <c:v>1</c:v>
                </c:pt>
                <c:pt idx="274">
                  <c:v>0</c:v>
                </c:pt>
                <c:pt idx="275">
                  <c:v>2</c:v>
                </c:pt>
                <c:pt idx="276">
                  <c:v>2</c:v>
                </c:pt>
                <c:pt idx="277">
                  <c:v>0</c:v>
                </c:pt>
                <c:pt idx="278">
                  <c:v>2</c:v>
                </c:pt>
                <c:pt idx="279">
                  <c:v>1</c:v>
                </c:pt>
                <c:pt idx="280">
                  <c:v>1</c:v>
                </c:pt>
                <c:pt idx="281">
                  <c:v>3</c:v>
                </c:pt>
                <c:pt idx="282">
                  <c:v>1</c:v>
                </c:pt>
                <c:pt idx="283">
                  <c:v>1</c:v>
                </c:pt>
                <c:pt idx="284">
                  <c:v>0</c:v>
                </c:pt>
                <c:pt idx="285">
                  <c:v>1</c:v>
                </c:pt>
                <c:pt idx="286">
                  <c:v>2</c:v>
                </c:pt>
                <c:pt idx="287">
                  <c:v>0</c:v>
                </c:pt>
                <c:pt idx="288">
                  <c:v>1</c:v>
                </c:pt>
                <c:pt idx="289">
                  <c:v>3</c:v>
                </c:pt>
                <c:pt idx="290">
                  <c:v>0</c:v>
                </c:pt>
                <c:pt idx="291">
                  <c:v>1</c:v>
                </c:pt>
                <c:pt idx="292">
                  <c:v>2</c:v>
                </c:pt>
                <c:pt idx="293">
                  <c:v>0</c:v>
                </c:pt>
                <c:pt idx="294">
                  <c:v>3</c:v>
                </c:pt>
                <c:pt idx="295">
                  <c:v>0</c:v>
                </c:pt>
                <c:pt idx="296">
                  <c:v>0</c:v>
                </c:pt>
                <c:pt idx="297">
                  <c:v>1</c:v>
                </c:pt>
                <c:pt idx="298">
                  <c:v>3</c:v>
                </c:pt>
                <c:pt idx="299">
                  <c:v>1</c:v>
                </c:pt>
                <c:pt idx="300">
                  <c:v>3</c:v>
                </c:pt>
                <c:pt idx="301">
                  <c:v>3</c:v>
                </c:pt>
                <c:pt idx="302">
                  <c:v>2</c:v>
                </c:pt>
                <c:pt idx="303">
                  <c:v>2</c:v>
                </c:pt>
                <c:pt idx="304">
                  <c:v>2</c:v>
                </c:pt>
                <c:pt idx="305">
                  <c:v>2</c:v>
                </c:pt>
                <c:pt idx="306">
                  <c:v>2</c:v>
                </c:pt>
                <c:pt idx="307">
                  <c:v>1</c:v>
                </c:pt>
                <c:pt idx="308">
                  <c:v>0</c:v>
                </c:pt>
                <c:pt idx="309">
                  <c:v>2</c:v>
                </c:pt>
                <c:pt idx="310">
                  <c:v>0</c:v>
                </c:pt>
                <c:pt idx="311">
                  <c:v>0</c:v>
                </c:pt>
                <c:pt idx="312">
                  <c:v>3</c:v>
                </c:pt>
                <c:pt idx="313">
                  <c:v>0</c:v>
                </c:pt>
                <c:pt idx="314">
                  <c:v>0</c:v>
                </c:pt>
                <c:pt idx="315">
                  <c:v>0</c:v>
                </c:pt>
                <c:pt idx="316">
                  <c:v>0</c:v>
                </c:pt>
                <c:pt idx="317">
                  <c:v>0</c:v>
                </c:pt>
                <c:pt idx="318">
                  <c:v>0</c:v>
                </c:pt>
                <c:pt idx="319">
                  <c:v>1</c:v>
                </c:pt>
                <c:pt idx="320">
                  <c:v>1</c:v>
                </c:pt>
                <c:pt idx="321">
                  <c:v>4</c:v>
                </c:pt>
                <c:pt idx="322">
                  <c:v>0</c:v>
                </c:pt>
                <c:pt idx="323">
                  <c:v>0</c:v>
                </c:pt>
                <c:pt idx="324">
                  <c:v>0</c:v>
                </c:pt>
                <c:pt idx="325">
                  <c:v>1</c:v>
                </c:pt>
                <c:pt idx="326">
                  <c:v>1</c:v>
                </c:pt>
                <c:pt idx="327">
                  <c:v>2</c:v>
                </c:pt>
                <c:pt idx="328">
                  <c:v>1</c:v>
                </c:pt>
                <c:pt idx="329">
                  <c:v>0</c:v>
                </c:pt>
                <c:pt idx="330">
                  <c:v>1</c:v>
                </c:pt>
                <c:pt idx="331">
                  <c:v>0</c:v>
                </c:pt>
                <c:pt idx="332">
                  <c:v>0</c:v>
                </c:pt>
                <c:pt idx="333">
                  <c:v>0</c:v>
                </c:pt>
                <c:pt idx="334">
                  <c:v>2</c:v>
                </c:pt>
                <c:pt idx="335">
                  <c:v>0</c:v>
                </c:pt>
                <c:pt idx="336">
                  <c:v>0</c:v>
                </c:pt>
                <c:pt idx="337">
                  <c:v>1</c:v>
                </c:pt>
                <c:pt idx="338">
                  <c:v>1</c:v>
                </c:pt>
                <c:pt idx="339">
                  <c:v>1</c:v>
                </c:pt>
                <c:pt idx="340">
                  <c:v>0</c:v>
                </c:pt>
                <c:pt idx="341">
                  <c:v>0</c:v>
                </c:pt>
                <c:pt idx="342">
                  <c:v>0</c:v>
                </c:pt>
                <c:pt idx="343">
                  <c:v>0</c:v>
                </c:pt>
                <c:pt idx="344">
                  <c:v>4</c:v>
                </c:pt>
                <c:pt idx="345">
                  <c:v>3</c:v>
                </c:pt>
                <c:pt idx="346">
                  <c:v>2</c:v>
                </c:pt>
                <c:pt idx="347">
                  <c:v>1</c:v>
                </c:pt>
                <c:pt idx="348">
                  <c:v>1</c:v>
                </c:pt>
                <c:pt idx="349">
                  <c:v>0</c:v>
                </c:pt>
                <c:pt idx="350">
                  <c:v>0</c:v>
                </c:pt>
                <c:pt idx="351">
                  <c:v>0</c:v>
                </c:pt>
                <c:pt idx="352">
                  <c:v>0</c:v>
                </c:pt>
                <c:pt idx="353">
                  <c:v>0</c:v>
                </c:pt>
                <c:pt idx="354">
                  <c:v>0</c:v>
                </c:pt>
                <c:pt idx="355">
                  <c:v>0</c:v>
                </c:pt>
                <c:pt idx="356">
                  <c:v>3</c:v>
                </c:pt>
                <c:pt idx="357">
                  <c:v>3</c:v>
                </c:pt>
                <c:pt idx="358">
                  <c:v>0</c:v>
                </c:pt>
                <c:pt idx="359">
                  <c:v>0</c:v>
                </c:pt>
                <c:pt idx="360">
                  <c:v>2</c:v>
                </c:pt>
                <c:pt idx="361">
                  <c:v>1</c:v>
                </c:pt>
                <c:pt idx="362">
                  <c:v>0</c:v>
                </c:pt>
                <c:pt idx="363">
                  <c:v>1</c:v>
                </c:pt>
                <c:pt idx="364">
                  <c:v>2</c:v>
                </c:pt>
                <c:pt idx="365">
                  <c:v>1</c:v>
                </c:pt>
                <c:pt idx="366">
                  <c:v>3</c:v>
                </c:pt>
                <c:pt idx="367">
                  <c:v>2</c:v>
                </c:pt>
                <c:pt idx="368">
                  <c:v>2</c:v>
                </c:pt>
                <c:pt idx="369">
                  <c:v>3</c:v>
                </c:pt>
                <c:pt idx="370">
                  <c:v>0</c:v>
                </c:pt>
                <c:pt idx="371">
                  <c:v>0</c:v>
                </c:pt>
                <c:pt idx="372">
                  <c:v>1</c:v>
                </c:pt>
                <c:pt idx="373">
                  <c:v>2</c:v>
                </c:pt>
                <c:pt idx="374">
                  <c:v>0</c:v>
                </c:pt>
                <c:pt idx="375">
                  <c:v>0</c:v>
                </c:pt>
                <c:pt idx="376">
                  <c:v>3</c:v>
                </c:pt>
                <c:pt idx="377">
                  <c:v>0</c:v>
                </c:pt>
                <c:pt idx="378">
                  <c:v>3</c:v>
                </c:pt>
                <c:pt idx="379">
                  <c:v>1</c:v>
                </c:pt>
                <c:pt idx="380">
                  <c:v>2</c:v>
                </c:pt>
                <c:pt idx="381">
                  <c:v>0</c:v>
                </c:pt>
                <c:pt idx="382">
                  <c:v>0</c:v>
                </c:pt>
                <c:pt idx="383">
                  <c:v>2</c:v>
                </c:pt>
                <c:pt idx="384">
                  <c:v>2</c:v>
                </c:pt>
                <c:pt idx="385">
                  <c:v>0</c:v>
                </c:pt>
                <c:pt idx="386">
                  <c:v>0</c:v>
                </c:pt>
                <c:pt idx="387">
                  <c:v>2</c:v>
                </c:pt>
                <c:pt idx="388">
                  <c:v>0</c:v>
                </c:pt>
                <c:pt idx="389">
                  <c:v>3</c:v>
                </c:pt>
                <c:pt idx="390">
                  <c:v>4</c:v>
                </c:pt>
                <c:pt idx="391">
                  <c:v>0</c:v>
                </c:pt>
                <c:pt idx="392">
                  <c:v>1</c:v>
                </c:pt>
                <c:pt idx="393">
                  <c:v>1</c:v>
                </c:pt>
                <c:pt idx="394">
                  <c:v>2</c:v>
                </c:pt>
                <c:pt idx="395">
                  <c:v>0</c:v>
                </c:pt>
                <c:pt idx="396">
                  <c:v>3</c:v>
                </c:pt>
                <c:pt idx="397">
                  <c:v>0</c:v>
                </c:pt>
                <c:pt idx="398">
                  <c:v>2</c:v>
                </c:pt>
                <c:pt idx="399">
                  <c:v>0</c:v>
                </c:pt>
                <c:pt idx="400">
                  <c:v>0</c:v>
                </c:pt>
                <c:pt idx="401">
                  <c:v>1</c:v>
                </c:pt>
                <c:pt idx="402">
                  <c:v>0</c:v>
                </c:pt>
                <c:pt idx="403">
                  <c:v>3</c:v>
                </c:pt>
                <c:pt idx="404">
                  <c:v>0</c:v>
                </c:pt>
                <c:pt idx="405">
                  <c:v>2</c:v>
                </c:pt>
                <c:pt idx="406">
                  <c:v>0</c:v>
                </c:pt>
                <c:pt idx="407">
                  <c:v>1</c:v>
                </c:pt>
                <c:pt idx="408">
                  <c:v>3</c:v>
                </c:pt>
                <c:pt idx="409">
                  <c:v>1</c:v>
                </c:pt>
                <c:pt idx="410">
                  <c:v>0</c:v>
                </c:pt>
                <c:pt idx="411">
                  <c:v>1</c:v>
                </c:pt>
                <c:pt idx="412">
                  <c:v>2</c:v>
                </c:pt>
                <c:pt idx="413">
                  <c:v>5</c:v>
                </c:pt>
                <c:pt idx="414">
                  <c:v>0</c:v>
                </c:pt>
                <c:pt idx="415">
                  <c:v>1</c:v>
                </c:pt>
                <c:pt idx="416">
                  <c:v>0</c:v>
                </c:pt>
                <c:pt idx="417">
                  <c:v>2</c:v>
                </c:pt>
                <c:pt idx="418">
                  <c:v>1</c:v>
                </c:pt>
                <c:pt idx="419">
                  <c:v>0</c:v>
                </c:pt>
                <c:pt idx="420">
                  <c:v>0</c:v>
                </c:pt>
                <c:pt idx="421">
                  <c:v>0</c:v>
                </c:pt>
                <c:pt idx="422">
                  <c:v>1</c:v>
                </c:pt>
                <c:pt idx="423">
                  <c:v>0</c:v>
                </c:pt>
                <c:pt idx="424">
                  <c:v>2</c:v>
                </c:pt>
                <c:pt idx="425">
                  <c:v>5</c:v>
                </c:pt>
                <c:pt idx="426">
                  <c:v>1</c:v>
                </c:pt>
                <c:pt idx="427">
                  <c:v>0</c:v>
                </c:pt>
                <c:pt idx="428">
                  <c:v>1</c:v>
                </c:pt>
                <c:pt idx="429">
                  <c:v>3</c:v>
                </c:pt>
                <c:pt idx="430">
                  <c:v>0</c:v>
                </c:pt>
                <c:pt idx="431">
                  <c:v>2</c:v>
                </c:pt>
                <c:pt idx="432">
                  <c:v>0</c:v>
                </c:pt>
                <c:pt idx="433">
                  <c:v>0</c:v>
                </c:pt>
                <c:pt idx="434">
                  <c:v>1</c:v>
                </c:pt>
                <c:pt idx="435">
                  <c:v>3</c:v>
                </c:pt>
                <c:pt idx="436">
                  <c:v>0</c:v>
                </c:pt>
                <c:pt idx="437">
                  <c:v>3</c:v>
                </c:pt>
                <c:pt idx="438">
                  <c:v>5</c:v>
                </c:pt>
                <c:pt idx="439">
                  <c:v>0</c:v>
                </c:pt>
                <c:pt idx="440">
                  <c:v>1</c:v>
                </c:pt>
                <c:pt idx="441">
                  <c:v>0</c:v>
                </c:pt>
                <c:pt idx="442">
                  <c:v>0</c:v>
                </c:pt>
                <c:pt idx="443">
                  <c:v>1</c:v>
                </c:pt>
                <c:pt idx="444">
                  <c:v>1</c:v>
                </c:pt>
                <c:pt idx="445">
                  <c:v>0</c:v>
                </c:pt>
                <c:pt idx="446">
                  <c:v>0</c:v>
                </c:pt>
                <c:pt idx="447">
                  <c:v>0</c:v>
                </c:pt>
                <c:pt idx="448">
                  <c:v>0</c:v>
                </c:pt>
                <c:pt idx="449">
                  <c:v>1</c:v>
                </c:pt>
                <c:pt idx="450">
                  <c:v>4</c:v>
                </c:pt>
                <c:pt idx="451">
                  <c:v>1</c:v>
                </c:pt>
                <c:pt idx="452">
                  <c:v>0</c:v>
                </c:pt>
                <c:pt idx="453">
                  <c:v>0</c:v>
                </c:pt>
                <c:pt idx="454">
                  <c:v>2</c:v>
                </c:pt>
                <c:pt idx="455">
                  <c:v>0</c:v>
                </c:pt>
                <c:pt idx="456">
                  <c:v>2</c:v>
                </c:pt>
                <c:pt idx="457">
                  <c:v>0</c:v>
                </c:pt>
                <c:pt idx="458">
                  <c:v>0</c:v>
                </c:pt>
                <c:pt idx="459">
                  <c:v>3</c:v>
                </c:pt>
                <c:pt idx="460">
                  <c:v>3</c:v>
                </c:pt>
                <c:pt idx="461">
                  <c:v>0</c:v>
                </c:pt>
                <c:pt idx="462">
                  <c:v>2</c:v>
                </c:pt>
                <c:pt idx="463">
                  <c:v>0</c:v>
                </c:pt>
                <c:pt idx="464">
                  <c:v>0</c:v>
                </c:pt>
                <c:pt idx="465">
                  <c:v>1</c:v>
                </c:pt>
                <c:pt idx="466">
                  <c:v>1</c:v>
                </c:pt>
                <c:pt idx="467">
                  <c:v>2</c:v>
                </c:pt>
                <c:pt idx="468">
                  <c:v>1</c:v>
                </c:pt>
                <c:pt idx="469">
                  <c:v>1</c:v>
                </c:pt>
                <c:pt idx="470">
                  <c:v>0</c:v>
                </c:pt>
                <c:pt idx="471">
                  <c:v>0</c:v>
                </c:pt>
                <c:pt idx="472">
                  <c:v>0</c:v>
                </c:pt>
                <c:pt idx="473">
                  <c:v>0</c:v>
                </c:pt>
                <c:pt idx="474">
                  <c:v>3</c:v>
                </c:pt>
                <c:pt idx="475">
                  <c:v>1</c:v>
                </c:pt>
                <c:pt idx="476">
                  <c:v>0</c:v>
                </c:pt>
                <c:pt idx="477">
                  <c:v>0</c:v>
                </c:pt>
                <c:pt idx="478">
                  <c:v>0</c:v>
                </c:pt>
                <c:pt idx="479">
                  <c:v>0</c:v>
                </c:pt>
                <c:pt idx="480">
                  <c:v>3</c:v>
                </c:pt>
                <c:pt idx="481">
                  <c:v>2</c:v>
                </c:pt>
                <c:pt idx="482">
                  <c:v>0</c:v>
                </c:pt>
                <c:pt idx="483">
                  <c:v>1</c:v>
                </c:pt>
                <c:pt idx="484">
                  <c:v>3</c:v>
                </c:pt>
                <c:pt idx="485">
                  <c:v>0</c:v>
                </c:pt>
                <c:pt idx="486">
                  <c:v>3</c:v>
                </c:pt>
                <c:pt idx="487">
                  <c:v>0</c:v>
                </c:pt>
                <c:pt idx="488">
                  <c:v>0</c:v>
                </c:pt>
                <c:pt idx="489">
                  <c:v>1</c:v>
                </c:pt>
                <c:pt idx="490">
                  <c:v>0</c:v>
                </c:pt>
                <c:pt idx="491">
                  <c:v>0</c:v>
                </c:pt>
                <c:pt idx="492">
                  <c:v>0</c:v>
                </c:pt>
                <c:pt idx="493">
                  <c:v>0</c:v>
                </c:pt>
                <c:pt idx="494">
                  <c:v>4</c:v>
                </c:pt>
                <c:pt idx="495">
                  <c:v>0</c:v>
                </c:pt>
                <c:pt idx="496">
                  <c:v>2</c:v>
                </c:pt>
                <c:pt idx="497">
                  <c:v>2</c:v>
                </c:pt>
                <c:pt idx="498">
                  <c:v>2</c:v>
                </c:pt>
                <c:pt idx="499">
                  <c:v>0</c:v>
                </c:pt>
                <c:pt idx="500">
                  <c:v>0</c:v>
                </c:pt>
                <c:pt idx="501">
                  <c:v>0</c:v>
                </c:pt>
                <c:pt idx="502">
                  <c:v>1</c:v>
                </c:pt>
                <c:pt idx="503">
                  <c:v>0</c:v>
                </c:pt>
                <c:pt idx="504">
                  <c:v>1</c:v>
                </c:pt>
                <c:pt idx="505">
                  <c:v>3</c:v>
                </c:pt>
                <c:pt idx="506">
                  <c:v>1</c:v>
                </c:pt>
                <c:pt idx="507">
                  <c:v>2</c:v>
                </c:pt>
                <c:pt idx="508">
                  <c:v>0</c:v>
                </c:pt>
                <c:pt idx="509">
                  <c:v>0</c:v>
                </c:pt>
                <c:pt idx="510">
                  <c:v>1</c:v>
                </c:pt>
                <c:pt idx="511">
                  <c:v>0</c:v>
                </c:pt>
                <c:pt idx="512">
                  <c:v>0</c:v>
                </c:pt>
                <c:pt idx="513">
                  <c:v>0</c:v>
                </c:pt>
                <c:pt idx="514">
                  <c:v>1</c:v>
                </c:pt>
                <c:pt idx="515">
                  <c:v>0</c:v>
                </c:pt>
                <c:pt idx="516">
                  <c:v>1</c:v>
                </c:pt>
                <c:pt idx="517">
                  <c:v>2</c:v>
                </c:pt>
                <c:pt idx="518">
                  <c:v>1</c:v>
                </c:pt>
                <c:pt idx="519">
                  <c:v>0</c:v>
                </c:pt>
                <c:pt idx="520">
                  <c:v>0</c:v>
                </c:pt>
                <c:pt idx="521">
                  <c:v>0</c:v>
                </c:pt>
                <c:pt idx="522">
                  <c:v>0</c:v>
                </c:pt>
                <c:pt idx="523">
                  <c:v>0</c:v>
                </c:pt>
                <c:pt idx="524">
                  <c:v>1</c:v>
                </c:pt>
                <c:pt idx="525">
                  <c:v>0</c:v>
                </c:pt>
                <c:pt idx="526">
                  <c:v>2</c:v>
                </c:pt>
                <c:pt idx="527">
                  <c:v>1</c:v>
                </c:pt>
                <c:pt idx="528">
                  <c:v>1</c:v>
                </c:pt>
                <c:pt idx="529">
                  <c:v>0</c:v>
                </c:pt>
                <c:pt idx="530">
                  <c:v>1</c:v>
                </c:pt>
                <c:pt idx="531">
                  <c:v>0</c:v>
                </c:pt>
                <c:pt idx="532">
                  <c:v>2</c:v>
                </c:pt>
                <c:pt idx="533">
                  <c:v>0</c:v>
                </c:pt>
                <c:pt idx="534">
                  <c:v>0</c:v>
                </c:pt>
                <c:pt idx="535">
                  <c:v>1</c:v>
                </c:pt>
                <c:pt idx="536">
                  <c:v>3</c:v>
                </c:pt>
                <c:pt idx="537">
                  <c:v>2</c:v>
                </c:pt>
                <c:pt idx="538">
                  <c:v>1</c:v>
                </c:pt>
                <c:pt idx="539">
                  <c:v>0</c:v>
                </c:pt>
                <c:pt idx="540">
                  <c:v>3</c:v>
                </c:pt>
                <c:pt idx="541">
                  <c:v>2</c:v>
                </c:pt>
                <c:pt idx="542">
                  <c:v>0</c:v>
                </c:pt>
                <c:pt idx="543">
                  <c:v>0</c:v>
                </c:pt>
                <c:pt idx="544">
                  <c:v>0</c:v>
                </c:pt>
                <c:pt idx="545">
                  <c:v>2</c:v>
                </c:pt>
                <c:pt idx="546">
                  <c:v>0</c:v>
                </c:pt>
                <c:pt idx="547">
                  <c:v>2</c:v>
                </c:pt>
                <c:pt idx="548">
                  <c:v>0</c:v>
                </c:pt>
                <c:pt idx="549">
                  <c:v>0</c:v>
                </c:pt>
                <c:pt idx="550">
                  <c:v>0</c:v>
                </c:pt>
                <c:pt idx="551">
                  <c:v>0</c:v>
                </c:pt>
                <c:pt idx="552">
                  <c:v>0</c:v>
                </c:pt>
                <c:pt idx="553">
                  <c:v>2</c:v>
                </c:pt>
                <c:pt idx="554">
                  <c:v>0</c:v>
                </c:pt>
                <c:pt idx="555">
                  <c:v>2</c:v>
                </c:pt>
                <c:pt idx="556">
                  <c:v>1</c:v>
                </c:pt>
                <c:pt idx="557">
                  <c:v>0</c:v>
                </c:pt>
                <c:pt idx="558">
                  <c:v>3</c:v>
                </c:pt>
                <c:pt idx="559">
                  <c:v>0</c:v>
                </c:pt>
                <c:pt idx="560">
                  <c:v>2</c:v>
                </c:pt>
                <c:pt idx="561">
                  <c:v>0</c:v>
                </c:pt>
                <c:pt idx="562">
                  <c:v>0</c:v>
                </c:pt>
                <c:pt idx="563">
                  <c:v>1</c:v>
                </c:pt>
                <c:pt idx="564">
                  <c:v>2</c:v>
                </c:pt>
                <c:pt idx="565">
                  <c:v>0</c:v>
                </c:pt>
                <c:pt idx="566">
                  <c:v>1</c:v>
                </c:pt>
                <c:pt idx="567">
                  <c:v>2</c:v>
                </c:pt>
                <c:pt idx="568">
                  <c:v>5</c:v>
                </c:pt>
                <c:pt idx="569">
                  <c:v>2</c:v>
                </c:pt>
                <c:pt idx="570">
                  <c:v>0</c:v>
                </c:pt>
                <c:pt idx="571">
                  <c:v>1</c:v>
                </c:pt>
                <c:pt idx="572">
                  <c:v>2</c:v>
                </c:pt>
                <c:pt idx="573">
                  <c:v>1</c:v>
                </c:pt>
                <c:pt idx="574">
                  <c:v>2</c:v>
                </c:pt>
                <c:pt idx="575">
                  <c:v>0</c:v>
                </c:pt>
                <c:pt idx="576">
                  <c:v>0</c:v>
                </c:pt>
                <c:pt idx="577">
                  <c:v>1</c:v>
                </c:pt>
                <c:pt idx="578">
                  <c:v>1</c:v>
                </c:pt>
                <c:pt idx="579">
                  <c:v>0</c:v>
                </c:pt>
                <c:pt idx="580">
                  <c:v>1</c:v>
                </c:pt>
                <c:pt idx="581">
                  <c:v>0</c:v>
                </c:pt>
                <c:pt idx="582">
                  <c:v>2</c:v>
                </c:pt>
                <c:pt idx="583">
                  <c:v>1</c:v>
                </c:pt>
                <c:pt idx="584">
                  <c:v>0</c:v>
                </c:pt>
                <c:pt idx="585">
                  <c:v>1</c:v>
                </c:pt>
                <c:pt idx="586">
                  <c:v>3</c:v>
                </c:pt>
                <c:pt idx="587">
                  <c:v>1</c:v>
                </c:pt>
                <c:pt idx="588">
                  <c:v>0</c:v>
                </c:pt>
                <c:pt idx="589">
                  <c:v>1</c:v>
                </c:pt>
                <c:pt idx="590">
                  <c:v>0</c:v>
                </c:pt>
                <c:pt idx="591">
                  <c:v>1</c:v>
                </c:pt>
                <c:pt idx="592">
                  <c:v>2</c:v>
                </c:pt>
                <c:pt idx="593">
                  <c:v>1</c:v>
                </c:pt>
                <c:pt idx="594">
                  <c:v>0</c:v>
                </c:pt>
                <c:pt idx="595">
                  <c:v>1</c:v>
                </c:pt>
                <c:pt idx="596">
                  <c:v>2</c:v>
                </c:pt>
                <c:pt idx="597">
                  <c:v>1</c:v>
                </c:pt>
                <c:pt idx="598">
                  <c:v>2</c:v>
                </c:pt>
                <c:pt idx="599">
                  <c:v>2</c:v>
                </c:pt>
                <c:pt idx="600">
                  <c:v>0</c:v>
                </c:pt>
                <c:pt idx="601">
                  <c:v>0</c:v>
                </c:pt>
                <c:pt idx="602">
                  <c:v>0</c:v>
                </c:pt>
                <c:pt idx="603">
                  <c:v>3</c:v>
                </c:pt>
                <c:pt idx="604">
                  <c:v>0</c:v>
                </c:pt>
                <c:pt idx="605">
                  <c:v>0</c:v>
                </c:pt>
                <c:pt idx="606">
                  <c:v>0</c:v>
                </c:pt>
                <c:pt idx="607">
                  <c:v>0</c:v>
                </c:pt>
                <c:pt idx="608">
                  <c:v>2</c:v>
                </c:pt>
                <c:pt idx="609">
                  <c:v>2</c:v>
                </c:pt>
                <c:pt idx="610">
                  <c:v>1</c:v>
                </c:pt>
                <c:pt idx="611">
                  <c:v>2</c:v>
                </c:pt>
                <c:pt idx="612">
                  <c:v>0</c:v>
                </c:pt>
                <c:pt idx="613">
                  <c:v>3</c:v>
                </c:pt>
                <c:pt idx="614">
                  <c:v>0</c:v>
                </c:pt>
                <c:pt idx="615">
                  <c:v>1</c:v>
                </c:pt>
                <c:pt idx="616">
                  <c:v>0</c:v>
                </c:pt>
                <c:pt idx="617">
                  <c:v>2</c:v>
                </c:pt>
                <c:pt idx="618">
                  <c:v>0</c:v>
                </c:pt>
                <c:pt idx="619">
                  <c:v>0</c:v>
                </c:pt>
                <c:pt idx="620">
                  <c:v>1</c:v>
                </c:pt>
                <c:pt idx="621">
                  <c:v>4</c:v>
                </c:pt>
                <c:pt idx="622">
                  <c:v>1</c:v>
                </c:pt>
                <c:pt idx="623">
                  <c:v>0</c:v>
                </c:pt>
                <c:pt idx="624">
                  <c:v>0</c:v>
                </c:pt>
                <c:pt idx="625">
                  <c:v>0</c:v>
                </c:pt>
                <c:pt idx="626">
                  <c:v>3</c:v>
                </c:pt>
                <c:pt idx="627">
                  <c:v>1</c:v>
                </c:pt>
                <c:pt idx="628">
                  <c:v>0</c:v>
                </c:pt>
                <c:pt idx="629">
                  <c:v>0</c:v>
                </c:pt>
                <c:pt idx="630">
                  <c:v>1</c:v>
                </c:pt>
                <c:pt idx="631">
                  <c:v>0</c:v>
                </c:pt>
                <c:pt idx="632">
                  <c:v>0</c:v>
                </c:pt>
                <c:pt idx="633">
                  <c:v>2</c:v>
                </c:pt>
                <c:pt idx="634">
                  <c:v>1</c:v>
                </c:pt>
                <c:pt idx="635">
                  <c:v>0</c:v>
                </c:pt>
                <c:pt idx="636">
                  <c:v>1</c:v>
                </c:pt>
                <c:pt idx="637">
                  <c:v>2</c:v>
                </c:pt>
                <c:pt idx="638">
                  <c:v>0</c:v>
                </c:pt>
                <c:pt idx="639">
                  <c:v>4</c:v>
                </c:pt>
                <c:pt idx="640">
                  <c:v>5</c:v>
                </c:pt>
                <c:pt idx="641">
                  <c:v>3</c:v>
                </c:pt>
                <c:pt idx="642">
                  <c:v>0</c:v>
                </c:pt>
                <c:pt idx="643">
                  <c:v>3</c:v>
                </c:pt>
                <c:pt idx="644">
                  <c:v>2</c:v>
                </c:pt>
                <c:pt idx="645">
                  <c:v>3</c:v>
                </c:pt>
                <c:pt idx="646">
                  <c:v>1</c:v>
                </c:pt>
                <c:pt idx="647">
                  <c:v>3</c:v>
                </c:pt>
                <c:pt idx="648">
                  <c:v>0</c:v>
                </c:pt>
                <c:pt idx="649">
                  <c:v>0</c:v>
                </c:pt>
                <c:pt idx="650">
                  <c:v>2</c:v>
                </c:pt>
                <c:pt idx="651">
                  <c:v>1</c:v>
                </c:pt>
                <c:pt idx="652">
                  <c:v>0</c:v>
                </c:pt>
                <c:pt idx="653">
                  <c:v>2</c:v>
                </c:pt>
                <c:pt idx="654">
                  <c:v>0</c:v>
                </c:pt>
                <c:pt idx="655">
                  <c:v>2</c:v>
                </c:pt>
                <c:pt idx="656">
                  <c:v>1</c:v>
                </c:pt>
                <c:pt idx="657">
                  <c:v>2</c:v>
                </c:pt>
                <c:pt idx="658">
                  <c:v>1</c:v>
                </c:pt>
                <c:pt idx="659">
                  <c:v>4</c:v>
                </c:pt>
                <c:pt idx="660">
                  <c:v>3</c:v>
                </c:pt>
                <c:pt idx="661">
                  <c:v>1</c:v>
                </c:pt>
                <c:pt idx="662">
                  <c:v>1</c:v>
                </c:pt>
                <c:pt idx="663">
                  <c:v>0</c:v>
                </c:pt>
                <c:pt idx="664">
                  <c:v>0</c:v>
                </c:pt>
                <c:pt idx="665">
                  <c:v>2</c:v>
                </c:pt>
                <c:pt idx="666">
                  <c:v>1</c:v>
                </c:pt>
                <c:pt idx="667">
                  <c:v>2</c:v>
                </c:pt>
                <c:pt idx="668">
                  <c:v>0</c:v>
                </c:pt>
                <c:pt idx="669">
                  <c:v>1</c:v>
                </c:pt>
                <c:pt idx="670">
                  <c:v>3</c:v>
                </c:pt>
                <c:pt idx="671">
                  <c:v>0</c:v>
                </c:pt>
                <c:pt idx="672">
                  <c:v>0</c:v>
                </c:pt>
                <c:pt idx="673">
                  <c:v>0</c:v>
                </c:pt>
                <c:pt idx="674">
                  <c:v>2</c:v>
                </c:pt>
                <c:pt idx="675">
                  <c:v>0</c:v>
                </c:pt>
                <c:pt idx="676">
                  <c:v>3</c:v>
                </c:pt>
                <c:pt idx="677">
                  <c:v>3</c:v>
                </c:pt>
                <c:pt idx="678">
                  <c:v>3</c:v>
                </c:pt>
                <c:pt idx="679">
                  <c:v>2</c:v>
                </c:pt>
                <c:pt idx="680">
                  <c:v>1</c:v>
                </c:pt>
                <c:pt idx="681">
                  <c:v>0</c:v>
                </c:pt>
                <c:pt idx="682">
                  <c:v>2</c:v>
                </c:pt>
                <c:pt idx="683">
                  <c:v>0</c:v>
                </c:pt>
                <c:pt idx="684">
                  <c:v>1</c:v>
                </c:pt>
                <c:pt idx="685">
                  <c:v>2</c:v>
                </c:pt>
                <c:pt idx="686">
                  <c:v>2</c:v>
                </c:pt>
                <c:pt idx="687">
                  <c:v>0</c:v>
                </c:pt>
                <c:pt idx="688">
                  <c:v>1</c:v>
                </c:pt>
                <c:pt idx="689">
                  <c:v>1</c:v>
                </c:pt>
                <c:pt idx="690">
                  <c:v>0</c:v>
                </c:pt>
                <c:pt idx="691">
                  <c:v>1</c:v>
                </c:pt>
                <c:pt idx="692">
                  <c:v>1</c:v>
                </c:pt>
                <c:pt idx="693">
                  <c:v>0</c:v>
                </c:pt>
                <c:pt idx="694">
                  <c:v>1</c:v>
                </c:pt>
                <c:pt idx="695">
                  <c:v>0</c:v>
                </c:pt>
                <c:pt idx="696">
                  <c:v>2</c:v>
                </c:pt>
                <c:pt idx="697">
                  <c:v>1</c:v>
                </c:pt>
                <c:pt idx="698">
                  <c:v>0</c:v>
                </c:pt>
                <c:pt idx="699">
                  <c:v>2</c:v>
                </c:pt>
                <c:pt idx="700">
                  <c:v>0</c:v>
                </c:pt>
                <c:pt idx="701">
                  <c:v>0</c:v>
                </c:pt>
                <c:pt idx="702">
                  <c:v>0</c:v>
                </c:pt>
                <c:pt idx="703">
                  <c:v>1</c:v>
                </c:pt>
                <c:pt idx="704">
                  <c:v>1</c:v>
                </c:pt>
                <c:pt idx="705">
                  <c:v>2</c:v>
                </c:pt>
                <c:pt idx="706">
                  <c:v>0</c:v>
                </c:pt>
                <c:pt idx="707">
                  <c:v>3</c:v>
                </c:pt>
                <c:pt idx="708">
                  <c:v>3</c:v>
                </c:pt>
                <c:pt idx="709">
                  <c:v>0</c:v>
                </c:pt>
                <c:pt idx="710">
                  <c:v>1</c:v>
                </c:pt>
                <c:pt idx="711">
                  <c:v>2</c:v>
                </c:pt>
                <c:pt idx="712">
                  <c:v>2</c:v>
                </c:pt>
                <c:pt idx="713">
                  <c:v>0</c:v>
                </c:pt>
                <c:pt idx="714">
                  <c:v>0</c:v>
                </c:pt>
                <c:pt idx="715">
                  <c:v>0</c:v>
                </c:pt>
                <c:pt idx="716">
                  <c:v>1</c:v>
                </c:pt>
                <c:pt idx="717">
                  <c:v>1</c:v>
                </c:pt>
                <c:pt idx="718">
                  <c:v>2</c:v>
                </c:pt>
                <c:pt idx="719">
                  <c:v>0</c:v>
                </c:pt>
                <c:pt idx="720">
                  <c:v>0</c:v>
                </c:pt>
                <c:pt idx="721">
                  <c:v>3</c:v>
                </c:pt>
                <c:pt idx="722">
                  <c:v>0</c:v>
                </c:pt>
                <c:pt idx="723">
                  <c:v>0</c:v>
                </c:pt>
                <c:pt idx="724">
                  <c:v>1</c:v>
                </c:pt>
                <c:pt idx="725">
                  <c:v>3</c:v>
                </c:pt>
                <c:pt idx="726">
                  <c:v>1</c:v>
                </c:pt>
                <c:pt idx="727">
                  <c:v>1</c:v>
                </c:pt>
                <c:pt idx="728">
                  <c:v>0</c:v>
                </c:pt>
                <c:pt idx="729">
                  <c:v>1</c:v>
                </c:pt>
                <c:pt idx="730">
                  <c:v>3</c:v>
                </c:pt>
                <c:pt idx="731">
                  <c:v>1</c:v>
                </c:pt>
                <c:pt idx="732">
                  <c:v>3</c:v>
                </c:pt>
                <c:pt idx="733">
                  <c:v>1</c:v>
                </c:pt>
                <c:pt idx="734">
                  <c:v>3</c:v>
                </c:pt>
                <c:pt idx="735">
                  <c:v>1</c:v>
                </c:pt>
                <c:pt idx="736">
                  <c:v>0</c:v>
                </c:pt>
                <c:pt idx="737">
                  <c:v>2</c:v>
                </c:pt>
                <c:pt idx="738">
                  <c:v>3</c:v>
                </c:pt>
                <c:pt idx="739">
                  <c:v>2</c:v>
                </c:pt>
                <c:pt idx="740">
                  <c:v>2</c:v>
                </c:pt>
                <c:pt idx="741">
                  <c:v>0</c:v>
                </c:pt>
                <c:pt idx="742">
                  <c:v>0</c:v>
                </c:pt>
                <c:pt idx="743">
                  <c:v>0</c:v>
                </c:pt>
                <c:pt idx="744">
                  <c:v>0</c:v>
                </c:pt>
                <c:pt idx="745">
                  <c:v>1</c:v>
                </c:pt>
                <c:pt idx="746">
                  <c:v>2</c:v>
                </c:pt>
                <c:pt idx="747">
                  <c:v>0</c:v>
                </c:pt>
                <c:pt idx="748">
                  <c:v>1</c:v>
                </c:pt>
                <c:pt idx="749">
                  <c:v>0</c:v>
                </c:pt>
                <c:pt idx="750">
                  <c:v>0</c:v>
                </c:pt>
                <c:pt idx="751">
                  <c:v>0</c:v>
                </c:pt>
                <c:pt idx="752">
                  <c:v>0</c:v>
                </c:pt>
                <c:pt idx="753">
                  <c:v>0</c:v>
                </c:pt>
                <c:pt idx="754">
                  <c:v>4</c:v>
                </c:pt>
                <c:pt idx="755">
                  <c:v>2</c:v>
                </c:pt>
                <c:pt idx="756">
                  <c:v>3</c:v>
                </c:pt>
                <c:pt idx="757">
                  <c:v>0</c:v>
                </c:pt>
                <c:pt idx="758">
                  <c:v>3</c:v>
                </c:pt>
                <c:pt idx="759">
                  <c:v>0</c:v>
                </c:pt>
                <c:pt idx="760">
                  <c:v>2</c:v>
                </c:pt>
                <c:pt idx="761">
                  <c:v>1</c:v>
                </c:pt>
                <c:pt idx="762">
                  <c:v>1</c:v>
                </c:pt>
                <c:pt idx="763">
                  <c:v>0</c:v>
                </c:pt>
                <c:pt idx="764">
                  <c:v>2</c:v>
                </c:pt>
                <c:pt idx="765">
                  <c:v>0</c:v>
                </c:pt>
                <c:pt idx="766">
                  <c:v>1</c:v>
                </c:pt>
                <c:pt idx="767">
                  <c:v>1</c:v>
                </c:pt>
                <c:pt idx="768">
                  <c:v>0</c:v>
                </c:pt>
                <c:pt idx="769">
                  <c:v>2</c:v>
                </c:pt>
                <c:pt idx="770">
                  <c:v>3</c:v>
                </c:pt>
                <c:pt idx="771">
                  <c:v>2</c:v>
                </c:pt>
                <c:pt idx="772">
                  <c:v>0</c:v>
                </c:pt>
                <c:pt idx="773">
                  <c:v>0</c:v>
                </c:pt>
                <c:pt idx="774">
                  <c:v>2</c:v>
                </c:pt>
                <c:pt idx="775">
                  <c:v>3</c:v>
                </c:pt>
                <c:pt idx="776">
                  <c:v>2</c:v>
                </c:pt>
                <c:pt idx="777">
                  <c:v>0</c:v>
                </c:pt>
                <c:pt idx="778">
                  <c:v>3</c:v>
                </c:pt>
                <c:pt idx="779">
                  <c:v>0</c:v>
                </c:pt>
                <c:pt idx="780">
                  <c:v>3</c:v>
                </c:pt>
                <c:pt idx="781">
                  <c:v>0</c:v>
                </c:pt>
                <c:pt idx="782">
                  <c:v>1</c:v>
                </c:pt>
                <c:pt idx="783">
                  <c:v>1</c:v>
                </c:pt>
                <c:pt idx="784">
                  <c:v>1</c:v>
                </c:pt>
                <c:pt idx="785">
                  <c:v>3</c:v>
                </c:pt>
                <c:pt idx="786">
                  <c:v>0</c:v>
                </c:pt>
                <c:pt idx="787">
                  <c:v>0</c:v>
                </c:pt>
                <c:pt idx="788">
                  <c:v>3</c:v>
                </c:pt>
                <c:pt idx="789">
                  <c:v>0</c:v>
                </c:pt>
                <c:pt idx="790">
                  <c:v>0</c:v>
                </c:pt>
                <c:pt idx="791">
                  <c:v>0</c:v>
                </c:pt>
                <c:pt idx="792">
                  <c:v>0</c:v>
                </c:pt>
                <c:pt idx="793">
                  <c:v>0</c:v>
                </c:pt>
                <c:pt idx="794">
                  <c:v>2</c:v>
                </c:pt>
                <c:pt idx="795">
                  <c:v>0</c:v>
                </c:pt>
                <c:pt idx="796">
                  <c:v>2</c:v>
                </c:pt>
                <c:pt idx="797">
                  <c:v>1</c:v>
                </c:pt>
                <c:pt idx="798">
                  <c:v>0</c:v>
                </c:pt>
                <c:pt idx="799">
                  <c:v>0</c:v>
                </c:pt>
                <c:pt idx="800">
                  <c:v>1</c:v>
                </c:pt>
                <c:pt idx="801">
                  <c:v>0</c:v>
                </c:pt>
                <c:pt idx="802">
                  <c:v>1</c:v>
                </c:pt>
                <c:pt idx="803">
                  <c:v>0</c:v>
                </c:pt>
                <c:pt idx="804">
                  <c:v>0</c:v>
                </c:pt>
                <c:pt idx="805">
                  <c:v>0</c:v>
                </c:pt>
                <c:pt idx="806">
                  <c:v>1</c:v>
                </c:pt>
                <c:pt idx="807">
                  <c:v>0</c:v>
                </c:pt>
                <c:pt idx="808">
                  <c:v>0</c:v>
                </c:pt>
                <c:pt idx="809">
                  <c:v>1</c:v>
                </c:pt>
                <c:pt idx="810">
                  <c:v>3</c:v>
                </c:pt>
                <c:pt idx="811">
                  <c:v>3</c:v>
                </c:pt>
                <c:pt idx="812">
                  <c:v>2</c:v>
                </c:pt>
                <c:pt idx="813">
                  <c:v>2</c:v>
                </c:pt>
                <c:pt idx="814">
                  <c:v>2</c:v>
                </c:pt>
                <c:pt idx="815">
                  <c:v>0</c:v>
                </c:pt>
                <c:pt idx="816">
                  <c:v>0</c:v>
                </c:pt>
                <c:pt idx="817">
                  <c:v>3</c:v>
                </c:pt>
                <c:pt idx="818">
                  <c:v>1</c:v>
                </c:pt>
                <c:pt idx="819">
                  <c:v>0</c:v>
                </c:pt>
                <c:pt idx="820">
                  <c:v>1</c:v>
                </c:pt>
                <c:pt idx="821">
                  <c:v>0</c:v>
                </c:pt>
                <c:pt idx="822">
                  <c:v>0</c:v>
                </c:pt>
                <c:pt idx="823">
                  <c:v>2</c:v>
                </c:pt>
                <c:pt idx="824">
                  <c:v>0</c:v>
                </c:pt>
                <c:pt idx="825">
                  <c:v>2</c:v>
                </c:pt>
                <c:pt idx="826">
                  <c:v>2</c:v>
                </c:pt>
                <c:pt idx="827">
                  <c:v>1</c:v>
                </c:pt>
                <c:pt idx="828">
                  <c:v>3</c:v>
                </c:pt>
                <c:pt idx="829">
                  <c:v>1</c:v>
                </c:pt>
                <c:pt idx="830">
                  <c:v>0</c:v>
                </c:pt>
                <c:pt idx="831">
                  <c:v>0</c:v>
                </c:pt>
                <c:pt idx="832">
                  <c:v>2</c:v>
                </c:pt>
                <c:pt idx="833">
                  <c:v>0</c:v>
                </c:pt>
                <c:pt idx="834">
                  <c:v>1</c:v>
                </c:pt>
                <c:pt idx="835">
                  <c:v>2</c:v>
                </c:pt>
                <c:pt idx="836">
                  <c:v>0</c:v>
                </c:pt>
                <c:pt idx="837">
                  <c:v>0</c:v>
                </c:pt>
                <c:pt idx="838">
                  <c:v>2</c:v>
                </c:pt>
                <c:pt idx="839">
                  <c:v>0</c:v>
                </c:pt>
                <c:pt idx="840">
                  <c:v>0</c:v>
                </c:pt>
                <c:pt idx="841">
                  <c:v>0</c:v>
                </c:pt>
                <c:pt idx="842">
                  <c:v>2</c:v>
                </c:pt>
                <c:pt idx="843">
                  <c:v>0</c:v>
                </c:pt>
                <c:pt idx="844">
                  <c:v>0</c:v>
                </c:pt>
                <c:pt idx="845">
                  <c:v>0</c:v>
                </c:pt>
                <c:pt idx="846">
                  <c:v>1</c:v>
                </c:pt>
                <c:pt idx="847">
                  <c:v>1</c:v>
                </c:pt>
                <c:pt idx="848">
                  <c:v>0</c:v>
                </c:pt>
                <c:pt idx="849">
                  <c:v>0</c:v>
                </c:pt>
                <c:pt idx="850">
                  <c:v>0</c:v>
                </c:pt>
                <c:pt idx="851">
                  <c:v>2</c:v>
                </c:pt>
                <c:pt idx="852">
                  <c:v>0</c:v>
                </c:pt>
                <c:pt idx="853">
                  <c:v>2</c:v>
                </c:pt>
                <c:pt idx="854">
                  <c:v>3</c:v>
                </c:pt>
                <c:pt idx="855">
                  <c:v>0</c:v>
                </c:pt>
                <c:pt idx="856">
                  <c:v>0</c:v>
                </c:pt>
                <c:pt idx="857">
                  <c:v>0</c:v>
                </c:pt>
                <c:pt idx="858">
                  <c:v>1</c:v>
                </c:pt>
                <c:pt idx="859">
                  <c:v>0</c:v>
                </c:pt>
                <c:pt idx="860">
                  <c:v>2</c:v>
                </c:pt>
                <c:pt idx="861">
                  <c:v>3</c:v>
                </c:pt>
                <c:pt idx="862">
                  <c:v>2</c:v>
                </c:pt>
                <c:pt idx="863">
                  <c:v>0</c:v>
                </c:pt>
                <c:pt idx="864">
                  <c:v>0</c:v>
                </c:pt>
                <c:pt idx="865">
                  <c:v>2</c:v>
                </c:pt>
                <c:pt idx="866">
                  <c:v>0</c:v>
                </c:pt>
                <c:pt idx="867">
                  <c:v>1</c:v>
                </c:pt>
                <c:pt idx="868">
                  <c:v>0</c:v>
                </c:pt>
                <c:pt idx="869">
                  <c:v>3</c:v>
                </c:pt>
                <c:pt idx="870">
                  <c:v>0</c:v>
                </c:pt>
                <c:pt idx="871">
                  <c:v>1</c:v>
                </c:pt>
                <c:pt idx="872">
                  <c:v>0</c:v>
                </c:pt>
                <c:pt idx="873">
                  <c:v>1</c:v>
                </c:pt>
                <c:pt idx="874">
                  <c:v>3</c:v>
                </c:pt>
                <c:pt idx="875">
                  <c:v>0</c:v>
                </c:pt>
                <c:pt idx="876">
                  <c:v>1</c:v>
                </c:pt>
                <c:pt idx="877">
                  <c:v>5</c:v>
                </c:pt>
                <c:pt idx="878">
                  <c:v>1</c:v>
                </c:pt>
                <c:pt idx="879">
                  <c:v>2</c:v>
                </c:pt>
                <c:pt idx="880">
                  <c:v>3</c:v>
                </c:pt>
                <c:pt idx="881">
                  <c:v>1</c:v>
                </c:pt>
                <c:pt idx="882">
                  <c:v>0</c:v>
                </c:pt>
                <c:pt idx="883">
                  <c:v>3</c:v>
                </c:pt>
                <c:pt idx="884">
                  <c:v>4</c:v>
                </c:pt>
                <c:pt idx="885">
                  <c:v>1</c:v>
                </c:pt>
                <c:pt idx="886">
                  <c:v>0</c:v>
                </c:pt>
                <c:pt idx="887">
                  <c:v>0</c:v>
                </c:pt>
                <c:pt idx="888">
                  <c:v>0</c:v>
                </c:pt>
                <c:pt idx="889">
                  <c:v>1</c:v>
                </c:pt>
                <c:pt idx="890">
                  <c:v>0</c:v>
                </c:pt>
                <c:pt idx="891">
                  <c:v>4</c:v>
                </c:pt>
                <c:pt idx="892">
                  <c:v>0</c:v>
                </c:pt>
                <c:pt idx="893">
                  <c:v>2</c:v>
                </c:pt>
                <c:pt idx="894">
                  <c:v>0</c:v>
                </c:pt>
                <c:pt idx="895">
                  <c:v>0</c:v>
                </c:pt>
                <c:pt idx="896">
                  <c:v>2</c:v>
                </c:pt>
                <c:pt idx="897">
                  <c:v>1</c:v>
                </c:pt>
                <c:pt idx="898">
                  <c:v>0</c:v>
                </c:pt>
                <c:pt idx="899">
                  <c:v>0</c:v>
                </c:pt>
                <c:pt idx="900">
                  <c:v>0</c:v>
                </c:pt>
                <c:pt idx="901">
                  <c:v>0</c:v>
                </c:pt>
                <c:pt idx="902">
                  <c:v>3</c:v>
                </c:pt>
                <c:pt idx="903">
                  <c:v>0</c:v>
                </c:pt>
                <c:pt idx="904">
                  <c:v>0</c:v>
                </c:pt>
                <c:pt idx="905">
                  <c:v>2</c:v>
                </c:pt>
                <c:pt idx="906">
                  <c:v>3</c:v>
                </c:pt>
                <c:pt idx="907">
                  <c:v>1</c:v>
                </c:pt>
                <c:pt idx="908">
                  <c:v>3</c:v>
                </c:pt>
                <c:pt idx="909">
                  <c:v>0</c:v>
                </c:pt>
                <c:pt idx="910">
                  <c:v>1</c:v>
                </c:pt>
                <c:pt idx="911">
                  <c:v>0</c:v>
                </c:pt>
                <c:pt idx="912">
                  <c:v>3</c:v>
                </c:pt>
                <c:pt idx="913">
                  <c:v>1</c:v>
                </c:pt>
                <c:pt idx="914">
                  <c:v>2</c:v>
                </c:pt>
                <c:pt idx="915">
                  <c:v>0</c:v>
                </c:pt>
                <c:pt idx="916">
                  <c:v>0</c:v>
                </c:pt>
                <c:pt idx="917">
                  <c:v>0</c:v>
                </c:pt>
                <c:pt idx="918">
                  <c:v>0</c:v>
                </c:pt>
                <c:pt idx="919">
                  <c:v>1</c:v>
                </c:pt>
                <c:pt idx="920">
                  <c:v>0</c:v>
                </c:pt>
                <c:pt idx="921">
                  <c:v>0</c:v>
                </c:pt>
                <c:pt idx="922">
                  <c:v>1</c:v>
                </c:pt>
                <c:pt idx="923">
                  <c:v>0</c:v>
                </c:pt>
                <c:pt idx="924">
                  <c:v>0</c:v>
                </c:pt>
                <c:pt idx="925">
                  <c:v>2</c:v>
                </c:pt>
                <c:pt idx="926">
                  <c:v>2</c:v>
                </c:pt>
                <c:pt idx="927">
                  <c:v>1</c:v>
                </c:pt>
                <c:pt idx="928">
                  <c:v>0</c:v>
                </c:pt>
                <c:pt idx="929">
                  <c:v>1</c:v>
                </c:pt>
                <c:pt idx="930">
                  <c:v>1</c:v>
                </c:pt>
                <c:pt idx="931">
                  <c:v>1</c:v>
                </c:pt>
                <c:pt idx="932">
                  <c:v>5</c:v>
                </c:pt>
                <c:pt idx="933">
                  <c:v>0</c:v>
                </c:pt>
                <c:pt idx="934">
                  <c:v>2</c:v>
                </c:pt>
                <c:pt idx="935">
                  <c:v>0</c:v>
                </c:pt>
                <c:pt idx="936">
                  <c:v>2</c:v>
                </c:pt>
                <c:pt idx="937">
                  <c:v>5</c:v>
                </c:pt>
                <c:pt idx="938">
                  <c:v>2</c:v>
                </c:pt>
                <c:pt idx="939">
                  <c:v>0</c:v>
                </c:pt>
                <c:pt idx="940">
                  <c:v>0</c:v>
                </c:pt>
                <c:pt idx="941">
                  <c:v>1</c:v>
                </c:pt>
                <c:pt idx="942">
                  <c:v>0</c:v>
                </c:pt>
                <c:pt idx="943">
                  <c:v>0</c:v>
                </c:pt>
                <c:pt idx="944">
                  <c:v>0</c:v>
                </c:pt>
                <c:pt idx="945">
                  <c:v>1</c:v>
                </c:pt>
                <c:pt idx="946">
                  <c:v>2</c:v>
                </c:pt>
                <c:pt idx="947">
                  <c:v>1</c:v>
                </c:pt>
                <c:pt idx="948">
                  <c:v>0</c:v>
                </c:pt>
                <c:pt idx="949">
                  <c:v>3</c:v>
                </c:pt>
                <c:pt idx="950">
                  <c:v>0</c:v>
                </c:pt>
                <c:pt idx="951">
                  <c:v>2</c:v>
                </c:pt>
                <c:pt idx="952">
                  <c:v>1</c:v>
                </c:pt>
                <c:pt idx="953">
                  <c:v>2</c:v>
                </c:pt>
                <c:pt idx="954">
                  <c:v>1</c:v>
                </c:pt>
                <c:pt idx="955">
                  <c:v>1</c:v>
                </c:pt>
                <c:pt idx="956">
                  <c:v>1</c:v>
                </c:pt>
                <c:pt idx="957">
                  <c:v>1</c:v>
                </c:pt>
                <c:pt idx="958">
                  <c:v>1</c:v>
                </c:pt>
                <c:pt idx="959">
                  <c:v>1</c:v>
                </c:pt>
                <c:pt idx="960">
                  <c:v>1</c:v>
                </c:pt>
                <c:pt idx="961">
                  <c:v>0</c:v>
                </c:pt>
                <c:pt idx="962">
                  <c:v>1</c:v>
                </c:pt>
                <c:pt idx="963">
                  <c:v>3</c:v>
                </c:pt>
                <c:pt idx="964">
                  <c:v>2</c:v>
                </c:pt>
                <c:pt idx="965">
                  <c:v>1</c:v>
                </c:pt>
                <c:pt idx="966">
                  <c:v>2</c:v>
                </c:pt>
                <c:pt idx="967">
                  <c:v>1</c:v>
                </c:pt>
                <c:pt idx="968">
                  <c:v>2</c:v>
                </c:pt>
                <c:pt idx="969">
                  <c:v>5</c:v>
                </c:pt>
                <c:pt idx="970">
                  <c:v>3</c:v>
                </c:pt>
                <c:pt idx="971">
                  <c:v>0</c:v>
                </c:pt>
                <c:pt idx="972">
                  <c:v>0</c:v>
                </c:pt>
                <c:pt idx="973">
                  <c:v>0</c:v>
                </c:pt>
                <c:pt idx="974">
                  <c:v>0</c:v>
                </c:pt>
                <c:pt idx="975">
                  <c:v>0</c:v>
                </c:pt>
                <c:pt idx="976">
                  <c:v>0</c:v>
                </c:pt>
                <c:pt idx="977">
                  <c:v>1</c:v>
                </c:pt>
                <c:pt idx="978">
                  <c:v>3</c:v>
                </c:pt>
                <c:pt idx="979">
                  <c:v>0</c:v>
                </c:pt>
                <c:pt idx="980">
                  <c:v>1</c:v>
                </c:pt>
                <c:pt idx="981">
                  <c:v>0</c:v>
                </c:pt>
                <c:pt idx="982">
                  <c:v>3</c:v>
                </c:pt>
                <c:pt idx="983">
                  <c:v>1</c:v>
                </c:pt>
                <c:pt idx="984">
                  <c:v>5</c:v>
                </c:pt>
                <c:pt idx="985">
                  <c:v>1</c:v>
                </c:pt>
                <c:pt idx="986">
                  <c:v>3</c:v>
                </c:pt>
                <c:pt idx="987">
                  <c:v>1</c:v>
                </c:pt>
                <c:pt idx="988">
                  <c:v>0</c:v>
                </c:pt>
                <c:pt idx="989">
                  <c:v>0</c:v>
                </c:pt>
                <c:pt idx="990">
                  <c:v>1</c:v>
                </c:pt>
                <c:pt idx="991">
                  <c:v>2</c:v>
                </c:pt>
                <c:pt idx="992">
                  <c:v>2</c:v>
                </c:pt>
                <c:pt idx="993">
                  <c:v>1</c:v>
                </c:pt>
                <c:pt idx="994">
                  <c:v>3</c:v>
                </c:pt>
                <c:pt idx="995">
                  <c:v>3</c:v>
                </c:pt>
                <c:pt idx="996">
                  <c:v>3</c:v>
                </c:pt>
                <c:pt idx="997">
                  <c:v>0</c:v>
                </c:pt>
                <c:pt idx="998">
                  <c:v>3</c:v>
                </c:pt>
                <c:pt idx="999">
                  <c:v>0</c:v>
                </c:pt>
                <c:pt idx="1000">
                  <c:v>2</c:v>
                </c:pt>
                <c:pt idx="1001">
                  <c:v>0</c:v>
                </c:pt>
                <c:pt idx="1002">
                  <c:v>0</c:v>
                </c:pt>
                <c:pt idx="1003">
                  <c:v>0</c:v>
                </c:pt>
                <c:pt idx="1004">
                  <c:v>1</c:v>
                </c:pt>
                <c:pt idx="1005">
                  <c:v>2</c:v>
                </c:pt>
                <c:pt idx="1006">
                  <c:v>2</c:v>
                </c:pt>
                <c:pt idx="1007">
                  <c:v>3</c:v>
                </c:pt>
                <c:pt idx="1008">
                  <c:v>2</c:v>
                </c:pt>
                <c:pt idx="1009">
                  <c:v>1</c:v>
                </c:pt>
                <c:pt idx="1010">
                  <c:v>0</c:v>
                </c:pt>
                <c:pt idx="1011">
                  <c:v>2</c:v>
                </c:pt>
                <c:pt idx="1012">
                  <c:v>4</c:v>
                </c:pt>
                <c:pt idx="1013">
                  <c:v>1</c:v>
                </c:pt>
                <c:pt idx="1014">
                  <c:v>0</c:v>
                </c:pt>
                <c:pt idx="1015">
                  <c:v>0</c:v>
                </c:pt>
                <c:pt idx="1016">
                  <c:v>1</c:v>
                </c:pt>
                <c:pt idx="1017">
                  <c:v>2</c:v>
                </c:pt>
                <c:pt idx="1018">
                  <c:v>3</c:v>
                </c:pt>
                <c:pt idx="1019">
                  <c:v>2</c:v>
                </c:pt>
                <c:pt idx="1020">
                  <c:v>0</c:v>
                </c:pt>
                <c:pt idx="1021">
                  <c:v>3</c:v>
                </c:pt>
                <c:pt idx="1022">
                  <c:v>1</c:v>
                </c:pt>
                <c:pt idx="1023">
                  <c:v>1</c:v>
                </c:pt>
                <c:pt idx="1024">
                  <c:v>1</c:v>
                </c:pt>
                <c:pt idx="1025">
                  <c:v>0</c:v>
                </c:pt>
                <c:pt idx="1026">
                  <c:v>1</c:v>
                </c:pt>
                <c:pt idx="1027">
                  <c:v>0</c:v>
                </c:pt>
                <c:pt idx="1028">
                  <c:v>0</c:v>
                </c:pt>
                <c:pt idx="1029">
                  <c:v>2</c:v>
                </c:pt>
                <c:pt idx="1030">
                  <c:v>1</c:v>
                </c:pt>
                <c:pt idx="1031">
                  <c:v>0</c:v>
                </c:pt>
                <c:pt idx="1032">
                  <c:v>0</c:v>
                </c:pt>
                <c:pt idx="1033">
                  <c:v>0</c:v>
                </c:pt>
                <c:pt idx="1034">
                  <c:v>0</c:v>
                </c:pt>
                <c:pt idx="1035">
                  <c:v>3</c:v>
                </c:pt>
                <c:pt idx="1036">
                  <c:v>2</c:v>
                </c:pt>
                <c:pt idx="1037">
                  <c:v>1</c:v>
                </c:pt>
                <c:pt idx="1038">
                  <c:v>0</c:v>
                </c:pt>
                <c:pt idx="1039">
                  <c:v>2</c:v>
                </c:pt>
                <c:pt idx="1040">
                  <c:v>0</c:v>
                </c:pt>
                <c:pt idx="1041">
                  <c:v>0</c:v>
                </c:pt>
                <c:pt idx="1042">
                  <c:v>0</c:v>
                </c:pt>
                <c:pt idx="1043">
                  <c:v>0</c:v>
                </c:pt>
                <c:pt idx="1044">
                  <c:v>1</c:v>
                </c:pt>
                <c:pt idx="1045">
                  <c:v>2</c:v>
                </c:pt>
                <c:pt idx="1046">
                  <c:v>0</c:v>
                </c:pt>
                <c:pt idx="1047">
                  <c:v>1</c:v>
                </c:pt>
                <c:pt idx="1048">
                  <c:v>1</c:v>
                </c:pt>
                <c:pt idx="1049">
                  <c:v>0</c:v>
                </c:pt>
                <c:pt idx="1050">
                  <c:v>1</c:v>
                </c:pt>
                <c:pt idx="1051">
                  <c:v>0</c:v>
                </c:pt>
                <c:pt idx="1052">
                  <c:v>1</c:v>
                </c:pt>
                <c:pt idx="1053">
                  <c:v>3</c:v>
                </c:pt>
                <c:pt idx="1054">
                  <c:v>0</c:v>
                </c:pt>
                <c:pt idx="1055">
                  <c:v>0</c:v>
                </c:pt>
                <c:pt idx="1056">
                  <c:v>0</c:v>
                </c:pt>
                <c:pt idx="1057">
                  <c:v>0</c:v>
                </c:pt>
                <c:pt idx="1058">
                  <c:v>0</c:v>
                </c:pt>
                <c:pt idx="1059">
                  <c:v>1</c:v>
                </c:pt>
                <c:pt idx="1060">
                  <c:v>0</c:v>
                </c:pt>
                <c:pt idx="1061">
                  <c:v>1</c:v>
                </c:pt>
                <c:pt idx="1062">
                  <c:v>1</c:v>
                </c:pt>
                <c:pt idx="1063">
                  <c:v>3</c:v>
                </c:pt>
                <c:pt idx="1064">
                  <c:v>4</c:v>
                </c:pt>
                <c:pt idx="1065">
                  <c:v>1</c:v>
                </c:pt>
                <c:pt idx="1066">
                  <c:v>2</c:v>
                </c:pt>
                <c:pt idx="1067">
                  <c:v>0</c:v>
                </c:pt>
                <c:pt idx="1068">
                  <c:v>1</c:v>
                </c:pt>
                <c:pt idx="1069">
                  <c:v>1</c:v>
                </c:pt>
                <c:pt idx="1070">
                  <c:v>1</c:v>
                </c:pt>
                <c:pt idx="1071">
                  <c:v>0</c:v>
                </c:pt>
                <c:pt idx="1072">
                  <c:v>0</c:v>
                </c:pt>
                <c:pt idx="1073">
                  <c:v>2</c:v>
                </c:pt>
                <c:pt idx="1074">
                  <c:v>0</c:v>
                </c:pt>
                <c:pt idx="1075">
                  <c:v>1</c:v>
                </c:pt>
                <c:pt idx="1076">
                  <c:v>1</c:v>
                </c:pt>
                <c:pt idx="1077">
                  <c:v>0</c:v>
                </c:pt>
                <c:pt idx="1078">
                  <c:v>0</c:v>
                </c:pt>
                <c:pt idx="1079">
                  <c:v>3</c:v>
                </c:pt>
                <c:pt idx="1080">
                  <c:v>2</c:v>
                </c:pt>
                <c:pt idx="1081">
                  <c:v>1</c:v>
                </c:pt>
                <c:pt idx="1082">
                  <c:v>1</c:v>
                </c:pt>
                <c:pt idx="1083">
                  <c:v>1</c:v>
                </c:pt>
                <c:pt idx="1084">
                  <c:v>2</c:v>
                </c:pt>
                <c:pt idx="1085">
                  <c:v>5</c:v>
                </c:pt>
                <c:pt idx="1086">
                  <c:v>0</c:v>
                </c:pt>
                <c:pt idx="1087">
                  <c:v>0</c:v>
                </c:pt>
                <c:pt idx="1088">
                  <c:v>1</c:v>
                </c:pt>
                <c:pt idx="1089">
                  <c:v>0</c:v>
                </c:pt>
                <c:pt idx="1090">
                  <c:v>0</c:v>
                </c:pt>
                <c:pt idx="1091">
                  <c:v>0</c:v>
                </c:pt>
                <c:pt idx="1092">
                  <c:v>3</c:v>
                </c:pt>
                <c:pt idx="1093">
                  <c:v>0</c:v>
                </c:pt>
                <c:pt idx="1094">
                  <c:v>4</c:v>
                </c:pt>
                <c:pt idx="1095">
                  <c:v>4</c:v>
                </c:pt>
                <c:pt idx="1096">
                  <c:v>2</c:v>
                </c:pt>
                <c:pt idx="1097">
                  <c:v>0</c:v>
                </c:pt>
                <c:pt idx="1098">
                  <c:v>0</c:v>
                </c:pt>
                <c:pt idx="1099">
                  <c:v>1</c:v>
                </c:pt>
                <c:pt idx="1100">
                  <c:v>2</c:v>
                </c:pt>
                <c:pt idx="1101">
                  <c:v>3</c:v>
                </c:pt>
                <c:pt idx="1102">
                  <c:v>1</c:v>
                </c:pt>
                <c:pt idx="1103">
                  <c:v>0</c:v>
                </c:pt>
                <c:pt idx="1104">
                  <c:v>0</c:v>
                </c:pt>
                <c:pt idx="1105">
                  <c:v>0</c:v>
                </c:pt>
                <c:pt idx="1106">
                  <c:v>0</c:v>
                </c:pt>
                <c:pt idx="1107">
                  <c:v>2</c:v>
                </c:pt>
                <c:pt idx="1108">
                  <c:v>1</c:v>
                </c:pt>
                <c:pt idx="1109">
                  <c:v>3</c:v>
                </c:pt>
                <c:pt idx="1110">
                  <c:v>1</c:v>
                </c:pt>
                <c:pt idx="1111">
                  <c:v>3</c:v>
                </c:pt>
                <c:pt idx="1112">
                  <c:v>3</c:v>
                </c:pt>
                <c:pt idx="1113">
                  <c:v>3</c:v>
                </c:pt>
                <c:pt idx="1114">
                  <c:v>0</c:v>
                </c:pt>
                <c:pt idx="1115">
                  <c:v>1</c:v>
                </c:pt>
                <c:pt idx="1116">
                  <c:v>5</c:v>
                </c:pt>
                <c:pt idx="1117">
                  <c:v>2</c:v>
                </c:pt>
                <c:pt idx="1118">
                  <c:v>1</c:v>
                </c:pt>
                <c:pt idx="1119">
                  <c:v>3</c:v>
                </c:pt>
                <c:pt idx="1120">
                  <c:v>0</c:v>
                </c:pt>
                <c:pt idx="1121">
                  <c:v>2</c:v>
                </c:pt>
                <c:pt idx="1122">
                  <c:v>3</c:v>
                </c:pt>
                <c:pt idx="1123">
                  <c:v>1</c:v>
                </c:pt>
                <c:pt idx="1124">
                  <c:v>1</c:v>
                </c:pt>
                <c:pt idx="1125">
                  <c:v>0</c:v>
                </c:pt>
                <c:pt idx="1126">
                  <c:v>0</c:v>
                </c:pt>
                <c:pt idx="1127">
                  <c:v>2</c:v>
                </c:pt>
                <c:pt idx="1128">
                  <c:v>1</c:v>
                </c:pt>
                <c:pt idx="1129">
                  <c:v>0</c:v>
                </c:pt>
                <c:pt idx="1130">
                  <c:v>5</c:v>
                </c:pt>
                <c:pt idx="1131">
                  <c:v>2</c:v>
                </c:pt>
                <c:pt idx="1132">
                  <c:v>0</c:v>
                </c:pt>
                <c:pt idx="1133">
                  <c:v>0</c:v>
                </c:pt>
                <c:pt idx="1134">
                  <c:v>0</c:v>
                </c:pt>
                <c:pt idx="1135">
                  <c:v>3</c:v>
                </c:pt>
                <c:pt idx="1136">
                  <c:v>1</c:v>
                </c:pt>
                <c:pt idx="1137">
                  <c:v>0</c:v>
                </c:pt>
                <c:pt idx="1138">
                  <c:v>0</c:v>
                </c:pt>
                <c:pt idx="1139">
                  <c:v>0</c:v>
                </c:pt>
                <c:pt idx="1140">
                  <c:v>1</c:v>
                </c:pt>
                <c:pt idx="1141">
                  <c:v>3</c:v>
                </c:pt>
                <c:pt idx="1142">
                  <c:v>0</c:v>
                </c:pt>
                <c:pt idx="1143">
                  <c:v>2</c:v>
                </c:pt>
                <c:pt idx="1144">
                  <c:v>2</c:v>
                </c:pt>
                <c:pt idx="1145">
                  <c:v>3</c:v>
                </c:pt>
                <c:pt idx="1146">
                  <c:v>0</c:v>
                </c:pt>
                <c:pt idx="1147">
                  <c:v>0</c:v>
                </c:pt>
                <c:pt idx="1148">
                  <c:v>1</c:v>
                </c:pt>
                <c:pt idx="1149">
                  <c:v>0</c:v>
                </c:pt>
                <c:pt idx="1150">
                  <c:v>0</c:v>
                </c:pt>
                <c:pt idx="1151">
                  <c:v>0</c:v>
                </c:pt>
                <c:pt idx="1152">
                  <c:v>3</c:v>
                </c:pt>
                <c:pt idx="1153">
                  <c:v>1</c:v>
                </c:pt>
                <c:pt idx="1154">
                  <c:v>4</c:v>
                </c:pt>
                <c:pt idx="1155">
                  <c:v>3</c:v>
                </c:pt>
                <c:pt idx="1156">
                  <c:v>0</c:v>
                </c:pt>
                <c:pt idx="1157">
                  <c:v>2</c:v>
                </c:pt>
                <c:pt idx="1158">
                  <c:v>0</c:v>
                </c:pt>
                <c:pt idx="1159">
                  <c:v>0</c:v>
                </c:pt>
                <c:pt idx="1160">
                  <c:v>1</c:v>
                </c:pt>
                <c:pt idx="1161">
                  <c:v>2</c:v>
                </c:pt>
                <c:pt idx="1162">
                  <c:v>1</c:v>
                </c:pt>
                <c:pt idx="1163">
                  <c:v>0</c:v>
                </c:pt>
                <c:pt idx="1164">
                  <c:v>1</c:v>
                </c:pt>
                <c:pt idx="1165">
                  <c:v>0</c:v>
                </c:pt>
                <c:pt idx="1166">
                  <c:v>0</c:v>
                </c:pt>
                <c:pt idx="1167">
                  <c:v>2</c:v>
                </c:pt>
                <c:pt idx="1168">
                  <c:v>2</c:v>
                </c:pt>
                <c:pt idx="1169">
                  <c:v>1</c:v>
                </c:pt>
                <c:pt idx="1170">
                  <c:v>1</c:v>
                </c:pt>
                <c:pt idx="1171">
                  <c:v>2</c:v>
                </c:pt>
                <c:pt idx="1172">
                  <c:v>0</c:v>
                </c:pt>
                <c:pt idx="1173">
                  <c:v>2</c:v>
                </c:pt>
                <c:pt idx="1174">
                  <c:v>2</c:v>
                </c:pt>
                <c:pt idx="1175">
                  <c:v>0</c:v>
                </c:pt>
                <c:pt idx="1176">
                  <c:v>1</c:v>
                </c:pt>
                <c:pt idx="1177">
                  <c:v>1</c:v>
                </c:pt>
                <c:pt idx="1178">
                  <c:v>0</c:v>
                </c:pt>
                <c:pt idx="1179">
                  <c:v>0</c:v>
                </c:pt>
                <c:pt idx="1180">
                  <c:v>1</c:v>
                </c:pt>
                <c:pt idx="1181">
                  <c:v>0</c:v>
                </c:pt>
                <c:pt idx="1182">
                  <c:v>0</c:v>
                </c:pt>
                <c:pt idx="1183">
                  <c:v>1</c:v>
                </c:pt>
                <c:pt idx="1184">
                  <c:v>1</c:v>
                </c:pt>
                <c:pt idx="1185">
                  <c:v>2</c:v>
                </c:pt>
                <c:pt idx="1186">
                  <c:v>3</c:v>
                </c:pt>
                <c:pt idx="1187">
                  <c:v>0</c:v>
                </c:pt>
                <c:pt idx="1188">
                  <c:v>1</c:v>
                </c:pt>
                <c:pt idx="1189">
                  <c:v>0</c:v>
                </c:pt>
                <c:pt idx="1190">
                  <c:v>2</c:v>
                </c:pt>
                <c:pt idx="1191">
                  <c:v>1</c:v>
                </c:pt>
                <c:pt idx="1192">
                  <c:v>1</c:v>
                </c:pt>
                <c:pt idx="1193">
                  <c:v>0</c:v>
                </c:pt>
                <c:pt idx="1194">
                  <c:v>0</c:v>
                </c:pt>
                <c:pt idx="1195">
                  <c:v>3</c:v>
                </c:pt>
                <c:pt idx="1196">
                  <c:v>0</c:v>
                </c:pt>
                <c:pt idx="1197">
                  <c:v>0</c:v>
                </c:pt>
                <c:pt idx="1198">
                  <c:v>1</c:v>
                </c:pt>
                <c:pt idx="1199">
                  <c:v>2</c:v>
                </c:pt>
                <c:pt idx="1200">
                  <c:v>2</c:v>
                </c:pt>
                <c:pt idx="1201">
                  <c:v>2</c:v>
                </c:pt>
                <c:pt idx="1202">
                  <c:v>0</c:v>
                </c:pt>
                <c:pt idx="1203">
                  <c:v>1</c:v>
                </c:pt>
                <c:pt idx="1204">
                  <c:v>3</c:v>
                </c:pt>
                <c:pt idx="1205">
                  <c:v>1</c:v>
                </c:pt>
                <c:pt idx="1206">
                  <c:v>2</c:v>
                </c:pt>
                <c:pt idx="1207">
                  <c:v>2</c:v>
                </c:pt>
                <c:pt idx="1208">
                  <c:v>1</c:v>
                </c:pt>
                <c:pt idx="1209">
                  <c:v>1</c:v>
                </c:pt>
                <c:pt idx="1210">
                  <c:v>1</c:v>
                </c:pt>
                <c:pt idx="1211">
                  <c:v>2</c:v>
                </c:pt>
                <c:pt idx="1212">
                  <c:v>0</c:v>
                </c:pt>
                <c:pt idx="1213">
                  <c:v>2</c:v>
                </c:pt>
                <c:pt idx="1214">
                  <c:v>1</c:v>
                </c:pt>
                <c:pt idx="1215">
                  <c:v>0</c:v>
                </c:pt>
                <c:pt idx="1216">
                  <c:v>0</c:v>
                </c:pt>
                <c:pt idx="1217">
                  <c:v>2</c:v>
                </c:pt>
                <c:pt idx="1218">
                  <c:v>1</c:v>
                </c:pt>
                <c:pt idx="1219">
                  <c:v>3</c:v>
                </c:pt>
                <c:pt idx="1220">
                  <c:v>1</c:v>
                </c:pt>
                <c:pt idx="1221">
                  <c:v>2</c:v>
                </c:pt>
                <c:pt idx="1222">
                  <c:v>0</c:v>
                </c:pt>
                <c:pt idx="1223">
                  <c:v>0</c:v>
                </c:pt>
                <c:pt idx="1224">
                  <c:v>1</c:v>
                </c:pt>
                <c:pt idx="1225">
                  <c:v>1</c:v>
                </c:pt>
                <c:pt idx="1226">
                  <c:v>2</c:v>
                </c:pt>
                <c:pt idx="1227">
                  <c:v>2</c:v>
                </c:pt>
                <c:pt idx="1228">
                  <c:v>0</c:v>
                </c:pt>
                <c:pt idx="1229">
                  <c:v>0</c:v>
                </c:pt>
                <c:pt idx="1230">
                  <c:v>3</c:v>
                </c:pt>
                <c:pt idx="1231">
                  <c:v>0</c:v>
                </c:pt>
                <c:pt idx="1232">
                  <c:v>3</c:v>
                </c:pt>
                <c:pt idx="1233">
                  <c:v>0</c:v>
                </c:pt>
                <c:pt idx="1234">
                  <c:v>2</c:v>
                </c:pt>
                <c:pt idx="1235">
                  <c:v>0</c:v>
                </c:pt>
                <c:pt idx="1236">
                  <c:v>0</c:v>
                </c:pt>
                <c:pt idx="1237">
                  <c:v>0</c:v>
                </c:pt>
                <c:pt idx="1238">
                  <c:v>3</c:v>
                </c:pt>
                <c:pt idx="1239">
                  <c:v>1</c:v>
                </c:pt>
                <c:pt idx="1240">
                  <c:v>2</c:v>
                </c:pt>
                <c:pt idx="1241">
                  <c:v>2</c:v>
                </c:pt>
                <c:pt idx="1242">
                  <c:v>3</c:v>
                </c:pt>
                <c:pt idx="1243">
                  <c:v>0</c:v>
                </c:pt>
                <c:pt idx="1244">
                  <c:v>0</c:v>
                </c:pt>
                <c:pt idx="1245">
                  <c:v>5</c:v>
                </c:pt>
                <c:pt idx="1246">
                  <c:v>3</c:v>
                </c:pt>
                <c:pt idx="1247">
                  <c:v>4</c:v>
                </c:pt>
                <c:pt idx="1248">
                  <c:v>0</c:v>
                </c:pt>
                <c:pt idx="1249">
                  <c:v>1</c:v>
                </c:pt>
                <c:pt idx="1250">
                  <c:v>0</c:v>
                </c:pt>
                <c:pt idx="1251">
                  <c:v>0</c:v>
                </c:pt>
                <c:pt idx="1252">
                  <c:v>0</c:v>
                </c:pt>
                <c:pt idx="1253">
                  <c:v>4</c:v>
                </c:pt>
                <c:pt idx="1254">
                  <c:v>0</c:v>
                </c:pt>
                <c:pt idx="1255">
                  <c:v>0</c:v>
                </c:pt>
                <c:pt idx="1256">
                  <c:v>3</c:v>
                </c:pt>
                <c:pt idx="1257">
                  <c:v>1</c:v>
                </c:pt>
                <c:pt idx="1258">
                  <c:v>3</c:v>
                </c:pt>
                <c:pt idx="1259">
                  <c:v>0</c:v>
                </c:pt>
                <c:pt idx="1260">
                  <c:v>0</c:v>
                </c:pt>
                <c:pt idx="1261">
                  <c:v>1</c:v>
                </c:pt>
                <c:pt idx="1262">
                  <c:v>1</c:v>
                </c:pt>
                <c:pt idx="1263">
                  <c:v>1</c:v>
                </c:pt>
                <c:pt idx="1264">
                  <c:v>2</c:v>
                </c:pt>
                <c:pt idx="1265">
                  <c:v>0</c:v>
                </c:pt>
                <c:pt idx="1266">
                  <c:v>0</c:v>
                </c:pt>
                <c:pt idx="1267">
                  <c:v>0</c:v>
                </c:pt>
                <c:pt idx="1268">
                  <c:v>0</c:v>
                </c:pt>
                <c:pt idx="1269">
                  <c:v>3</c:v>
                </c:pt>
                <c:pt idx="1270">
                  <c:v>1</c:v>
                </c:pt>
                <c:pt idx="1271">
                  <c:v>0</c:v>
                </c:pt>
                <c:pt idx="1272">
                  <c:v>5</c:v>
                </c:pt>
                <c:pt idx="1273">
                  <c:v>1</c:v>
                </c:pt>
                <c:pt idx="1274">
                  <c:v>0</c:v>
                </c:pt>
                <c:pt idx="1275">
                  <c:v>0</c:v>
                </c:pt>
                <c:pt idx="1276">
                  <c:v>0</c:v>
                </c:pt>
                <c:pt idx="1277">
                  <c:v>0</c:v>
                </c:pt>
                <c:pt idx="1278">
                  <c:v>1</c:v>
                </c:pt>
                <c:pt idx="1279">
                  <c:v>2</c:v>
                </c:pt>
                <c:pt idx="1280">
                  <c:v>0</c:v>
                </c:pt>
                <c:pt idx="1281">
                  <c:v>2</c:v>
                </c:pt>
                <c:pt idx="1282">
                  <c:v>0</c:v>
                </c:pt>
                <c:pt idx="1283">
                  <c:v>1</c:v>
                </c:pt>
                <c:pt idx="1284">
                  <c:v>1</c:v>
                </c:pt>
                <c:pt idx="1285">
                  <c:v>0</c:v>
                </c:pt>
                <c:pt idx="1286">
                  <c:v>0</c:v>
                </c:pt>
                <c:pt idx="1287">
                  <c:v>1</c:v>
                </c:pt>
                <c:pt idx="1288">
                  <c:v>2</c:v>
                </c:pt>
                <c:pt idx="1289">
                  <c:v>1</c:v>
                </c:pt>
                <c:pt idx="1290">
                  <c:v>2</c:v>
                </c:pt>
                <c:pt idx="1291">
                  <c:v>0</c:v>
                </c:pt>
                <c:pt idx="1292">
                  <c:v>0</c:v>
                </c:pt>
                <c:pt idx="1293">
                  <c:v>3</c:v>
                </c:pt>
                <c:pt idx="1294">
                  <c:v>0</c:v>
                </c:pt>
                <c:pt idx="1295">
                  <c:v>1</c:v>
                </c:pt>
                <c:pt idx="1296">
                  <c:v>0</c:v>
                </c:pt>
                <c:pt idx="1297">
                  <c:v>2</c:v>
                </c:pt>
                <c:pt idx="1298">
                  <c:v>2</c:v>
                </c:pt>
                <c:pt idx="1299">
                  <c:v>1</c:v>
                </c:pt>
                <c:pt idx="1300">
                  <c:v>0</c:v>
                </c:pt>
                <c:pt idx="1301">
                  <c:v>3</c:v>
                </c:pt>
                <c:pt idx="1302">
                  <c:v>1</c:v>
                </c:pt>
                <c:pt idx="1303">
                  <c:v>0</c:v>
                </c:pt>
                <c:pt idx="1304">
                  <c:v>2</c:v>
                </c:pt>
                <c:pt idx="1305">
                  <c:v>0</c:v>
                </c:pt>
                <c:pt idx="1306">
                  <c:v>0</c:v>
                </c:pt>
                <c:pt idx="1307">
                  <c:v>4</c:v>
                </c:pt>
                <c:pt idx="1308">
                  <c:v>0</c:v>
                </c:pt>
                <c:pt idx="1309">
                  <c:v>2</c:v>
                </c:pt>
                <c:pt idx="1310">
                  <c:v>1</c:v>
                </c:pt>
                <c:pt idx="1311">
                  <c:v>0</c:v>
                </c:pt>
                <c:pt idx="1312">
                  <c:v>1</c:v>
                </c:pt>
                <c:pt idx="1313">
                  <c:v>2</c:v>
                </c:pt>
                <c:pt idx="1314">
                  <c:v>3</c:v>
                </c:pt>
                <c:pt idx="1315">
                  <c:v>1</c:v>
                </c:pt>
                <c:pt idx="1316">
                  <c:v>0</c:v>
                </c:pt>
                <c:pt idx="1317">
                  <c:v>0</c:v>
                </c:pt>
                <c:pt idx="1318">
                  <c:v>4</c:v>
                </c:pt>
                <c:pt idx="1319">
                  <c:v>2</c:v>
                </c:pt>
                <c:pt idx="1320">
                  <c:v>3</c:v>
                </c:pt>
                <c:pt idx="1321">
                  <c:v>0</c:v>
                </c:pt>
                <c:pt idx="1322">
                  <c:v>0</c:v>
                </c:pt>
                <c:pt idx="1323">
                  <c:v>2</c:v>
                </c:pt>
                <c:pt idx="1324">
                  <c:v>1</c:v>
                </c:pt>
                <c:pt idx="1325">
                  <c:v>0</c:v>
                </c:pt>
                <c:pt idx="1326">
                  <c:v>0</c:v>
                </c:pt>
                <c:pt idx="1327">
                  <c:v>1</c:v>
                </c:pt>
                <c:pt idx="1328">
                  <c:v>2</c:v>
                </c:pt>
                <c:pt idx="1329">
                  <c:v>2</c:v>
                </c:pt>
                <c:pt idx="1330">
                  <c:v>2</c:v>
                </c:pt>
                <c:pt idx="1331">
                  <c:v>0</c:v>
                </c:pt>
                <c:pt idx="1332">
                  <c:v>3</c:v>
                </c:pt>
                <c:pt idx="1333">
                  <c:v>3</c:v>
                </c:pt>
                <c:pt idx="1334">
                  <c:v>0</c:v>
                </c:pt>
                <c:pt idx="1335">
                  <c:v>0</c:v>
                </c:pt>
                <c:pt idx="1336">
                  <c:v>0</c:v>
                </c:pt>
                <c:pt idx="1337">
                  <c:v>0</c:v>
                </c:pt>
              </c:numCache>
            </c:numRef>
          </c:xVal>
          <c:yVal>
            <c:numRef>
              <c:f>'insurance (Clean)'!$K$2:$K$1339</c:f>
              <c:numCache>
                <c:formatCode>[$$-409]#,##0.00</c:formatCode>
                <c:ptCount val="1338"/>
                <c:pt idx="0">
                  <c:v>16884.923999999999</c:v>
                </c:pt>
                <c:pt idx="1">
                  <c:v>1725.5523000000001</c:v>
                </c:pt>
                <c:pt idx="2">
                  <c:v>4449.4620000000004</c:v>
                </c:pt>
                <c:pt idx="3">
                  <c:v>21984.470600000001</c:v>
                </c:pt>
                <c:pt idx="4">
                  <c:v>3866.8552</c:v>
                </c:pt>
                <c:pt idx="5">
                  <c:v>3756.6215999999999</c:v>
                </c:pt>
                <c:pt idx="6">
                  <c:v>8240.5895999999993</c:v>
                </c:pt>
                <c:pt idx="7">
                  <c:v>7281.5056000000004</c:v>
                </c:pt>
                <c:pt idx="8">
                  <c:v>6406.4107000000004</c:v>
                </c:pt>
                <c:pt idx="9">
                  <c:v>28923.136900000001</c:v>
                </c:pt>
                <c:pt idx="10">
                  <c:v>2721.3208</c:v>
                </c:pt>
                <c:pt idx="11">
                  <c:v>27808.7251</c:v>
                </c:pt>
                <c:pt idx="12">
                  <c:v>1826.8430000000001</c:v>
                </c:pt>
                <c:pt idx="13">
                  <c:v>11090.7178</c:v>
                </c:pt>
                <c:pt idx="14">
                  <c:v>39611.757700000002</c:v>
                </c:pt>
                <c:pt idx="15">
                  <c:v>1837.2370000000001</c:v>
                </c:pt>
                <c:pt idx="16">
                  <c:v>10797.3362</c:v>
                </c:pt>
                <c:pt idx="17">
                  <c:v>2395.1716000000001</c:v>
                </c:pt>
                <c:pt idx="18">
                  <c:v>10602.385</c:v>
                </c:pt>
                <c:pt idx="19">
                  <c:v>36837.466999999997</c:v>
                </c:pt>
                <c:pt idx="20">
                  <c:v>13228.847</c:v>
                </c:pt>
                <c:pt idx="21">
                  <c:v>4149.7359999999999</c:v>
                </c:pt>
                <c:pt idx="22">
                  <c:v>1137.011</c:v>
                </c:pt>
                <c:pt idx="23">
                  <c:v>37701.876799999998</c:v>
                </c:pt>
                <c:pt idx="24">
                  <c:v>6203.9017999999996</c:v>
                </c:pt>
                <c:pt idx="25">
                  <c:v>14001.1338</c:v>
                </c:pt>
                <c:pt idx="26">
                  <c:v>14451.8352</c:v>
                </c:pt>
                <c:pt idx="27">
                  <c:v>12268.6322</c:v>
                </c:pt>
                <c:pt idx="28">
                  <c:v>2775.1922</c:v>
                </c:pt>
                <c:pt idx="29">
                  <c:v>38711</c:v>
                </c:pt>
                <c:pt idx="30">
                  <c:v>35585.576000000001</c:v>
                </c:pt>
                <c:pt idx="31">
                  <c:v>2198.1898000000001</c:v>
                </c:pt>
                <c:pt idx="32">
                  <c:v>4687.7969999999996</c:v>
                </c:pt>
                <c:pt idx="33">
                  <c:v>13770.097900000001</c:v>
                </c:pt>
                <c:pt idx="34">
                  <c:v>51194.559099999999</c:v>
                </c:pt>
                <c:pt idx="35">
                  <c:v>1625.4338</c:v>
                </c:pt>
                <c:pt idx="36">
                  <c:v>15612.1934</c:v>
                </c:pt>
                <c:pt idx="37">
                  <c:v>2302.3000000000002</c:v>
                </c:pt>
                <c:pt idx="38">
                  <c:v>39774.276299999998</c:v>
                </c:pt>
                <c:pt idx="39">
                  <c:v>48173.360999999997</c:v>
                </c:pt>
                <c:pt idx="40">
                  <c:v>3046.0619999999999</c:v>
                </c:pt>
                <c:pt idx="41">
                  <c:v>4949.7587000000003</c:v>
                </c:pt>
                <c:pt idx="42">
                  <c:v>6272.4772000000003</c:v>
                </c:pt>
                <c:pt idx="43">
                  <c:v>6313.759</c:v>
                </c:pt>
                <c:pt idx="44">
                  <c:v>6079.6715000000004</c:v>
                </c:pt>
                <c:pt idx="45">
                  <c:v>20630.283500000001</c:v>
                </c:pt>
                <c:pt idx="46">
                  <c:v>3393.3564000000001</c:v>
                </c:pt>
                <c:pt idx="47">
                  <c:v>3556.9223000000002</c:v>
                </c:pt>
                <c:pt idx="48">
                  <c:v>12629.896699999999</c:v>
                </c:pt>
                <c:pt idx="49">
                  <c:v>38709.175999999999</c:v>
                </c:pt>
                <c:pt idx="50">
                  <c:v>2211.1307999999999</c:v>
                </c:pt>
                <c:pt idx="51">
                  <c:v>3579.8287</c:v>
                </c:pt>
                <c:pt idx="52">
                  <c:v>23568.272000000001</c:v>
                </c:pt>
                <c:pt idx="53">
                  <c:v>37742.575700000001</c:v>
                </c:pt>
                <c:pt idx="54">
                  <c:v>8059.6791000000003</c:v>
                </c:pt>
                <c:pt idx="55">
                  <c:v>47496.494400000003</c:v>
                </c:pt>
                <c:pt idx="56">
                  <c:v>13607.3688</c:v>
                </c:pt>
                <c:pt idx="57">
                  <c:v>34303.167200000004</c:v>
                </c:pt>
                <c:pt idx="58">
                  <c:v>23244.790199999999</c:v>
                </c:pt>
                <c:pt idx="59">
                  <c:v>5989.5236000000004</c:v>
                </c:pt>
                <c:pt idx="60">
                  <c:v>8606.2173999999995</c:v>
                </c:pt>
                <c:pt idx="61">
                  <c:v>4504.6624000000002</c:v>
                </c:pt>
                <c:pt idx="62">
                  <c:v>30166.618200000001</c:v>
                </c:pt>
                <c:pt idx="63">
                  <c:v>4133.6415999999999</c:v>
                </c:pt>
                <c:pt idx="64">
                  <c:v>14711.7438</c:v>
                </c:pt>
                <c:pt idx="65">
                  <c:v>1743.2139999999999</c:v>
                </c:pt>
                <c:pt idx="66">
                  <c:v>14235.072</c:v>
                </c:pt>
                <c:pt idx="67">
                  <c:v>6389.3778000000002</c:v>
                </c:pt>
                <c:pt idx="68">
                  <c:v>5920.1040999999996</c:v>
                </c:pt>
                <c:pt idx="69">
                  <c:v>17663.144199999999</c:v>
                </c:pt>
                <c:pt idx="70">
                  <c:v>16577.779500000001</c:v>
                </c:pt>
                <c:pt idx="71">
                  <c:v>6799.4579999999996</c:v>
                </c:pt>
                <c:pt idx="72">
                  <c:v>11741.726000000001</c:v>
                </c:pt>
                <c:pt idx="73">
                  <c:v>11946.625899999999</c:v>
                </c:pt>
                <c:pt idx="74">
                  <c:v>7726.8540000000003</c:v>
                </c:pt>
                <c:pt idx="75">
                  <c:v>11356.660900000001</c:v>
                </c:pt>
                <c:pt idx="76">
                  <c:v>3947.4131000000002</c:v>
                </c:pt>
                <c:pt idx="77">
                  <c:v>1532.4697000000001</c:v>
                </c:pt>
                <c:pt idx="78">
                  <c:v>2755.0210000000002</c:v>
                </c:pt>
                <c:pt idx="79">
                  <c:v>6571.0244000000002</c:v>
                </c:pt>
                <c:pt idx="80">
                  <c:v>4441.2132000000001</c:v>
                </c:pt>
                <c:pt idx="81">
                  <c:v>7935.2911999999997</c:v>
                </c:pt>
                <c:pt idx="82">
                  <c:v>37165.163800000002</c:v>
                </c:pt>
                <c:pt idx="83">
                  <c:v>11033.661700000001</c:v>
                </c:pt>
                <c:pt idx="84">
                  <c:v>39836.519</c:v>
                </c:pt>
                <c:pt idx="85">
                  <c:v>21098.554</c:v>
                </c:pt>
                <c:pt idx="86">
                  <c:v>43578.939400000003</c:v>
                </c:pt>
                <c:pt idx="87">
                  <c:v>11073.175999999999</c:v>
                </c:pt>
                <c:pt idx="88">
                  <c:v>8026.6665999999996</c:v>
                </c:pt>
                <c:pt idx="89">
                  <c:v>11082.5772</c:v>
                </c:pt>
                <c:pt idx="90">
                  <c:v>2026.9740999999999</c:v>
                </c:pt>
                <c:pt idx="91">
                  <c:v>10942.132</c:v>
                </c:pt>
                <c:pt idx="92">
                  <c:v>30184.936699999998</c:v>
                </c:pt>
                <c:pt idx="93">
                  <c:v>5729.0052999999998</c:v>
                </c:pt>
                <c:pt idx="94">
                  <c:v>47291.055</c:v>
                </c:pt>
                <c:pt idx="95">
                  <c:v>3766.8838000000001</c:v>
                </c:pt>
                <c:pt idx="96">
                  <c:v>12105.32</c:v>
                </c:pt>
                <c:pt idx="97">
                  <c:v>10226.2842</c:v>
                </c:pt>
                <c:pt idx="98">
                  <c:v>22412.648499999999</c:v>
                </c:pt>
                <c:pt idx="99">
                  <c:v>15820.699000000001</c:v>
                </c:pt>
                <c:pt idx="100">
                  <c:v>6186.1270000000004</c:v>
                </c:pt>
                <c:pt idx="101">
                  <c:v>3645.0893999999998</c:v>
                </c:pt>
                <c:pt idx="102">
                  <c:v>21344.846699999998</c:v>
                </c:pt>
                <c:pt idx="103">
                  <c:v>30942.191800000001</c:v>
                </c:pt>
                <c:pt idx="104">
                  <c:v>5003.8530000000001</c:v>
                </c:pt>
                <c:pt idx="105">
                  <c:v>17560.379799999999</c:v>
                </c:pt>
                <c:pt idx="106">
                  <c:v>2331.5189999999998</c:v>
                </c:pt>
                <c:pt idx="107">
                  <c:v>3877.3042</c:v>
                </c:pt>
                <c:pt idx="108">
                  <c:v>2867.1196</c:v>
                </c:pt>
                <c:pt idx="109">
                  <c:v>47055.532099999997</c:v>
                </c:pt>
                <c:pt idx="110">
                  <c:v>10825.253699999999</c:v>
                </c:pt>
                <c:pt idx="111">
                  <c:v>11881.358</c:v>
                </c:pt>
                <c:pt idx="112">
                  <c:v>4646.759</c:v>
                </c:pt>
                <c:pt idx="113">
                  <c:v>2404.7338</c:v>
                </c:pt>
                <c:pt idx="114">
                  <c:v>11488.316999999999</c:v>
                </c:pt>
                <c:pt idx="115">
                  <c:v>30259.995599999998</c:v>
                </c:pt>
                <c:pt idx="116">
                  <c:v>11381.3254</c:v>
                </c:pt>
                <c:pt idx="117">
                  <c:v>19107.779600000002</c:v>
                </c:pt>
                <c:pt idx="118">
                  <c:v>8601.3292999999994</c:v>
                </c:pt>
                <c:pt idx="119">
                  <c:v>6686.4313000000002</c:v>
                </c:pt>
                <c:pt idx="120">
                  <c:v>7740.3370000000004</c:v>
                </c:pt>
                <c:pt idx="121">
                  <c:v>1705.6244999999999</c:v>
                </c:pt>
                <c:pt idx="122">
                  <c:v>2257.4751999999999</c:v>
                </c:pt>
                <c:pt idx="123">
                  <c:v>39556.494500000001</c:v>
                </c:pt>
                <c:pt idx="124">
                  <c:v>10115.0088</c:v>
                </c:pt>
                <c:pt idx="125">
                  <c:v>3385.3991999999998</c:v>
                </c:pt>
                <c:pt idx="126">
                  <c:v>17081.080000000002</c:v>
                </c:pt>
                <c:pt idx="127">
                  <c:v>9634.5380000000005</c:v>
                </c:pt>
                <c:pt idx="128">
                  <c:v>32734.186300000001</c:v>
                </c:pt>
                <c:pt idx="129">
                  <c:v>6082.4049999999997</c:v>
                </c:pt>
                <c:pt idx="130">
                  <c:v>12815.445</c:v>
                </c:pt>
                <c:pt idx="131">
                  <c:v>13616.3586</c:v>
                </c:pt>
                <c:pt idx="132">
                  <c:v>11163.567999999999</c:v>
                </c:pt>
                <c:pt idx="133">
                  <c:v>1632.5644</c:v>
                </c:pt>
                <c:pt idx="134">
                  <c:v>2457.2112000000002</c:v>
                </c:pt>
                <c:pt idx="135">
                  <c:v>2155.6815000000001</c:v>
                </c:pt>
                <c:pt idx="136">
                  <c:v>1261.442</c:v>
                </c:pt>
                <c:pt idx="137">
                  <c:v>2045.6851999999999</c:v>
                </c:pt>
                <c:pt idx="138">
                  <c:v>27322.733899999999</c:v>
                </c:pt>
                <c:pt idx="139">
                  <c:v>2166.732</c:v>
                </c:pt>
                <c:pt idx="140">
                  <c:v>27375.9048</c:v>
                </c:pt>
                <c:pt idx="141">
                  <c:v>3490.5491000000002</c:v>
                </c:pt>
                <c:pt idx="142">
                  <c:v>18972.494999999999</c:v>
                </c:pt>
                <c:pt idx="143">
                  <c:v>18157.876</c:v>
                </c:pt>
                <c:pt idx="144">
                  <c:v>20745.989099999999</c:v>
                </c:pt>
                <c:pt idx="145">
                  <c:v>5138.2566999999999</c:v>
                </c:pt>
                <c:pt idx="146">
                  <c:v>40720.550999999999</c:v>
                </c:pt>
                <c:pt idx="147">
                  <c:v>9877.6077000000005</c:v>
                </c:pt>
                <c:pt idx="148">
                  <c:v>10959.6947</c:v>
                </c:pt>
                <c:pt idx="149">
                  <c:v>1842.519</c:v>
                </c:pt>
                <c:pt idx="150">
                  <c:v>5125.2156999999997</c:v>
                </c:pt>
                <c:pt idx="151">
                  <c:v>7789.6350000000002</c:v>
                </c:pt>
                <c:pt idx="152">
                  <c:v>6334.3436000000002</c:v>
                </c:pt>
                <c:pt idx="153">
                  <c:v>19964.746299999999</c:v>
                </c:pt>
                <c:pt idx="154">
                  <c:v>7077.1894000000002</c:v>
                </c:pt>
                <c:pt idx="155">
                  <c:v>6948.7007999999996</c:v>
                </c:pt>
                <c:pt idx="156">
                  <c:v>21223.675800000001</c:v>
                </c:pt>
                <c:pt idx="157">
                  <c:v>15518.180200000001</c:v>
                </c:pt>
                <c:pt idx="158">
                  <c:v>36950.256699999998</c:v>
                </c:pt>
                <c:pt idx="159">
                  <c:v>19749.383399999999</c:v>
                </c:pt>
                <c:pt idx="160">
                  <c:v>21348.705999999998</c:v>
                </c:pt>
                <c:pt idx="161">
                  <c:v>36149.483500000002</c:v>
                </c:pt>
                <c:pt idx="162">
                  <c:v>10450.552</c:v>
                </c:pt>
                <c:pt idx="163">
                  <c:v>5152.134</c:v>
                </c:pt>
                <c:pt idx="164">
                  <c:v>5028.1466</c:v>
                </c:pt>
                <c:pt idx="165">
                  <c:v>10407.085800000001</c:v>
                </c:pt>
                <c:pt idx="166">
                  <c:v>4830.63</c:v>
                </c:pt>
                <c:pt idx="167">
                  <c:v>6128.7974000000004</c:v>
                </c:pt>
                <c:pt idx="168">
                  <c:v>2719.2797999999998</c:v>
                </c:pt>
                <c:pt idx="169">
                  <c:v>4827.9049999999997</c:v>
                </c:pt>
                <c:pt idx="170">
                  <c:v>13405.390299999999</c:v>
                </c:pt>
                <c:pt idx="171">
                  <c:v>8116.68</c:v>
                </c:pt>
                <c:pt idx="172">
                  <c:v>1694.7963999999999</c:v>
                </c:pt>
                <c:pt idx="173">
                  <c:v>5246.0469999999996</c:v>
                </c:pt>
                <c:pt idx="174">
                  <c:v>2855.4376000000002</c:v>
                </c:pt>
                <c:pt idx="175">
                  <c:v>48824.45</c:v>
                </c:pt>
                <c:pt idx="176">
                  <c:v>6455.8626000000004</c:v>
                </c:pt>
                <c:pt idx="177">
                  <c:v>10436.096</c:v>
                </c:pt>
                <c:pt idx="178">
                  <c:v>8823.2790000000005</c:v>
                </c:pt>
                <c:pt idx="179">
                  <c:v>8538.2883999999995</c:v>
                </c:pt>
                <c:pt idx="180">
                  <c:v>11735.879000000001</c:v>
                </c:pt>
                <c:pt idx="181">
                  <c:v>1631.8212000000001</c:v>
                </c:pt>
                <c:pt idx="182">
                  <c:v>4005.4225000000001</c:v>
                </c:pt>
                <c:pt idx="183">
                  <c:v>7419.4778999999999</c:v>
                </c:pt>
                <c:pt idx="184">
                  <c:v>7731.4270999999999</c:v>
                </c:pt>
                <c:pt idx="185">
                  <c:v>43753.337</c:v>
                </c:pt>
                <c:pt idx="186">
                  <c:v>3981.9767999999999</c:v>
                </c:pt>
                <c:pt idx="187">
                  <c:v>5325.6509999999998</c:v>
                </c:pt>
                <c:pt idx="188">
                  <c:v>6775.9610000000002</c:v>
                </c:pt>
                <c:pt idx="189">
                  <c:v>4922.9159</c:v>
                </c:pt>
                <c:pt idx="190">
                  <c:v>12557.605299999999</c:v>
                </c:pt>
                <c:pt idx="191">
                  <c:v>4883.866</c:v>
                </c:pt>
                <c:pt idx="192">
                  <c:v>2137.6536000000001</c:v>
                </c:pt>
                <c:pt idx="193">
                  <c:v>12044.342000000001</c:v>
                </c:pt>
                <c:pt idx="194">
                  <c:v>1137.4697000000001</c:v>
                </c:pt>
                <c:pt idx="195">
                  <c:v>1639.5631000000001</c:v>
                </c:pt>
                <c:pt idx="196">
                  <c:v>5649.7150000000001</c:v>
                </c:pt>
                <c:pt idx="197">
                  <c:v>8516.8289999999997</c:v>
                </c:pt>
                <c:pt idx="198">
                  <c:v>9644.2525000000005</c:v>
                </c:pt>
                <c:pt idx="199">
                  <c:v>14901.5167</c:v>
                </c:pt>
                <c:pt idx="200">
                  <c:v>2130.6759000000002</c:v>
                </c:pt>
                <c:pt idx="201">
                  <c:v>8871.1517000000003</c:v>
                </c:pt>
                <c:pt idx="202">
                  <c:v>13012.2086</c:v>
                </c:pt>
                <c:pt idx="203">
                  <c:v>37133.898200000003</c:v>
                </c:pt>
                <c:pt idx="204">
                  <c:v>7147.1049999999996</c:v>
                </c:pt>
                <c:pt idx="205">
                  <c:v>4337.7352000000001</c:v>
                </c:pt>
                <c:pt idx="206">
                  <c:v>11743.299000000001</c:v>
                </c:pt>
                <c:pt idx="207">
                  <c:v>20984.0936</c:v>
                </c:pt>
                <c:pt idx="208">
                  <c:v>13880.949000000001</c:v>
                </c:pt>
                <c:pt idx="209">
                  <c:v>6610.1097</c:v>
                </c:pt>
                <c:pt idx="210">
                  <c:v>1980.07</c:v>
                </c:pt>
                <c:pt idx="211">
                  <c:v>8162.7161999999998</c:v>
                </c:pt>
                <c:pt idx="212">
                  <c:v>3537.703</c:v>
                </c:pt>
                <c:pt idx="213">
                  <c:v>5002.7826999999997</c:v>
                </c:pt>
                <c:pt idx="214">
                  <c:v>8520.0259999999998</c:v>
                </c:pt>
                <c:pt idx="215">
                  <c:v>7371.7719999999999</c:v>
                </c:pt>
                <c:pt idx="216">
                  <c:v>10355.641</c:v>
                </c:pt>
                <c:pt idx="217">
                  <c:v>2483.7359999999999</c:v>
                </c:pt>
                <c:pt idx="218">
                  <c:v>3392.9767999999999</c:v>
                </c:pt>
                <c:pt idx="219">
                  <c:v>25081.767800000001</c:v>
                </c:pt>
                <c:pt idx="220">
                  <c:v>5012.4709999999995</c:v>
                </c:pt>
                <c:pt idx="221">
                  <c:v>10564.8845</c:v>
                </c:pt>
                <c:pt idx="222">
                  <c:v>5253.5240000000003</c:v>
                </c:pt>
                <c:pt idx="223">
                  <c:v>34779.614999999998</c:v>
                </c:pt>
                <c:pt idx="224">
                  <c:v>19515.5416</c:v>
                </c:pt>
                <c:pt idx="225">
                  <c:v>11987.1682</c:v>
                </c:pt>
                <c:pt idx="226">
                  <c:v>2689.4953999999998</c:v>
                </c:pt>
                <c:pt idx="227">
                  <c:v>24227.337200000002</c:v>
                </c:pt>
                <c:pt idx="228">
                  <c:v>7358.1755999999996</c:v>
                </c:pt>
                <c:pt idx="229">
                  <c:v>9225.2564000000002</c:v>
                </c:pt>
                <c:pt idx="230">
                  <c:v>7443.643</c:v>
                </c:pt>
                <c:pt idx="231">
                  <c:v>14001.286700000001</c:v>
                </c:pt>
                <c:pt idx="232">
                  <c:v>1727.7850000000001</c:v>
                </c:pt>
                <c:pt idx="233">
                  <c:v>12333.828</c:v>
                </c:pt>
                <c:pt idx="234">
                  <c:v>6710.1918999999998</c:v>
                </c:pt>
                <c:pt idx="235">
                  <c:v>19444.265800000001</c:v>
                </c:pt>
                <c:pt idx="236">
                  <c:v>1615.7666999999999</c:v>
                </c:pt>
                <c:pt idx="237">
                  <c:v>4463.2051000000001</c:v>
                </c:pt>
                <c:pt idx="238">
                  <c:v>17352.6803</c:v>
                </c:pt>
                <c:pt idx="239">
                  <c:v>7152.6714000000002</c:v>
                </c:pt>
                <c:pt idx="240">
                  <c:v>38511.628299999997</c:v>
                </c:pt>
                <c:pt idx="241">
                  <c:v>5354.0745999999999</c:v>
                </c:pt>
                <c:pt idx="242">
                  <c:v>35160.134599999998</c:v>
                </c:pt>
                <c:pt idx="243">
                  <c:v>7196.8670000000002</c:v>
                </c:pt>
                <c:pt idx="244">
                  <c:v>29523.1656</c:v>
                </c:pt>
                <c:pt idx="245">
                  <c:v>24476.478500000001</c:v>
                </c:pt>
                <c:pt idx="246">
                  <c:v>12648.7034</c:v>
                </c:pt>
                <c:pt idx="247">
                  <c:v>1986.9333999999999</c:v>
                </c:pt>
                <c:pt idx="248">
                  <c:v>1832.0940000000001</c:v>
                </c:pt>
                <c:pt idx="249">
                  <c:v>4040.5581999999999</c:v>
                </c:pt>
                <c:pt idx="250">
                  <c:v>12829.455099999999</c:v>
                </c:pt>
                <c:pt idx="251">
                  <c:v>47305.305</c:v>
                </c:pt>
                <c:pt idx="252">
                  <c:v>44260.749900000003</c:v>
                </c:pt>
                <c:pt idx="253">
                  <c:v>4260.7439999999997</c:v>
                </c:pt>
                <c:pt idx="254">
                  <c:v>41097.161800000002</c:v>
                </c:pt>
                <c:pt idx="255">
                  <c:v>13047.332399999999</c:v>
                </c:pt>
                <c:pt idx="256">
                  <c:v>43921.183700000001</c:v>
                </c:pt>
                <c:pt idx="257">
                  <c:v>5400.9804999999997</c:v>
                </c:pt>
                <c:pt idx="258">
                  <c:v>11520.0998</c:v>
                </c:pt>
                <c:pt idx="259">
                  <c:v>33750.291799999999</c:v>
                </c:pt>
                <c:pt idx="260">
                  <c:v>11837.16</c:v>
                </c:pt>
                <c:pt idx="261">
                  <c:v>17085.267599999999</c:v>
                </c:pt>
                <c:pt idx="262">
                  <c:v>24869.836800000001</c:v>
                </c:pt>
                <c:pt idx="263">
                  <c:v>36219.405400000003</c:v>
                </c:pt>
                <c:pt idx="264">
                  <c:v>20462.9977</c:v>
                </c:pt>
                <c:pt idx="265">
                  <c:v>46151.124499999998</c:v>
                </c:pt>
                <c:pt idx="266">
                  <c:v>17179.522000000001</c:v>
                </c:pt>
                <c:pt idx="267">
                  <c:v>14590.632</c:v>
                </c:pt>
                <c:pt idx="268">
                  <c:v>7441.0529999999999</c:v>
                </c:pt>
                <c:pt idx="269">
                  <c:v>9282.4806000000008</c:v>
                </c:pt>
                <c:pt idx="270">
                  <c:v>1719.4363000000001</c:v>
                </c:pt>
                <c:pt idx="271">
                  <c:v>42856.838000000003</c:v>
                </c:pt>
                <c:pt idx="272">
                  <c:v>7265.7025000000003</c:v>
                </c:pt>
                <c:pt idx="273">
                  <c:v>9617.6623999999993</c:v>
                </c:pt>
                <c:pt idx="274">
                  <c:v>2523.1695</c:v>
                </c:pt>
                <c:pt idx="275">
                  <c:v>9715.8410000000003</c:v>
                </c:pt>
                <c:pt idx="276">
                  <c:v>2803.6977999999999</c:v>
                </c:pt>
                <c:pt idx="277">
                  <c:v>2150.4690000000001</c:v>
                </c:pt>
                <c:pt idx="278">
                  <c:v>12928.7911</c:v>
                </c:pt>
                <c:pt idx="279">
                  <c:v>9855.1314000000002</c:v>
                </c:pt>
                <c:pt idx="280">
                  <c:v>22331.566800000001</c:v>
                </c:pt>
                <c:pt idx="281">
                  <c:v>48549.178399999997</c:v>
                </c:pt>
                <c:pt idx="282">
                  <c:v>4237.1265999999996</c:v>
                </c:pt>
                <c:pt idx="283">
                  <c:v>11879.103999999999</c:v>
                </c:pt>
                <c:pt idx="284">
                  <c:v>9625.92</c:v>
                </c:pt>
                <c:pt idx="285">
                  <c:v>7742.1098000000002</c:v>
                </c:pt>
                <c:pt idx="286">
                  <c:v>9432.9253000000008</c:v>
                </c:pt>
                <c:pt idx="287">
                  <c:v>14256.192800000001</c:v>
                </c:pt>
                <c:pt idx="288">
                  <c:v>47896.791400000002</c:v>
                </c:pt>
                <c:pt idx="289">
                  <c:v>25992.821</c:v>
                </c:pt>
                <c:pt idx="290">
                  <c:v>3172.018</c:v>
                </c:pt>
                <c:pt idx="291">
                  <c:v>20277.807499999999</c:v>
                </c:pt>
                <c:pt idx="292">
                  <c:v>42112.2356</c:v>
                </c:pt>
                <c:pt idx="293">
                  <c:v>2156.7518</c:v>
                </c:pt>
                <c:pt idx="294">
                  <c:v>3906.127</c:v>
                </c:pt>
                <c:pt idx="295">
                  <c:v>1704.5681</c:v>
                </c:pt>
                <c:pt idx="296">
                  <c:v>16297.846</c:v>
                </c:pt>
                <c:pt idx="297">
                  <c:v>21978.676899999999</c:v>
                </c:pt>
                <c:pt idx="298">
                  <c:v>38746.355100000001</c:v>
                </c:pt>
                <c:pt idx="299">
                  <c:v>9249.4951999999994</c:v>
                </c:pt>
                <c:pt idx="300">
                  <c:v>6746.7425000000003</c:v>
                </c:pt>
                <c:pt idx="301">
                  <c:v>24873.384900000001</c:v>
                </c:pt>
                <c:pt idx="302">
                  <c:v>12265.5069</c:v>
                </c:pt>
                <c:pt idx="303">
                  <c:v>4349.4620000000004</c:v>
                </c:pt>
                <c:pt idx="304">
                  <c:v>12646.207</c:v>
                </c:pt>
                <c:pt idx="305">
                  <c:v>19442.353500000001</c:v>
                </c:pt>
                <c:pt idx="306">
                  <c:v>20177.6711</c:v>
                </c:pt>
                <c:pt idx="307">
                  <c:v>4151.0286999999998</c:v>
                </c:pt>
                <c:pt idx="308">
                  <c:v>11944.5944</c:v>
                </c:pt>
                <c:pt idx="309">
                  <c:v>7749.1563999999998</c:v>
                </c:pt>
                <c:pt idx="310">
                  <c:v>8444.4740000000002</c:v>
                </c:pt>
                <c:pt idx="311">
                  <c:v>1737.376</c:v>
                </c:pt>
                <c:pt idx="312">
                  <c:v>42124.515299999999</c:v>
                </c:pt>
                <c:pt idx="313">
                  <c:v>8124.4084000000003</c:v>
                </c:pt>
                <c:pt idx="314">
                  <c:v>34838.873</c:v>
                </c:pt>
                <c:pt idx="315">
                  <c:v>9722.7695000000003</c:v>
                </c:pt>
                <c:pt idx="316">
                  <c:v>8835.2649999999994</c:v>
                </c:pt>
                <c:pt idx="317">
                  <c:v>10435.065199999999</c:v>
                </c:pt>
                <c:pt idx="318">
                  <c:v>7421.1945999999998</c:v>
                </c:pt>
                <c:pt idx="319">
                  <c:v>4667.6076000000003</c:v>
                </c:pt>
                <c:pt idx="320">
                  <c:v>4894.7533000000003</c:v>
                </c:pt>
                <c:pt idx="321">
                  <c:v>24671.6633</c:v>
                </c:pt>
                <c:pt idx="322">
                  <c:v>35491.64</c:v>
                </c:pt>
                <c:pt idx="323">
                  <c:v>11566.3006</c:v>
                </c:pt>
                <c:pt idx="324">
                  <c:v>2866.0909999999999</c:v>
                </c:pt>
                <c:pt idx="325">
                  <c:v>6600.2060000000001</c:v>
                </c:pt>
                <c:pt idx="326">
                  <c:v>3561.8888999999999</c:v>
                </c:pt>
                <c:pt idx="327">
                  <c:v>42760.502200000003</c:v>
                </c:pt>
                <c:pt idx="328">
                  <c:v>47928.03</c:v>
                </c:pt>
                <c:pt idx="329">
                  <c:v>9144.5650000000005</c:v>
                </c:pt>
                <c:pt idx="330">
                  <c:v>48517.563199999997</c:v>
                </c:pt>
                <c:pt idx="331">
                  <c:v>24393.6224</c:v>
                </c:pt>
                <c:pt idx="332">
                  <c:v>13429.035400000001</c:v>
                </c:pt>
                <c:pt idx="333">
                  <c:v>11658.379199999999</c:v>
                </c:pt>
                <c:pt idx="334">
                  <c:v>19144.576499999999</c:v>
                </c:pt>
                <c:pt idx="335">
                  <c:v>13822.803</c:v>
                </c:pt>
                <c:pt idx="336">
                  <c:v>12142.578600000001</c:v>
                </c:pt>
                <c:pt idx="337">
                  <c:v>13937.666499999999</c:v>
                </c:pt>
                <c:pt idx="338">
                  <c:v>41919.097000000002</c:v>
                </c:pt>
                <c:pt idx="339">
                  <c:v>8232.6388000000006</c:v>
                </c:pt>
                <c:pt idx="340">
                  <c:v>18955.2202</c:v>
                </c:pt>
                <c:pt idx="341">
                  <c:v>13352.0998</c:v>
                </c:pt>
                <c:pt idx="342">
                  <c:v>13217.094499999999</c:v>
                </c:pt>
                <c:pt idx="343">
                  <c:v>13981.850399999999</c:v>
                </c:pt>
                <c:pt idx="344">
                  <c:v>10977.2063</c:v>
                </c:pt>
                <c:pt idx="345">
                  <c:v>6184.2993999999999</c:v>
                </c:pt>
                <c:pt idx="346">
                  <c:v>4889.9994999999999</c:v>
                </c:pt>
                <c:pt idx="347">
                  <c:v>8334.4575999999997</c:v>
                </c:pt>
                <c:pt idx="348">
                  <c:v>5478.0367999999999</c:v>
                </c:pt>
                <c:pt idx="349">
                  <c:v>1635.7336</c:v>
                </c:pt>
                <c:pt idx="350">
                  <c:v>11830.6072</c:v>
                </c:pt>
                <c:pt idx="351">
                  <c:v>8932.0840000000007</c:v>
                </c:pt>
                <c:pt idx="352">
                  <c:v>3554.203</c:v>
                </c:pt>
                <c:pt idx="353">
                  <c:v>12404.8791</c:v>
                </c:pt>
                <c:pt idx="354">
                  <c:v>14133.0378</c:v>
                </c:pt>
                <c:pt idx="355">
                  <c:v>24603.0484</c:v>
                </c:pt>
                <c:pt idx="356">
                  <c:v>8944.1151000000009</c:v>
                </c:pt>
                <c:pt idx="357">
                  <c:v>9620.3307000000004</c:v>
                </c:pt>
                <c:pt idx="358">
                  <c:v>1837.2819</c:v>
                </c:pt>
                <c:pt idx="359">
                  <c:v>1607.5101</c:v>
                </c:pt>
                <c:pt idx="360">
                  <c:v>10043.249</c:v>
                </c:pt>
                <c:pt idx="361">
                  <c:v>4751.07</c:v>
                </c:pt>
                <c:pt idx="362">
                  <c:v>13844.505999999999</c:v>
                </c:pt>
                <c:pt idx="363">
                  <c:v>2597.779</c:v>
                </c:pt>
                <c:pt idx="364">
                  <c:v>3180.5101</c:v>
                </c:pt>
                <c:pt idx="365">
                  <c:v>9778.3472000000002</c:v>
                </c:pt>
                <c:pt idx="366">
                  <c:v>13430.264999999999</c:v>
                </c:pt>
                <c:pt idx="367">
                  <c:v>8017.0612000000001</c:v>
                </c:pt>
                <c:pt idx="368">
                  <c:v>8116.2687999999998</c:v>
                </c:pt>
                <c:pt idx="369">
                  <c:v>3481.8679999999999</c:v>
                </c:pt>
                <c:pt idx="370">
                  <c:v>13415.0381</c:v>
                </c:pt>
                <c:pt idx="371">
                  <c:v>12029.286700000001</c:v>
                </c:pt>
                <c:pt idx="372">
                  <c:v>7639.4174000000003</c:v>
                </c:pt>
                <c:pt idx="373">
                  <c:v>36085.218999999997</c:v>
                </c:pt>
                <c:pt idx="374">
                  <c:v>1391.5287000000001</c:v>
                </c:pt>
                <c:pt idx="375">
                  <c:v>18033.9679</c:v>
                </c:pt>
                <c:pt idx="376">
                  <c:v>21659.930100000001</c:v>
                </c:pt>
                <c:pt idx="377">
                  <c:v>38126.246500000001</c:v>
                </c:pt>
                <c:pt idx="378">
                  <c:v>16455.7078</c:v>
                </c:pt>
                <c:pt idx="379">
                  <c:v>27000.984700000001</c:v>
                </c:pt>
                <c:pt idx="380">
                  <c:v>15006.579400000001</c:v>
                </c:pt>
                <c:pt idx="381">
                  <c:v>42303.692199999998</c:v>
                </c:pt>
                <c:pt idx="382">
                  <c:v>20781.4889</c:v>
                </c:pt>
                <c:pt idx="383">
                  <c:v>5846.9175999999998</c:v>
                </c:pt>
                <c:pt idx="384">
                  <c:v>8302.5355999999992</c:v>
                </c:pt>
                <c:pt idx="385">
                  <c:v>1261.8589999999999</c:v>
                </c:pt>
                <c:pt idx="386">
                  <c:v>11856.4115</c:v>
                </c:pt>
                <c:pt idx="387">
                  <c:v>30284.642899999999</c:v>
                </c:pt>
                <c:pt idx="388">
                  <c:v>3176.8159000000001</c:v>
                </c:pt>
                <c:pt idx="389">
                  <c:v>4618.0798999999997</c:v>
                </c:pt>
                <c:pt idx="390">
                  <c:v>10736.870800000001</c:v>
                </c:pt>
                <c:pt idx="391">
                  <c:v>2138.0707000000002</c:v>
                </c:pt>
                <c:pt idx="392">
                  <c:v>8964.0606000000007</c:v>
                </c:pt>
                <c:pt idx="393">
                  <c:v>9290.1394999999993</c:v>
                </c:pt>
                <c:pt idx="394">
                  <c:v>9411.0049999999992</c:v>
                </c:pt>
                <c:pt idx="395">
                  <c:v>7526.7064</c:v>
                </c:pt>
                <c:pt idx="396">
                  <c:v>8522.0030000000006</c:v>
                </c:pt>
                <c:pt idx="397">
                  <c:v>16586.4977</c:v>
                </c:pt>
                <c:pt idx="398">
                  <c:v>14988.432000000001</c:v>
                </c:pt>
                <c:pt idx="399">
                  <c:v>1631.6683</c:v>
                </c:pt>
                <c:pt idx="400">
                  <c:v>9264.7970000000005</c:v>
                </c:pt>
                <c:pt idx="401">
                  <c:v>8083.9197999999997</c:v>
                </c:pt>
                <c:pt idx="402">
                  <c:v>14692.669400000001</c:v>
                </c:pt>
                <c:pt idx="403">
                  <c:v>10269.459999999999</c:v>
                </c:pt>
                <c:pt idx="404">
                  <c:v>3260.1990000000001</c:v>
                </c:pt>
                <c:pt idx="405">
                  <c:v>11396.9002</c:v>
                </c:pt>
                <c:pt idx="406">
                  <c:v>4185.0978999999998</c:v>
                </c:pt>
                <c:pt idx="407">
                  <c:v>8539.6710000000003</c:v>
                </c:pt>
                <c:pt idx="408">
                  <c:v>6652.5288</c:v>
                </c:pt>
                <c:pt idx="409">
                  <c:v>4074.4537</c:v>
                </c:pt>
                <c:pt idx="410">
                  <c:v>1621.3402000000001</c:v>
                </c:pt>
                <c:pt idx="411">
                  <c:v>19594.809600000001</c:v>
                </c:pt>
                <c:pt idx="412">
                  <c:v>14455.644</c:v>
                </c:pt>
                <c:pt idx="413">
                  <c:v>5080.0959999999995</c:v>
                </c:pt>
                <c:pt idx="414">
                  <c:v>2134.9014999999999</c:v>
                </c:pt>
                <c:pt idx="415">
                  <c:v>7345.7266</c:v>
                </c:pt>
                <c:pt idx="416">
                  <c:v>9140.9509999999991</c:v>
                </c:pt>
                <c:pt idx="417">
                  <c:v>18608.261999999999</c:v>
                </c:pt>
                <c:pt idx="418">
                  <c:v>14418.2804</c:v>
                </c:pt>
                <c:pt idx="419">
                  <c:v>28950.4692</c:v>
                </c:pt>
                <c:pt idx="420">
                  <c:v>46889.261200000001</c:v>
                </c:pt>
                <c:pt idx="421">
                  <c:v>46599.108399999997</c:v>
                </c:pt>
                <c:pt idx="422">
                  <c:v>39125.332199999997</c:v>
                </c:pt>
                <c:pt idx="423">
                  <c:v>2727.3951000000002</c:v>
                </c:pt>
                <c:pt idx="424">
                  <c:v>8968.33</c:v>
                </c:pt>
                <c:pt idx="425">
                  <c:v>9788.8659000000007</c:v>
                </c:pt>
                <c:pt idx="426">
                  <c:v>6555.0703999999996</c:v>
                </c:pt>
                <c:pt idx="427">
                  <c:v>7323.7348000000002</c:v>
                </c:pt>
                <c:pt idx="428">
                  <c:v>3167.4558000000002</c:v>
                </c:pt>
                <c:pt idx="429">
                  <c:v>18804.752400000001</c:v>
                </c:pt>
                <c:pt idx="430">
                  <c:v>23082.955300000001</c:v>
                </c:pt>
                <c:pt idx="431">
                  <c:v>4906.4096</c:v>
                </c:pt>
                <c:pt idx="432">
                  <c:v>5969.723</c:v>
                </c:pt>
                <c:pt idx="433">
                  <c:v>12638.195</c:v>
                </c:pt>
                <c:pt idx="434">
                  <c:v>4243.59</c:v>
                </c:pt>
                <c:pt idx="435">
                  <c:v>13919.822899999999</c:v>
                </c:pt>
                <c:pt idx="436">
                  <c:v>2254.7966999999999</c:v>
                </c:pt>
                <c:pt idx="437">
                  <c:v>5926.8459999999995</c:v>
                </c:pt>
                <c:pt idx="438">
                  <c:v>12592.5345</c:v>
                </c:pt>
                <c:pt idx="439">
                  <c:v>2897.3235</c:v>
                </c:pt>
                <c:pt idx="440">
                  <c:v>4738.2682000000004</c:v>
                </c:pt>
                <c:pt idx="441">
                  <c:v>37079.372000000003</c:v>
                </c:pt>
                <c:pt idx="442">
                  <c:v>1149.3959</c:v>
                </c:pt>
                <c:pt idx="443">
                  <c:v>28287.897700000001</c:v>
                </c:pt>
                <c:pt idx="444">
                  <c:v>26109.329000000002</c:v>
                </c:pt>
                <c:pt idx="445">
                  <c:v>7345.0839999999998</c:v>
                </c:pt>
                <c:pt idx="446">
                  <c:v>12730.999599999999</c:v>
                </c:pt>
                <c:pt idx="447">
                  <c:v>11454.021500000001</c:v>
                </c:pt>
                <c:pt idx="448">
                  <c:v>5910.9440000000004</c:v>
                </c:pt>
                <c:pt idx="449">
                  <c:v>4762.3289999999997</c:v>
                </c:pt>
                <c:pt idx="450">
                  <c:v>7512.2669999999998</c:v>
                </c:pt>
                <c:pt idx="451">
                  <c:v>4032.2406999999998</c:v>
                </c:pt>
                <c:pt idx="452">
                  <c:v>1969.614</c:v>
                </c:pt>
                <c:pt idx="453">
                  <c:v>1769.5316</c:v>
                </c:pt>
                <c:pt idx="454">
                  <c:v>4686.3887000000004</c:v>
                </c:pt>
                <c:pt idx="455">
                  <c:v>21797.000400000001</c:v>
                </c:pt>
                <c:pt idx="456">
                  <c:v>11881.9696</c:v>
                </c:pt>
                <c:pt idx="457">
                  <c:v>11840.775</c:v>
                </c:pt>
                <c:pt idx="458">
                  <c:v>10601.412</c:v>
                </c:pt>
                <c:pt idx="459">
                  <c:v>7682.67</c:v>
                </c:pt>
                <c:pt idx="460">
                  <c:v>10381.4787</c:v>
                </c:pt>
                <c:pt idx="461">
                  <c:v>22144.031999999999</c:v>
                </c:pt>
                <c:pt idx="462">
                  <c:v>15230.324000000001</c:v>
                </c:pt>
                <c:pt idx="463">
                  <c:v>11165.417600000001</c:v>
                </c:pt>
                <c:pt idx="464">
                  <c:v>1632.0362</c:v>
                </c:pt>
                <c:pt idx="465">
                  <c:v>19521.968199999999</c:v>
                </c:pt>
                <c:pt idx="466">
                  <c:v>13224.692999999999</c:v>
                </c:pt>
                <c:pt idx="467">
                  <c:v>12643.3778</c:v>
                </c:pt>
                <c:pt idx="468">
                  <c:v>23288.928400000001</c:v>
                </c:pt>
                <c:pt idx="469">
                  <c:v>2201.0971</c:v>
                </c:pt>
                <c:pt idx="470">
                  <c:v>2497.0383000000002</c:v>
                </c:pt>
                <c:pt idx="471">
                  <c:v>2203.4717999999998</c:v>
                </c:pt>
                <c:pt idx="472">
                  <c:v>1744.4649999999999</c:v>
                </c:pt>
                <c:pt idx="473">
                  <c:v>20878.7844</c:v>
                </c:pt>
                <c:pt idx="474">
                  <c:v>25382.296999999999</c:v>
                </c:pt>
                <c:pt idx="475">
                  <c:v>28868.6639</c:v>
                </c:pt>
                <c:pt idx="476">
                  <c:v>35147.5285</c:v>
                </c:pt>
                <c:pt idx="477">
                  <c:v>2534.3937999999998</c:v>
                </c:pt>
                <c:pt idx="478">
                  <c:v>1534.3045</c:v>
                </c:pt>
                <c:pt idx="479">
                  <c:v>1824.2854</c:v>
                </c:pt>
                <c:pt idx="480">
                  <c:v>15555.1888</c:v>
                </c:pt>
                <c:pt idx="481">
                  <c:v>9304.7019</c:v>
                </c:pt>
                <c:pt idx="482">
                  <c:v>1622.1885</c:v>
                </c:pt>
                <c:pt idx="483">
                  <c:v>9880.0679999999993</c:v>
                </c:pt>
                <c:pt idx="484">
                  <c:v>9563.0290000000005</c:v>
                </c:pt>
                <c:pt idx="485">
                  <c:v>4347.0234</c:v>
                </c:pt>
                <c:pt idx="486">
                  <c:v>12475.3513</c:v>
                </c:pt>
                <c:pt idx="487">
                  <c:v>1253.9359999999999</c:v>
                </c:pt>
                <c:pt idx="488">
                  <c:v>48885.135600000001</c:v>
                </c:pt>
                <c:pt idx="489">
                  <c:v>10461.9794</c:v>
                </c:pt>
                <c:pt idx="490">
                  <c:v>1748.7739999999999</c:v>
                </c:pt>
                <c:pt idx="491">
                  <c:v>24513.0913</c:v>
                </c:pt>
                <c:pt idx="492">
                  <c:v>2196.4731999999999</c:v>
                </c:pt>
                <c:pt idx="493">
                  <c:v>12574.049000000001</c:v>
                </c:pt>
                <c:pt idx="494">
                  <c:v>17942.106</c:v>
                </c:pt>
                <c:pt idx="495">
                  <c:v>1967.0227</c:v>
                </c:pt>
                <c:pt idx="496">
                  <c:v>4931.6469999999999</c:v>
                </c:pt>
                <c:pt idx="497">
                  <c:v>8027.9679999999998</c:v>
                </c:pt>
                <c:pt idx="498">
                  <c:v>8211.1002000000008</c:v>
                </c:pt>
                <c:pt idx="499">
                  <c:v>13470.86</c:v>
                </c:pt>
                <c:pt idx="500">
                  <c:v>36197.699000000001</c:v>
                </c:pt>
                <c:pt idx="501">
                  <c:v>6837.3687</c:v>
                </c:pt>
                <c:pt idx="502">
                  <c:v>22218.1149</c:v>
                </c:pt>
                <c:pt idx="503">
                  <c:v>32548.340499999998</c:v>
                </c:pt>
                <c:pt idx="504">
                  <c:v>5974.3846999999996</c:v>
                </c:pt>
                <c:pt idx="505">
                  <c:v>6796.8631999999998</c:v>
                </c:pt>
                <c:pt idx="506">
                  <c:v>2643.2685000000001</c:v>
                </c:pt>
                <c:pt idx="507">
                  <c:v>3077.0954999999999</c:v>
                </c:pt>
                <c:pt idx="508">
                  <c:v>3044.2132999999999</c:v>
                </c:pt>
                <c:pt idx="509">
                  <c:v>11455.28</c:v>
                </c:pt>
                <c:pt idx="510">
                  <c:v>11763.000899999999</c:v>
                </c:pt>
                <c:pt idx="511">
                  <c:v>2498.4144000000001</c:v>
                </c:pt>
                <c:pt idx="512">
                  <c:v>9361.3268000000007</c:v>
                </c:pt>
                <c:pt idx="513">
                  <c:v>1256.299</c:v>
                </c:pt>
                <c:pt idx="514">
                  <c:v>21082.16</c:v>
                </c:pt>
                <c:pt idx="515">
                  <c:v>11362.754999999999</c:v>
                </c:pt>
                <c:pt idx="516">
                  <c:v>27724.288799999998</c:v>
                </c:pt>
                <c:pt idx="517">
                  <c:v>8413.4629999999997</c:v>
                </c:pt>
                <c:pt idx="518">
                  <c:v>5240.7650000000003</c:v>
                </c:pt>
                <c:pt idx="519">
                  <c:v>3857.7592</c:v>
                </c:pt>
                <c:pt idx="520">
                  <c:v>25656.5753</c:v>
                </c:pt>
                <c:pt idx="521">
                  <c:v>3994.1777999999999</c:v>
                </c:pt>
                <c:pt idx="522">
                  <c:v>9866.3047999999999</c:v>
                </c:pt>
                <c:pt idx="523">
                  <c:v>5397.6166999999996</c:v>
                </c:pt>
                <c:pt idx="524">
                  <c:v>38245.5933</c:v>
                </c:pt>
                <c:pt idx="525">
                  <c:v>11482.6348</c:v>
                </c:pt>
                <c:pt idx="526">
                  <c:v>24059.680199999999</c:v>
                </c:pt>
                <c:pt idx="527">
                  <c:v>9861.0249999999996</c:v>
                </c:pt>
                <c:pt idx="528">
                  <c:v>8342.9087999999992</c:v>
                </c:pt>
                <c:pt idx="529">
                  <c:v>1708.0014000000001</c:v>
                </c:pt>
                <c:pt idx="530">
                  <c:v>48675.517699999997</c:v>
                </c:pt>
                <c:pt idx="531">
                  <c:v>14043.476699999999</c:v>
                </c:pt>
                <c:pt idx="532">
                  <c:v>12925.886</c:v>
                </c:pt>
                <c:pt idx="533">
                  <c:v>19214.7055</c:v>
                </c:pt>
                <c:pt idx="534">
                  <c:v>13831.1152</c:v>
                </c:pt>
                <c:pt idx="535">
                  <c:v>6067.1268</c:v>
                </c:pt>
                <c:pt idx="536">
                  <c:v>5972.3779999999997</c:v>
                </c:pt>
                <c:pt idx="537">
                  <c:v>8825.0859999999993</c:v>
                </c:pt>
                <c:pt idx="538">
                  <c:v>8233.0974999999999</c:v>
                </c:pt>
                <c:pt idx="539">
                  <c:v>27346.042099999999</c:v>
                </c:pt>
                <c:pt idx="540">
                  <c:v>6196.4480000000003</c:v>
                </c:pt>
                <c:pt idx="541">
                  <c:v>3056.3881000000001</c:v>
                </c:pt>
                <c:pt idx="542">
                  <c:v>13887.204</c:v>
                </c:pt>
                <c:pt idx="543">
                  <c:v>63770.428</c:v>
                </c:pt>
                <c:pt idx="544">
                  <c:v>10231.499900000001</c:v>
                </c:pt>
                <c:pt idx="545">
                  <c:v>23807.240600000001</c:v>
                </c:pt>
                <c:pt idx="546">
                  <c:v>3268.8465999999999</c:v>
                </c:pt>
                <c:pt idx="547">
                  <c:v>11538.421</c:v>
                </c:pt>
                <c:pt idx="548">
                  <c:v>3213.6219999999998</c:v>
                </c:pt>
                <c:pt idx="549">
                  <c:v>45863.205000000002</c:v>
                </c:pt>
                <c:pt idx="550">
                  <c:v>13390.558999999999</c:v>
                </c:pt>
                <c:pt idx="551">
                  <c:v>3972.9247</c:v>
                </c:pt>
                <c:pt idx="552">
                  <c:v>12957.118</c:v>
                </c:pt>
                <c:pt idx="553">
                  <c:v>11187.6567</c:v>
                </c:pt>
                <c:pt idx="554">
                  <c:v>17878.900699999998</c:v>
                </c:pt>
                <c:pt idx="555">
                  <c:v>3847.674</c:v>
                </c:pt>
                <c:pt idx="556">
                  <c:v>8334.5895999999993</c:v>
                </c:pt>
                <c:pt idx="557">
                  <c:v>3935.1799000000001</c:v>
                </c:pt>
                <c:pt idx="558">
                  <c:v>39983.425999999999</c:v>
                </c:pt>
                <c:pt idx="559">
                  <c:v>1646.4296999999999</c:v>
                </c:pt>
                <c:pt idx="560">
                  <c:v>9193.8384999999998</c:v>
                </c:pt>
                <c:pt idx="561">
                  <c:v>10923.933199999999</c:v>
                </c:pt>
                <c:pt idx="562">
                  <c:v>2494.0219999999999</c:v>
                </c:pt>
                <c:pt idx="563">
                  <c:v>9058.7302999999993</c:v>
                </c:pt>
                <c:pt idx="564">
                  <c:v>2801.2588000000001</c:v>
                </c:pt>
                <c:pt idx="565">
                  <c:v>2128.431</c:v>
                </c:pt>
                <c:pt idx="566">
                  <c:v>6373.5573999999997</c:v>
                </c:pt>
                <c:pt idx="567">
                  <c:v>7256.7231000000002</c:v>
                </c:pt>
                <c:pt idx="568">
                  <c:v>11552.904</c:v>
                </c:pt>
                <c:pt idx="569">
                  <c:v>45702.022400000002</c:v>
                </c:pt>
                <c:pt idx="570">
                  <c:v>3761.2919999999999</c:v>
                </c:pt>
                <c:pt idx="571">
                  <c:v>2219.4450999999999</c:v>
                </c:pt>
                <c:pt idx="572">
                  <c:v>4753.6368000000002</c:v>
                </c:pt>
                <c:pt idx="573">
                  <c:v>31620.001100000001</c:v>
                </c:pt>
                <c:pt idx="574">
                  <c:v>13224.057000000001</c:v>
                </c:pt>
                <c:pt idx="575">
                  <c:v>12222.898300000001</c:v>
                </c:pt>
                <c:pt idx="576">
                  <c:v>1664.9996000000001</c:v>
                </c:pt>
                <c:pt idx="577">
                  <c:v>58571.074500000002</c:v>
                </c:pt>
                <c:pt idx="578">
                  <c:v>9724.5300000000007</c:v>
                </c:pt>
                <c:pt idx="579">
                  <c:v>3206.4913999999999</c:v>
                </c:pt>
                <c:pt idx="580">
                  <c:v>12913.992399999999</c:v>
                </c:pt>
                <c:pt idx="581">
                  <c:v>1639.5631000000001</c:v>
                </c:pt>
                <c:pt idx="582">
                  <c:v>6356.2707</c:v>
                </c:pt>
                <c:pt idx="583">
                  <c:v>17626.2395</c:v>
                </c:pt>
                <c:pt idx="584">
                  <c:v>1242.816</c:v>
                </c:pt>
                <c:pt idx="585">
                  <c:v>4779.6022999999996</c:v>
                </c:pt>
                <c:pt idx="586">
                  <c:v>3861.2096000000001</c:v>
                </c:pt>
                <c:pt idx="587">
                  <c:v>43943.876100000001</c:v>
                </c:pt>
                <c:pt idx="588">
                  <c:v>13635.6379</c:v>
                </c:pt>
                <c:pt idx="589">
                  <c:v>5976.8311000000003</c:v>
                </c:pt>
                <c:pt idx="590">
                  <c:v>11842.441999999999</c:v>
                </c:pt>
                <c:pt idx="591">
                  <c:v>8428.0692999999992</c:v>
                </c:pt>
                <c:pt idx="592">
                  <c:v>2566.4706999999999</c:v>
                </c:pt>
                <c:pt idx="593">
                  <c:v>15359.104499999999</c:v>
                </c:pt>
                <c:pt idx="594">
                  <c:v>5709.1643999999997</c:v>
                </c:pt>
                <c:pt idx="595">
                  <c:v>8823.9858000000004</c:v>
                </c:pt>
                <c:pt idx="596">
                  <c:v>7640.3091999999997</c:v>
                </c:pt>
                <c:pt idx="597">
                  <c:v>5594.8455000000004</c:v>
                </c:pt>
                <c:pt idx="598">
                  <c:v>7441.5010000000002</c:v>
                </c:pt>
                <c:pt idx="599">
                  <c:v>33471.971899999997</c:v>
                </c:pt>
                <c:pt idx="600">
                  <c:v>1633.0444</c:v>
                </c:pt>
                <c:pt idx="601">
                  <c:v>9174.1355999999996</c:v>
                </c:pt>
                <c:pt idx="602">
                  <c:v>11070.535</c:v>
                </c:pt>
                <c:pt idx="603">
                  <c:v>16085.127500000001</c:v>
                </c:pt>
                <c:pt idx="604">
                  <c:v>17468.983899999999</c:v>
                </c:pt>
                <c:pt idx="605">
                  <c:v>9283.5619999999999</c:v>
                </c:pt>
                <c:pt idx="606">
                  <c:v>3558.6201999999998</c:v>
                </c:pt>
                <c:pt idx="607">
                  <c:v>25678.778399999999</c:v>
                </c:pt>
                <c:pt idx="608">
                  <c:v>4435.0941999999995</c:v>
                </c:pt>
                <c:pt idx="609">
                  <c:v>39241.442000000003</c:v>
                </c:pt>
                <c:pt idx="610">
                  <c:v>8547.6913000000004</c:v>
                </c:pt>
                <c:pt idx="611">
                  <c:v>6571.5439999999999</c:v>
                </c:pt>
                <c:pt idx="612">
                  <c:v>2207.6974</c:v>
                </c:pt>
                <c:pt idx="613">
                  <c:v>6753.0379999999996</c:v>
                </c:pt>
                <c:pt idx="614">
                  <c:v>1880.07</c:v>
                </c:pt>
                <c:pt idx="615">
                  <c:v>42969.852700000003</c:v>
                </c:pt>
                <c:pt idx="616">
                  <c:v>11658.115</c:v>
                </c:pt>
                <c:pt idx="617">
                  <c:v>23306.546999999999</c:v>
                </c:pt>
                <c:pt idx="618">
                  <c:v>34439.855900000002</c:v>
                </c:pt>
                <c:pt idx="619">
                  <c:v>10713.644</c:v>
                </c:pt>
                <c:pt idx="620">
                  <c:v>3659.346</c:v>
                </c:pt>
                <c:pt idx="621">
                  <c:v>40182.245999999999</c:v>
                </c:pt>
                <c:pt idx="622">
                  <c:v>9182.17</c:v>
                </c:pt>
                <c:pt idx="623">
                  <c:v>34617.840600000003</c:v>
                </c:pt>
                <c:pt idx="624">
                  <c:v>12129.6142</c:v>
                </c:pt>
                <c:pt idx="625">
                  <c:v>3736.4647</c:v>
                </c:pt>
                <c:pt idx="626">
                  <c:v>6748.5911999999998</c:v>
                </c:pt>
                <c:pt idx="627">
                  <c:v>11326.714900000001</c:v>
                </c:pt>
                <c:pt idx="628">
                  <c:v>11365.951999999999</c:v>
                </c:pt>
                <c:pt idx="629">
                  <c:v>42983.458500000001</c:v>
                </c:pt>
                <c:pt idx="630">
                  <c:v>10085.846</c:v>
                </c:pt>
                <c:pt idx="631">
                  <c:v>1977.8150000000001</c:v>
                </c:pt>
                <c:pt idx="632">
                  <c:v>3366.6696999999999</c:v>
                </c:pt>
                <c:pt idx="633">
                  <c:v>7173.36</c:v>
                </c:pt>
                <c:pt idx="634">
                  <c:v>9391.3459999999995</c:v>
                </c:pt>
                <c:pt idx="635">
                  <c:v>14410.9321</c:v>
                </c:pt>
                <c:pt idx="636">
                  <c:v>2709.1118999999999</c:v>
                </c:pt>
                <c:pt idx="637">
                  <c:v>24915.046300000002</c:v>
                </c:pt>
                <c:pt idx="638">
                  <c:v>20149.322899999999</c:v>
                </c:pt>
                <c:pt idx="639">
                  <c:v>12949.1554</c:v>
                </c:pt>
                <c:pt idx="640">
                  <c:v>6666.2430000000004</c:v>
                </c:pt>
                <c:pt idx="641">
                  <c:v>32787.458599999998</c:v>
                </c:pt>
                <c:pt idx="642">
                  <c:v>13143.864799999999</c:v>
                </c:pt>
                <c:pt idx="643">
                  <c:v>4466.6214</c:v>
                </c:pt>
                <c:pt idx="644">
                  <c:v>18806.145499999999</c:v>
                </c:pt>
                <c:pt idx="645">
                  <c:v>10141.136200000001</c:v>
                </c:pt>
                <c:pt idx="646">
                  <c:v>6123.5688</c:v>
                </c:pt>
                <c:pt idx="647">
                  <c:v>8252.2842999999993</c:v>
                </c:pt>
                <c:pt idx="648">
                  <c:v>1712.2270000000001</c:v>
                </c:pt>
                <c:pt idx="649">
                  <c:v>12430.9534</c:v>
                </c:pt>
                <c:pt idx="650">
                  <c:v>9800.8881999999994</c:v>
                </c:pt>
                <c:pt idx="651">
                  <c:v>10579.710999999999</c:v>
                </c:pt>
                <c:pt idx="652">
                  <c:v>8280.6226999999999</c:v>
                </c:pt>
                <c:pt idx="653">
                  <c:v>8527.5319999999992</c:v>
                </c:pt>
                <c:pt idx="654">
                  <c:v>12244.531000000001</c:v>
                </c:pt>
                <c:pt idx="655">
                  <c:v>24667.419000000002</c:v>
                </c:pt>
                <c:pt idx="656">
                  <c:v>3410.3240000000001</c:v>
                </c:pt>
                <c:pt idx="657">
                  <c:v>4058.7123999999999</c:v>
                </c:pt>
                <c:pt idx="658">
                  <c:v>26392.260300000002</c:v>
                </c:pt>
                <c:pt idx="659">
                  <c:v>14394.3982</c:v>
                </c:pt>
                <c:pt idx="660">
                  <c:v>6435.6237000000001</c:v>
                </c:pt>
                <c:pt idx="661">
                  <c:v>22192.437099999999</c:v>
                </c:pt>
                <c:pt idx="662">
                  <c:v>5148.5526</c:v>
                </c:pt>
                <c:pt idx="663">
                  <c:v>1136.3994</c:v>
                </c:pt>
                <c:pt idx="664">
                  <c:v>27037.914100000002</c:v>
                </c:pt>
                <c:pt idx="665">
                  <c:v>42560.430399999997</c:v>
                </c:pt>
                <c:pt idx="666">
                  <c:v>8703.4560000000001</c:v>
                </c:pt>
                <c:pt idx="667">
                  <c:v>40003.332199999997</c:v>
                </c:pt>
                <c:pt idx="668">
                  <c:v>45710.207799999996</c:v>
                </c:pt>
                <c:pt idx="669">
                  <c:v>6500.2358999999997</c:v>
                </c:pt>
                <c:pt idx="670">
                  <c:v>4837.5823</c:v>
                </c:pt>
                <c:pt idx="671">
                  <c:v>3943.5954000000002</c:v>
                </c:pt>
                <c:pt idx="672">
                  <c:v>4399.7309999999998</c:v>
                </c:pt>
                <c:pt idx="673">
                  <c:v>6185.3208000000004</c:v>
                </c:pt>
                <c:pt idx="674">
                  <c:v>46200.985099999998</c:v>
                </c:pt>
                <c:pt idx="675">
                  <c:v>7222.7861999999996</c:v>
                </c:pt>
                <c:pt idx="676">
                  <c:v>12485.8009</c:v>
                </c:pt>
                <c:pt idx="677">
                  <c:v>46130.5265</c:v>
                </c:pt>
                <c:pt idx="678">
                  <c:v>12363.547</c:v>
                </c:pt>
                <c:pt idx="679">
                  <c:v>10156.7832</c:v>
                </c:pt>
                <c:pt idx="680">
                  <c:v>2585.2689999999998</c:v>
                </c:pt>
                <c:pt idx="681">
                  <c:v>1242.26</c:v>
                </c:pt>
                <c:pt idx="682">
                  <c:v>40103.89</c:v>
                </c:pt>
                <c:pt idx="683">
                  <c:v>9863.4717999999993</c:v>
                </c:pt>
                <c:pt idx="684">
                  <c:v>4766.0219999999999</c:v>
                </c:pt>
                <c:pt idx="685">
                  <c:v>11244.376899999999</c:v>
                </c:pt>
                <c:pt idx="686">
                  <c:v>7729.6458000000002</c:v>
                </c:pt>
                <c:pt idx="687">
                  <c:v>5438.7491</c:v>
                </c:pt>
                <c:pt idx="688">
                  <c:v>26236.58</c:v>
                </c:pt>
                <c:pt idx="689">
                  <c:v>34806.467700000001</c:v>
                </c:pt>
                <c:pt idx="690">
                  <c:v>2104.1134000000002</c:v>
                </c:pt>
                <c:pt idx="691">
                  <c:v>8068.1850000000004</c:v>
                </c:pt>
                <c:pt idx="692">
                  <c:v>2362.2289999999998</c:v>
                </c:pt>
                <c:pt idx="693">
                  <c:v>2352.9684000000002</c:v>
                </c:pt>
                <c:pt idx="694">
                  <c:v>3577.9989999999998</c:v>
                </c:pt>
                <c:pt idx="695">
                  <c:v>3201.2451999999998</c:v>
                </c:pt>
                <c:pt idx="696">
                  <c:v>29186.482400000001</c:v>
                </c:pt>
                <c:pt idx="697">
                  <c:v>40273.645499999999</c:v>
                </c:pt>
                <c:pt idx="698">
                  <c:v>10976.245800000001</c:v>
                </c:pt>
                <c:pt idx="699">
                  <c:v>3500.6122999999998</c:v>
                </c:pt>
                <c:pt idx="700">
                  <c:v>2020.5523000000001</c:v>
                </c:pt>
                <c:pt idx="701">
                  <c:v>9541.6955999999991</c:v>
                </c:pt>
                <c:pt idx="702">
                  <c:v>9504.3102999999992</c:v>
                </c:pt>
                <c:pt idx="703">
                  <c:v>5385.3379000000004</c:v>
                </c:pt>
                <c:pt idx="704">
                  <c:v>8930.9346000000005</c:v>
                </c:pt>
                <c:pt idx="705">
                  <c:v>5375.0379999999996</c:v>
                </c:pt>
                <c:pt idx="706">
                  <c:v>44400.4064</c:v>
                </c:pt>
                <c:pt idx="707">
                  <c:v>10264.4421</c:v>
                </c:pt>
                <c:pt idx="708">
                  <c:v>6113.2309999999998</c:v>
                </c:pt>
                <c:pt idx="709">
                  <c:v>5469.0065999999997</c:v>
                </c:pt>
                <c:pt idx="710">
                  <c:v>1727.54</c:v>
                </c:pt>
                <c:pt idx="711">
                  <c:v>10107.220600000001</c:v>
                </c:pt>
                <c:pt idx="712">
                  <c:v>8310.8392000000003</c:v>
                </c:pt>
                <c:pt idx="713">
                  <c:v>1984.4532999999999</c:v>
                </c:pt>
                <c:pt idx="714">
                  <c:v>2457.502</c:v>
                </c:pt>
                <c:pt idx="715">
                  <c:v>12146.971</c:v>
                </c:pt>
                <c:pt idx="716">
                  <c:v>9566.9909000000007</c:v>
                </c:pt>
                <c:pt idx="717">
                  <c:v>13112.604799999999</c:v>
                </c:pt>
                <c:pt idx="718">
                  <c:v>10848.1343</c:v>
                </c:pt>
                <c:pt idx="719">
                  <c:v>12231.613600000001</c:v>
                </c:pt>
                <c:pt idx="720">
                  <c:v>9875.6803999999993</c:v>
                </c:pt>
                <c:pt idx="721">
                  <c:v>11264.540999999999</c:v>
                </c:pt>
                <c:pt idx="722">
                  <c:v>12979.358</c:v>
                </c:pt>
                <c:pt idx="723">
                  <c:v>1263.249</c:v>
                </c:pt>
                <c:pt idx="724">
                  <c:v>10106.1342</c:v>
                </c:pt>
                <c:pt idx="725">
                  <c:v>40932.429499999998</c:v>
                </c:pt>
                <c:pt idx="726">
                  <c:v>6664.6859999999997</c:v>
                </c:pt>
                <c:pt idx="727">
                  <c:v>16657.717400000001</c:v>
                </c:pt>
                <c:pt idx="728">
                  <c:v>2217.6012000000001</c:v>
                </c:pt>
                <c:pt idx="729">
                  <c:v>6781.3541999999998</c:v>
                </c:pt>
                <c:pt idx="730">
                  <c:v>19361.998800000001</c:v>
                </c:pt>
                <c:pt idx="731">
                  <c:v>10065.413</c:v>
                </c:pt>
                <c:pt idx="732">
                  <c:v>4234.9269999999997</c:v>
                </c:pt>
                <c:pt idx="733">
                  <c:v>9447.2504000000008</c:v>
                </c:pt>
                <c:pt idx="734">
                  <c:v>14007.222</c:v>
                </c:pt>
                <c:pt idx="735">
                  <c:v>9583.8932999999997</c:v>
                </c:pt>
                <c:pt idx="736">
                  <c:v>40419.019099999998</c:v>
                </c:pt>
                <c:pt idx="737">
                  <c:v>3484.3310000000001</c:v>
                </c:pt>
                <c:pt idx="738">
                  <c:v>36189.101699999999</c:v>
                </c:pt>
                <c:pt idx="739">
                  <c:v>44585.455900000001</c:v>
                </c:pt>
                <c:pt idx="740">
                  <c:v>8604.4835999999996</c:v>
                </c:pt>
                <c:pt idx="741">
                  <c:v>18246.495500000001</c:v>
                </c:pt>
                <c:pt idx="742">
                  <c:v>43254.417999999998</c:v>
                </c:pt>
                <c:pt idx="743">
                  <c:v>3757.8447999999999</c:v>
                </c:pt>
                <c:pt idx="744">
                  <c:v>8827.2098999999998</c:v>
                </c:pt>
                <c:pt idx="745">
                  <c:v>9910.3598000000002</c:v>
                </c:pt>
                <c:pt idx="746">
                  <c:v>11737.8488</c:v>
                </c:pt>
                <c:pt idx="747">
                  <c:v>1627.2824000000001</c:v>
                </c:pt>
                <c:pt idx="748">
                  <c:v>8556.9069999999992</c:v>
                </c:pt>
                <c:pt idx="749">
                  <c:v>3062.5082000000002</c:v>
                </c:pt>
                <c:pt idx="750">
                  <c:v>19539.242999999999</c:v>
                </c:pt>
                <c:pt idx="751">
                  <c:v>1906.3581999999999</c:v>
                </c:pt>
                <c:pt idx="752">
                  <c:v>14210.536</c:v>
                </c:pt>
                <c:pt idx="753">
                  <c:v>11833.782300000001</c:v>
                </c:pt>
                <c:pt idx="754">
                  <c:v>17128.426100000001</c:v>
                </c:pt>
                <c:pt idx="755">
                  <c:v>5031.2695999999996</c:v>
                </c:pt>
                <c:pt idx="756">
                  <c:v>7985.8149999999996</c:v>
                </c:pt>
                <c:pt idx="757">
                  <c:v>23065.420699999999</c:v>
                </c:pt>
                <c:pt idx="758">
                  <c:v>5428.7277000000004</c:v>
                </c:pt>
                <c:pt idx="759">
                  <c:v>36307.798300000002</c:v>
                </c:pt>
                <c:pt idx="760">
                  <c:v>3925.7582000000002</c:v>
                </c:pt>
                <c:pt idx="761">
                  <c:v>2416.9549999999999</c:v>
                </c:pt>
                <c:pt idx="762">
                  <c:v>19040.876</c:v>
                </c:pt>
                <c:pt idx="763">
                  <c:v>3070.8087</c:v>
                </c:pt>
                <c:pt idx="764">
                  <c:v>9095.0681999999997</c:v>
                </c:pt>
                <c:pt idx="765">
                  <c:v>11842.623799999999</c:v>
                </c:pt>
                <c:pt idx="766">
                  <c:v>8062.7640000000001</c:v>
                </c:pt>
                <c:pt idx="767">
                  <c:v>7050.6419999999998</c:v>
                </c:pt>
                <c:pt idx="768">
                  <c:v>14319.031000000001</c:v>
                </c:pt>
                <c:pt idx="769">
                  <c:v>6933.2421999999997</c:v>
                </c:pt>
                <c:pt idx="770">
                  <c:v>27941.2876</c:v>
                </c:pt>
                <c:pt idx="771">
                  <c:v>11150.78</c:v>
                </c:pt>
                <c:pt idx="772">
                  <c:v>12797.2096</c:v>
                </c:pt>
                <c:pt idx="773">
                  <c:v>17748.5062</c:v>
                </c:pt>
                <c:pt idx="774">
                  <c:v>7261.741</c:v>
                </c:pt>
                <c:pt idx="775">
                  <c:v>10560.4917</c:v>
                </c:pt>
                <c:pt idx="776">
                  <c:v>6986.6970000000001</c:v>
                </c:pt>
                <c:pt idx="777">
                  <c:v>7448.4040000000005</c:v>
                </c:pt>
                <c:pt idx="778">
                  <c:v>5934.3797999999997</c:v>
                </c:pt>
                <c:pt idx="779">
                  <c:v>9869.8101999999999</c:v>
                </c:pt>
                <c:pt idx="780">
                  <c:v>18259.216</c:v>
                </c:pt>
                <c:pt idx="781">
                  <c:v>1146.7965999999999</c:v>
                </c:pt>
                <c:pt idx="782">
                  <c:v>9386.1612999999998</c:v>
                </c:pt>
                <c:pt idx="783">
                  <c:v>24520.263999999999</c:v>
                </c:pt>
                <c:pt idx="784">
                  <c:v>4350.5144</c:v>
                </c:pt>
                <c:pt idx="785">
                  <c:v>6414.1779999999999</c:v>
                </c:pt>
                <c:pt idx="786">
                  <c:v>12741.1674</c:v>
                </c:pt>
                <c:pt idx="787">
                  <c:v>1917.3184000000001</c:v>
                </c:pt>
                <c:pt idx="788">
                  <c:v>5209.5788000000002</c:v>
                </c:pt>
                <c:pt idx="789">
                  <c:v>13457.960800000001</c:v>
                </c:pt>
                <c:pt idx="790">
                  <c:v>5662.2250000000004</c:v>
                </c:pt>
                <c:pt idx="791">
                  <c:v>1252.4069999999999</c:v>
                </c:pt>
                <c:pt idx="792">
                  <c:v>2731.9122000000002</c:v>
                </c:pt>
                <c:pt idx="793">
                  <c:v>21195.817999999999</c:v>
                </c:pt>
                <c:pt idx="794">
                  <c:v>7209.4917999999998</c:v>
                </c:pt>
                <c:pt idx="795">
                  <c:v>18310.741999999998</c:v>
                </c:pt>
                <c:pt idx="796">
                  <c:v>4266.1657999999998</c:v>
                </c:pt>
                <c:pt idx="797">
                  <c:v>4719.5240000000003</c:v>
                </c:pt>
                <c:pt idx="798">
                  <c:v>11848.141</c:v>
                </c:pt>
                <c:pt idx="799">
                  <c:v>17904.526999999998</c:v>
                </c:pt>
                <c:pt idx="800">
                  <c:v>7046.7222000000002</c:v>
                </c:pt>
                <c:pt idx="801">
                  <c:v>14313.846299999999</c:v>
                </c:pt>
                <c:pt idx="802">
                  <c:v>2103.08</c:v>
                </c:pt>
                <c:pt idx="803">
                  <c:v>38792.685599999997</c:v>
                </c:pt>
                <c:pt idx="804">
                  <c:v>1815.8759</c:v>
                </c:pt>
                <c:pt idx="805">
                  <c:v>7731.8577999999998</c:v>
                </c:pt>
                <c:pt idx="806">
                  <c:v>28476.735000000001</c:v>
                </c:pt>
                <c:pt idx="807">
                  <c:v>2136.8822</c:v>
                </c:pt>
                <c:pt idx="808">
                  <c:v>1131.5065999999999</c:v>
                </c:pt>
                <c:pt idx="809">
                  <c:v>3309.7926000000002</c:v>
                </c:pt>
                <c:pt idx="810">
                  <c:v>9414.92</c:v>
                </c:pt>
                <c:pt idx="811">
                  <c:v>6360.9935999999998</c:v>
                </c:pt>
                <c:pt idx="812">
                  <c:v>11013.7119</c:v>
                </c:pt>
                <c:pt idx="813">
                  <c:v>4428.8878000000004</c:v>
                </c:pt>
                <c:pt idx="814">
                  <c:v>5584.3056999999999</c:v>
                </c:pt>
                <c:pt idx="815">
                  <c:v>1877.9294</c:v>
                </c:pt>
                <c:pt idx="816">
                  <c:v>2842.7608</c:v>
                </c:pt>
                <c:pt idx="817">
                  <c:v>3597.596</c:v>
                </c:pt>
                <c:pt idx="818">
                  <c:v>23401.305799999998</c:v>
                </c:pt>
                <c:pt idx="819">
                  <c:v>55135.402099999999</c:v>
                </c:pt>
                <c:pt idx="820">
                  <c:v>7445.9179999999997</c:v>
                </c:pt>
                <c:pt idx="821">
                  <c:v>2680.9493000000002</c:v>
                </c:pt>
                <c:pt idx="822">
                  <c:v>1621.8827000000001</c:v>
                </c:pt>
                <c:pt idx="823">
                  <c:v>8219.2039000000004</c:v>
                </c:pt>
                <c:pt idx="824">
                  <c:v>12523.604799999999</c:v>
                </c:pt>
                <c:pt idx="825">
                  <c:v>16069.084800000001</c:v>
                </c:pt>
                <c:pt idx="826">
                  <c:v>43813.866099999999</c:v>
                </c:pt>
                <c:pt idx="827">
                  <c:v>20773.627799999998</c:v>
                </c:pt>
                <c:pt idx="828">
                  <c:v>39597.407200000001</c:v>
                </c:pt>
                <c:pt idx="829">
                  <c:v>6117.4944999999998</c:v>
                </c:pt>
                <c:pt idx="830">
                  <c:v>13393.755999999999</c:v>
                </c:pt>
                <c:pt idx="831">
                  <c:v>5266.3656000000001</c:v>
                </c:pt>
                <c:pt idx="832">
                  <c:v>4719.7366000000002</c:v>
                </c:pt>
                <c:pt idx="833">
                  <c:v>11743.9341</c:v>
                </c:pt>
                <c:pt idx="834">
                  <c:v>5377.4578000000001</c:v>
                </c:pt>
                <c:pt idx="835">
                  <c:v>7160.3302999999996</c:v>
                </c:pt>
                <c:pt idx="836">
                  <c:v>4402.2330000000002</c:v>
                </c:pt>
                <c:pt idx="837">
                  <c:v>11657.7189</c:v>
                </c:pt>
                <c:pt idx="838">
                  <c:v>6402.2914000000001</c:v>
                </c:pt>
                <c:pt idx="839">
                  <c:v>12622.1795</c:v>
                </c:pt>
                <c:pt idx="840">
                  <c:v>1526.3119999999999</c:v>
                </c:pt>
                <c:pt idx="841">
                  <c:v>12323.936</c:v>
                </c:pt>
                <c:pt idx="842">
                  <c:v>36021.011200000001</c:v>
                </c:pt>
                <c:pt idx="843">
                  <c:v>27533.912899999999</c:v>
                </c:pt>
                <c:pt idx="844">
                  <c:v>10072.055</c:v>
                </c:pt>
                <c:pt idx="845">
                  <c:v>45008.955499999996</c:v>
                </c:pt>
                <c:pt idx="846">
                  <c:v>9872.7009999999991</c:v>
                </c:pt>
                <c:pt idx="847">
                  <c:v>2438.0551999999998</c:v>
                </c:pt>
                <c:pt idx="848">
                  <c:v>2974.1260000000002</c:v>
                </c:pt>
                <c:pt idx="849">
                  <c:v>10601.6322</c:v>
                </c:pt>
                <c:pt idx="850">
                  <c:v>37270.1512</c:v>
                </c:pt>
                <c:pt idx="851">
                  <c:v>14119.62</c:v>
                </c:pt>
                <c:pt idx="852">
                  <c:v>42111.664700000001</c:v>
                </c:pt>
                <c:pt idx="853">
                  <c:v>11729.6795</c:v>
                </c:pt>
                <c:pt idx="854">
                  <c:v>24106.9126</c:v>
                </c:pt>
                <c:pt idx="855">
                  <c:v>1875.3440000000001</c:v>
                </c:pt>
                <c:pt idx="856">
                  <c:v>40974.164900000003</c:v>
                </c:pt>
                <c:pt idx="857">
                  <c:v>15817.985699999999</c:v>
                </c:pt>
                <c:pt idx="858">
                  <c:v>18218.161400000001</c:v>
                </c:pt>
                <c:pt idx="859">
                  <c:v>10965.446</c:v>
                </c:pt>
                <c:pt idx="860">
                  <c:v>46113.510999999999</c:v>
                </c:pt>
                <c:pt idx="861">
                  <c:v>7151.0919999999996</c:v>
                </c:pt>
                <c:pt idx="862">
                  <c:v>12269.688599999999</c:v>
                </c:pt>
                <c:pt idx="863">
                  <c:v>5458.0464000000002</c:v>
                </c:pt>
                <c:pt idx="864">
                  <c:v>8782.4689999999991</c:v>
                </c:pt>
                <c:pt idx="865">
                  <c:v>6600.3609999999999</c:v>
                </c:pt>
                <c:pt idx="866">
                  <c:v>1141.4450999999999</c:v>
                </c:pt>
                <c:pt idx="867">
                  <c:v>11576.13</c:v>
                </c:pt>
                <c:pt idx="868">
                  <c:v>13129.6034</c:v>
                </c:pt>
                <c:pt idx="869">
                  <c:v>4391.652</c:v>
                </c:pt>
                <c:pt idx="870">
                  <c:v>8457.8179999999993</c:v>
                </c:pt>
                <c:pt idx="871">
                  <c:v>3392.3652000000002</c:v>
                </c:pt>
                <c:pt idx="872">
                  <c:v>5966.8873999999996</c:v>
                </c:pt>
                <c:pt idx="873">
                  <c:v>6849.0259999999998</c:v>
                </c:pt>
                <c:pt idx="874">
                  <c:v>8891.1394999999993</c:v>
                </c:pt>
                <c:pt idx="875">
                  <c:v>2690.1138000000001</c:v>
                </c:pt>
                <c:pt idx="876">
                  <c:v>26140.3603</c:v>
                </c:pt>
                <c:pt idx="877">
                  <c:v>6653.7885999999999</c:v>
                </c:pt>
                <c:pt idx="878">
                  <c:v>6282.2349999999997</c:v>
                </c:pt>
                <c:pt idx="879">
                  <c:v>6311.9520000000002</c:v>
                </c:pt>
                <c:pt idx="880">
                  <c:v>3443.0639999999999</c:v>
                </c:pt>
                <c:pt idx="881">
                  <c:v>2789.0574000000001</c:v>
                </c:pt>
                <c:pt idx="882">
                  <c:v>2585.8506000000002</c:v>
                </c:pt>
                <c:pt idx="883">
                  <c:v>46255.112500000003</c:v>
                </c:pt>
                <c:pt idx="884">
                  <c:v>4877.9809999999998</c:v>
                </c:pt>
                <c:pt idx="885">
                  <c:v>19719.6947</c:v>
                </c:pt>
                <c:pt idx="886">
                  <c:v>27218.4372</c:v>
                </c:pt>
                <c:pt idx="887">
                  <c:v>5272.1758</c:v>
                </c:pt>
                <c:pt idx="888">
                  <c:v>1682.597</c:v>
                </c:pt>
                <c:pt idx="889">
                  <c:v>11945.1327</c:v>
                </c:pt>
                <c:pt idx="890">
                  <c:v>29330.983199999999</c:v>
                </c:pt>
                <c:pt idx="891">
                  <c:v>7243.8136000000004</c:v>
                </c:pt>
                <c:pt idx="892">
                  <c:v>10422.9166</c:v>
                </c:pt>
                <c:pt idx="893">
                  <c:v>44202.653599999998</c:v>
                </c:pt>
                <c:pt idx="894">
                  <c:v>13555.0049</c:v>
                </c:pt>
                <c:pt idx="895">
                  <c:v>13063.883</c:v>
                </c:pt>
                <c:pt idx="896">
                  <c:v>19798.054599999999</c:v>
                </c:pt>
                <c:pt idx="897">
                  <c:v>2221.5644000000002</c:v>
                </c:pt>
                <c:pt idx="898">
                  <c:v>1634.5734</c:v>
                </c:pt>
                <c:pt idx="899">
                  <c:v>2117.3388</c:v>
                </c:pt>
                <c:pt idx="900">
                  <c:v>8688.8588</c:v>
                </c:pt>
                <c:pt idx="901">
                  <c:v>48673.558799999999</c:v>
                </c:pt>
                <c:pt idx="902">
                  <c:v>4661.2864</c:v>
                </c:pt>
                <c:pt idx="903">
                  <c:v>8125.7844999999998</c:v>
                </c:pt>
                <c:pt idx="904">
                  <c:v>12644.589</c:v>
                </c:pt>
                <c:pt idx="905">
                  <c:v>4564.1913999999997</c:v>
                </c:pt>
                <c:pt idx="906">
                  <c:v>4846.9201999999996</c:v>
                </c:pt>
                <c:pt idx="907">
                  <c:v>7633.7205999999996</c:v>
                </c:pt>
                <c:pt idx="908">
                  <c:v>15170.069</c:v>
                </c:pt>
                <c:pt idx="909">
                  <c:v>17496.306</c:v>
                </c:pt>
                <c:pt idx="910">
                  <c:v>2639.0428999999999</c:v>
                </c:pt>
                <c:pt idx="911">
                  <c:v>33732.686699999998</c:v>
                </c:pt>
                <c:pt idx="912">
                  <c:v>14382.709000000001</c:v>
                </c:pt>
                <c:pt idx="913">
                  <c:v>7626.9930000000004</c:v>
                </c:pt>
                <c:pt idx="914">
                  <c:v>5257.5079999999998</c:v>
                </c:pt>
                <c:pt idx="915">
                  <c:v>2473.3341</c:v>
                </c:pt>
                <c:pt idx="916">
                  <c:v>21774.322199999999</c:v>
                </c:pt>
                <c:pt idx="917">
                  <c:v>35069.374499999998</c:v>
                </c:pt>
                <c:pt idx="918">
                  <c:v>13041.921</c:v>
                </c:pt>
                <c:pt idx="919">
                  <c:v>5245.2268999999997</c:v>
                </c:pt>
                <c:pt idx="920">
                  <c:v>13451.121999999999</c:v>
                </c:pt>
                <c:pt idx="921">
                  <c:v>13462.52</c:v>
                </c:pt>
                <c:pt idx="922">
                  <c:v>5488.2619999999997</c:v>
                </c:pt>
                <c:pt idx="923">
                  <c:v>4320.4107999999997</c:v>
                </c:pt>
                <c:pt idx="924">
                  <c:v>6250.4350000000004</c:v>
                </c:pt>
                <c:pt idx="925">
                  <c:v>25333.3328</c:v>
                </c:pt>
                <c:pt idx="926">
                  <c:v>2913.569</c:v>
                </c:pt>
                <c:pt idx="927">
                  <c:v>12032.325999999999</c:v>
                </c:pt>
                <c:pt idx="928">
                  <c:v>13470.804400000001</c:v>
                </c:pt>
                <c:pt idx="929">
                  <c:v>6289.7548999999999</c:v>
                </c:pt>
                <c:pt idx="930">
                  <c:v>2927.0646999999999</c:v>
                </c:pt>
                <c:pt idx="931">
                  <c:v>6238.2979999999998</c:v>
                </c:pt>
                <c:pt idx="932">
                  <c:v>10096.969999999999</c:v>
                </c:pt>
                <c:pt idx="933">
                  <c:v>7348.1419999999998</c:v>
                </c:pt>
                <c:pt idx="934">
                  <c:v>4673.3922000000002</c:v>
                </c:pt>
                <c:pt idx="935">
                  <c:v>12233.828</c:v>
                </c:pt>
                <c:pt idx="936">
                  <c:v>32108.662799999998</c:v>
                </c:pt>
                <c:pt idx="937">
                  <c:v>8965.7957999999999</c:v>
                </c:pt>
                <c:pt idx="938">
                  <c:v>2304.0021999999999</c:v>
                </c:pt>
                <c:pt idx="939">
                  <c:v>9487.6442000000006</c:v>
                </c:pt>
                <c:pt idx="940">
                  <c:v>1121.8739</c:v>
                </c:pt>
                <c:pt idx="941">
                  <c:v>9549.5650999999998</c:v>
                </c:pt>
                <c:pt idx="942">
                  <c:v>2217.4692</c:v>
                </c:pt>
                <c:pt idx="943">
                  <c:v>1628.4709</c:v>
                </c:pt>
                <c:pt idx="944">
                  <c:v>12982.8747</c:v>
                </c:pt>
                <c:pt idx="945">
                  <c:v>11674.13</c:v>
                </c:pt>
                <c:pt idx="946">
                  <c:v>7160.0940000000001</c:v>
                </c:pt>
                <c:pt idx="947">
                  <c:v>39047.285000000003</c:v>
                </c:pt>
                <c:pt idx="948">
                  <c:v>6358.7763999999997</c:v>
                </c:pt>
                <c:pt idx="949">
                  <c:v>19933.457999999999</c:v>
                </c:pt>
                <c:pt idx="950">
                  <c:v>11534.872600000001</c:v>
                </c:pt>
                <c:pt idx="951">
                  <c:v>47462.894</c:v>
                </c:pt>
                <c:pt idx="952">
                  <c:v>4527.183</c:v>
                </c:pt>
                <c:pt idx="953">
                  <c:v>38998.546000000002</c:v>
                </c:pt>
                <c:pt idx="954">
                  <c:v>20009.633600000001</c:v>
                </c:pt>
                <c:pt idx="955">
                  <c:v>3875.7341000000001</c:v>
                </c:pt>
                <c:pt idx="956">
                  <c:v>41999.519999999997</c:v>
                </c:pt>
                <c:pt idx="957">
                  <c:v>12609.887000000001</c:v>
                </c:pt>
                <c:pt idx="958">
                  <c:v>41034.221400000002</c:v>
                </c:pt>
                <c:pt idx="959">
                  <c:v>28468.919000000002</c:v>
                </c:pt>
                <c:pt idx="960">
                  <c:v>2730.1078000000002</c:v>
                </c:pt>
                <c:pt idx="961">
                  <c:v>3353.2840000000001</c:v>
                </c:pt>
                <c:pt idx="962">
                  <c:v>14474.674999999999</c:v>
                </c:pt>
                <c:pt idx="963">
                  <c:v>9500.5730000000003</c:v>
                </c:pt>
                <c:pt idx="964">
                  <c:v>26467.097399999999</c:v>
                </c:pt>
                <c:pt idx="965">
                  <c:v>4746.3440000000001</c:v>
                </c:pt>
                <c:pt idx="966">
                  <c:v>23967.383000000002</c:v>
                </c:pt>
                <c:pt idx="967">
                  <c:v>7518.0254000000004</c:v>
                </c:pt>
                <c:pt idx="968">
                  <c:v>3279.8685999999998</c:v>
                </c:pt>
                <c:pt idx="969">
                  <c:v>8596.8277999999991</c:v>
                </c:pt>
                <c:pt idx="970">
                  <c:v>10702.642400000001</c:v>
                </c:pt>
                <c:pt idx="971">
                  <c:v>4992.3764000000001</c:v>
                </c:pt>
                <c:pt idx="972">
                  <c:v>2527.8186000000001</c:v>
                </c:pt>
                <c:pt idx="973">
                  <c:v>1759.338</c:v>
                </c:pt>
                <c:pt idx="974">
                  <c:v>2322.6217999999999</c:v>
                </c:pt>
                <c:pt idx="975">
                  <c:v>16138.762000000001</c:v>
                </c:pt>
                <c:pt idx="976">
                  <c:v>7804.1605</c:v>
                </c:pt>
                <c:pt idx="977">
                  <c:v>2902.9065000000001</c:v>
                </c:pt>
                <c:pt idx="978">
                  <c:v>9704.6679999999997</c:v>
                </c:pt>
                <c:pt idx="979">
                  <c:v>4889.0367999999999</c:v>
                </c:pt>
                <c:pt idx="980">
                  <c:v>25517.113600000001</c:v>
                </c:pt>
                <c:pt idx="981">
                  <c:v>4500.3392000000003</c:v>
                </c:pt>
                <c:pt idx="982">
                  <c:v>19199.944</c:v>
                </c:pt>
                <c:pt idx="983">
                  <c:v>16796.411899999999</c:v>
                </c:pt>
                <c:pt idx="984">
                  <c:v>4915.0598</c:v>
                </c:pt>
                <c:pt idx="985">
                  <c:v>7624.63</c:v>
                </c:pt>
                <c:pt idx="986">
                  <c:v>8410.0468000000001</c:v>
                </c:pt>
                <c:pt idx="987">
                  <c:v>28340.1888</c:v>
                </c:pt>
                <c:pt idx="988">
                  <c:v>4518.8262000000004</c:v>
                </c:pt>
                <c:pt idx="989">
                  <c:v>14571.890799999999</c:v>
                </c:pt>
                <c:pt idx="990">
                  <c:v>3378.91</c:v>
                </c:pt>
                <c:pt idx="991">
                  <c:v>7144.8626000000004</c:v>
                </c:pt>
                <c:pt idx="992">
                  <c:v>10118.424000000001</c:v>
                </c:pt>
                <c:pt idx="993">
                  <c:v>5484.4673000000003</c:v>
                </c:pt>
                <c:pt idx="994">
                  <c:v>16420.494600000002</c:v>
                </c:pt>
                <c:pt idx="995">
                  <c:v>7986.4751999999999</c:v>
                </c:pt>
                <c:pt idx="996">
                  <c:v>7418.5219999999999</c:v>
                </c:pt>
                <c:pt idx="997">
                  <c:v>13887.968500000001</c:v>
                </c:pt>
                <c:pt idx="998">
                  <c:v>6551.7501000000002</c:v>
                </c:pt>
                <c:pt idx="999">
                  <c:v>5267.8181999999997</c:v>
                </c:pt>
                <c:pt idx="1000">
                  <c:v>17361.766100000001</c:v>
                </c:pt>
                <c:pt idx="1001">
                  <c:v>34472.841</c:v>
                </c:pt>
                <c:pt idx="1002">
                  <c:v>1972.95</c:v>
                </c:pt>
                <c:pt idx="1003">
                  <c:v>21232.1823</c:v>
                </c:pt>
                <c:pt idx="1004">
                  <c:v>8627.5411000000004</c:v>
                </c:pt>
                <c:pt idx="1005">
                  <c:v>4433.3877000000002</c:v>
                </c:pt>
                <c:pt idx="1006">
                  <c:v>4438.2633999999998</c:v>
                </c:pt>
                <c:pt idx="1007">
                  <c:v>24915.220799999999</c:v>
                </c:pt>
                <c:pt idx="1008">
                  <c:v>23241.4745</c:v>
                </c:pt>
                <c:pt idx="1009">
                  <c:v>9957.7216000000008</c:v>
                </c:pt>
                <c:pt idx="1010">
                  <c:v>8269.0439999999999</c:v>
                </c:pt>
                <c:pt idx="1011">
                  <c:v>18767.737700000001</c:v>
                </c:pt>
                <c:pt idx="1012">
                  <c:v>36580.282200000001</c:v>
                </c:pt>
                <c:pt idx="1013">
                  <c:v>8765.2489999999998</c:v>
                </c:pt>
                <c:pt idx="1014">
                  <c:v>5383.5360000000001</c:v>
                </c:pt>
                <c:pt idx="1015">
                  <c:v>12124.992399999999</c:v>
                </c:pt>
                <c:pt idx="1016">
                  <c:v>2709.2440000000001</c:v>
                </c:pt>
                <c:pt idx="1017">
                  <c:v>3987.9259999999999</c:v>
                </c:pt>
                <c:pt idx="1018">
                  <c:v>12495.290800000001</c:v>
                </c:pt>
                <c:pt idx="1019">
                  <c:v>26018.950499999999</c:v>
                </c:pt>
                <c:pt idx="1020">
                  <c:v>8798.5930000000008</c:v>
                </c:pt>
                <c:pt idx="1021">
                  <c:v>35595.589800000002</c:v>
                </c:pt>
                <c:pt idx="1022">
                  <c:v>42211.138200000001</c:v>
                </c:pt>
                <c:pt idx="1023">
                  <c:v>1711.0268000000001</c:v>
                </c:pt>
                <c:pt idx="1024">
                  <c:v>8569.8618000000006</c:v>
                </c:pt>
                <c:pt idx="1025">
                  <c:v>2020.1769999999999</c:v>
                </c:pt>
                <c:pt idx="1026">
                  <c:v>16450.894700000001</c:v>
                </c:pt>
                <c:pt idx="1027">
                  <c:v>21595.382300000001</c:v>
                </c:pt>
                <c:pt idx="1028">
                  <c:v>9850.4320000000007</c:v>
                </c:pt>
                <c:pt idx="1029">
                  <c:v>6877.9800999999998</c:v>
                </c:pt>
                <c:pt idx="1030">
                  <c:v>21677.2834</c:v>
                </c:pt>
                <c:pt idx="1031">
                  <c:v>44423.803</c:v>
                </c:pt>
                <c:pt idx="1032">
                  <c:v>4137.5227000000004</c:v>
                </c:pt>
                <c:pt idx="1033">
                  <c:v>13747.8724</c:v>
                </c:pt>
                <c:pt idx="1034">
                  <c:v>12950.0712</c:v>
                </c:pt>
                <c:pt idx="1035">
                  <c:v>12094.477999999999</c:v>
                </c:pt>
                <c:pt idx="1036">
                  <c:v>37484.4493</c:v>
                </c:pt>
                <c:pt idx="1037">
                  <c:v>39725.517999999996</c:v>
                </c:pt>
                <c:pt idx="1038">
                  <c:v>2250.8352</c:v>
                </c:pt>
                <c:pt idx="1039">
                  <c:v>22493.659599999999</c:v>
                </c:pt>
                <c:pt idx="1040">
                  <c:v>20234.854800000001</c:v>
                </c:pt>
                <c:pt idx="1041">
                  <c:v>1704.7002</c:v>
                </c:pt>
                <c:pt idx="1042">
                  <c:v>33475.817199999998</c:v>
                </c:pt>
                <c:pt idx="1043">
                  <c:v>3161.4540000000002</c:v>
                </c:pt>
                <c:pt idx="1044">
                  <c:v>11394.0656</c:v>
                </c:pt>
                <c:pt idx="1045">
                  <c:v>21880.82</c:v>
                </c:pt>
                <c:pt idx="1046">
                  <c:v>7325.0482000000002</c:v>
                </c:pt>
                <c:pt idx="1047">
                  <c:v>44501.398200000003</c:v>
                </c:pt>
                <c:pt idx="1048">
                  <c:v>3594.1707999999999</c:v>
                </c:pt>
                <c:pt idx="1049">
                  <c:v>39727.614000000001</c:v>
                </c:pt>
                <c:pt idx="1050">
                  <c:v>8023.1354000000001</c:v>
                </c:pt>
                <c:pt idx="1051">
                  <c:v>14394.5579</c:v>
                </c:pt>
                <c:pt idx="1052">
                  <c:v>9288.0267000000003</c:v>
                </c:pt>
                <c:pt idx="1053">
                  <c:v>25309.489000000001</c:v>
                </c:pt>
                <c:pt idx="1054">
                  <c:v>3353.4703</c:v>
                </c:pt>
                <c:pt idx="1055">
                  <c:v>10594.5016</c:v>
                </c:pt>
                <c:pt idx="1056">
                  <c:v>8277.5229999999992</c:v>
                </c:pt>
                <c:pt idx="1057">
                  <c:v>17929.303400000001</c:v>
                </c:pt>
                <c:pt idx="1058">
                  <c:v>2480.9791</c:v>
                </c:pt>
                <c:pt idx="1059">
                  <c:v>4462.7218000000003</c:v>
                </c:pt>
                <c:pt idx="1060">
                  <c:v>1981.5818999999999</c:v>
                </c:pt>
                <c:pt idx="1061">
                  <c:v>11554.223599999999</c:v>
                </c:pt>
                <c:pt idx="1062">
                  <c:v>48970.247600000002</c:v>
                </c:pt>
                <c:pt idx="1063">
                  <c:v>6548.1949999999997</c:v>
                </c:pt>
                <c:pt idx="1064">
                  <c:v>5708.8670000000002</c:v>
                </c:pt>
                <c:pt idx="1065">
                  <c:v>7045.4989999999998</c:v>
                </c:pt>
                <c:pt idx="1066">
                  <c:v>8978.1851000000006</c:v>
                </c:pt>
                <c:pt idx="1067">
                  <c:v>5757.4134000000004</c:v>
                </c:pt>
                <c:pt idx="1068">
                  <c:v>14349.8544</c:v>
                </c:pt>
                <c:pt idx="1069">
                  <c:v>10928.849</c:v>
                </c:pt>
                <c:pt idx="1070">
                  <c:v>39871.704299999998</c:v>
                </c:pt>
                <c:pt idx="1071">
                  <c:v>13974.455599999999</c:v>
                </c:pt>
                <c:pt idx="1072">
                  <c:v>1909.5273999999999</c:v>
                </c:pt>
                <c:pt idx="1073">
                  <c:v>12096.6512</c:v>
                </c:pt>
                <c:pt idx="1074">
                  <c:v>13204.285599999999</c:v>
                </c:pt>
                <c:pt idx="1075">
                  <c:v>4562.8420999999998</c:v>
                </c:pt>
                <c:pt idx="1076">
                  <c:v>8551.3469999999998</c:v>
                </c:pt>
                <c:pt idx="1077">
                  <c:v>2102.2647000000002</c:v>
                </c:pt>
                <c:pt idx="1078">
                  <c:v>34672.147199999999</c:v>
                </c:pt>
                <c:pt idx="1079">
                  <c:v>15161.5344</c:v>
                </c:pt>
                <c:pt idx="1080">
                  <c:v>11884.0486</c:v>
                </c:pt>
                <c:pt idx="1081">
                  <c:v>4454.4026000000003</c:v>
                </c:pt>
                <c:pt idx="1082">
                  <c:v>5855.9025000000001</c:v>
                </c:pt>
                <c:pt idx="1083">
                  <c:v>4076.4969999999998</c:v>
                </c:pt>
                <c:pt idx="1084">
                  <c:v>15019.76</c:v>
                </c:pt>
                <c:pt idx="1085">
                  <c:v>19023.259999999998</c:v>
                </c:pt>
                <c:pt idx="1086">
                  <c:v>10796.350200000001</c:v>
                </c:pt>
                <c:pt idx="1087">
                  <c:v>11353.2276</c:v>
                </c:pt>
                <c:pt idx="1088">
                  <c:v>9748.9105999999992</c:v>
                </c:pt>
                <c:pt idx="1089">
                  <c:v>10577.087</c:v>
                </c:pt>
                <c:pt idx="1090">
                  <c:v>41676.081100000003</c:v>
                </c:pt>
                <c:pt idx="1091">
                  <c:v>11286.538699999999</c:v>
                </c:pt>
                <c:pt idx="1092">
                  <c:v>3591.48</c:v>
                </c:pt>
                <c:pt idx="1093">
                  <c:v>33907.548000000003</c:v>
                </c:pt>
                <c:pt idx="1094">
                  <c:v>11299.343000000001</c:v>
                </c:pt>
                <c:pt idx="1095">
                  <c:v>4561.1885000000002</c:v>
                </c:pt>
                <c:pt idx="1096">
                  <c:v>44641.197399999997</c:v>
                </c:pt>
                <c:pt idx="1097">
                  <c:v>1674.6323</c:v>
                </c:pt>
                <c:pt idx="1098">
                  <c:v>23045.566200000001</c:v>
                </c:pt>
                <c:pt idx="1099">
                  <c:v>3227.1210999999998</c:v>
                </c:pt>
                <c:pt idx="1100">
                  <c:v>16776.304</c:v>
                </c:pt>
                <c:pt idx="1101">
                  <c:v>11253.421</c:v>
                </c:pt>
                <c:pt idx="1102">
                  <c:v>3471.4096</c:v>
                </c:pt>
                <c:pt idx="1103">
                  <c:v>11363.2832</c:v>
                </c:pt>
                <c:pt idx="1104">
                  <c:v>20420.604599999999</c:v>
                </c:pt>
                <c:pt idx="1105">
                  <c:v>10338.9316</c:v>
                </c:pt>
                <c:pt idx="1106">
                  <c:v>8988.1587999999992</c:v>
                </c:pt>
                <c:pt idx="1107">
                  <c:v>10493.9458</c:v>
                </c:pt>
                <c:pt idx="1108">
                  <c:v>2904.0880000000002</c:v>
                </c:pt>
                <c:pt idx="1109">
                  <c:v>8605.3615000000009</c:v>
                </c:pt>
                <c:pt idx="1110">
                  <c:v>11512.405000000001</c:v>
                </c:pt>
                <c:pt idx="1111">
                  <c:v>41949.244100000004</c:v>
                </c:pt>
                <c:pt idx="1112">
                  <c:v>24180.933499999999</c:v>
                </c:pt>
                <c:pt idx="1113">
                  <c:v>5312.1697999999997</c:v>
                </c:pt>
                <c:pt idx="1114">
                  <c:v>2396.0958999999998</c:v>
                </c:pt>
                <c:pt idx="1115">
                  <c:v>10807.4863</c:v>
                </c:pt>
                <c:pt idx="1116">
                  <c:v>9222.4025999999994</c:v>
                </c:pt>
                <c:pt idx="1117">
                  <c:v>36124.573700000001</c:v>
                </c:pt>
                <c:pt idx="1118">
                  <c:v>38282.749499999998</c:v>
                </c:pt>
                <c:pt idx="1119">
                  <c:v>5693.4305000000004</c:v>
                </c:pt>
                <c:pt idx="1120">
                  <c:v>34166.273000000001</c:v>
                </c:pt>
                <c:pt idx="1121">
                  <c:v>8347.1643000000004</c:v>
                </c:pt>
                <c:pt idx="1122">
                  <c:v>46661.4424</c:v>
                </c:pt>
                <c:pt idx="1123">
                  <c:v>18903.491399999999</c:v>
                </c:pt>
                <c:pt idx="1124">
                  <c:v>40904.199500000002</c:v>
                </c:pt>
                <c:pt idx="1125">
                  <c:v>14254.608200000001</c:v>
                </c:pt>
                <c:pt idx="1126">
                  <c:v>10214.636</c:v>
                </c:pt>
                <c:pt idx="1127">
                  <c:v>5836.5204000000003</c:v>
                </c:pt>
                <c:pt idx="1128">
                  <c:v>14358.3644</c:v>
                </c:pt>
                <c:pt idx="1129">
                  <c:v>1728.8969999999999</c:v>
                </c:pt>
                <c:pt idx="1130">
                  <c:v>8582.3022999999994</c:v>
                </c:pt>
                <c:pt idx="1131">
                  <c:v>3693.4279999999999</c:v>
                </c:pt>
                <c:pt idx="1132">
                  <c:v>20709.0203</c:v>
                </c:pt>
                <c:pt idx="1133">
                  <c:v>9991.0375999999997</c:v>
                </c:pt>
                <c:pt idx="1134">
                  <c:v>19673.3357</c:v>
                </c:pt>
                <c:pt idx="1135">
                  <c:v>11085.586799999999</c:v>
                </c:pt>
                <c:pt idx="1136">
                  <c:v>7623.518</c:v>
                </c:pt>
                <c:pt idx="1137">
                  <c:v>3176.2876999999999</c:v>
                </c:pt>
                <c:pt idx="1138">
                  <c:v>3704.3544999999999</c:v>
                </c:pt>
                <c:pt idx="1139">
                  <c:v>36898.733099999998</c:v>
                </c:pt>
                <c:pt idx="1140">
                  <c:v>9048.0272999999997</c:v>
                </c:pt>
                <c:pt idx="1141">
                  <c:v>7954.5169999999998</c:v>
                </c:pt>
                <c:pt idx="1142">
                  <c:v>27117.9938</c:v>
                </c:pt>
                <c:pt idx="1143">
                  <c:v>6338.0756000000001</c:v>
                </c:pt>
                <c:pt idx="1144">
                  <c:v>9630.3970000000008</c:v>
                </c:pt>
                <c:pt idx="1145">
                  <c:v>11289.109200000001</c:v>
                </c:pt>
                <c:pt idx="1146">
                  <c:v>52590.829400000002</c:v>
                </c:pt>
                <c:pt idx="1147">
                  <c:v>2261.5688</c:v>
                </c:pt>
                <c:pt idx="1148">
                  <c:v>10791.96</c:v>
                </c:pt>
                <c:pt idx="1149">
                  <c:v>5979.7309999999998</c:v>
                </c:pt>
                <c:pt idx="1150">
                  <c:v>2203.7359999999999</c:v>
                </c:pt>
                <c:pt idx="1151">
                  <c:v>12235.8392</c:v>
                </c:pt>
                <c:pt idx="1152">
                  <c:v>40941.285400000001</c:v>
                </c:pt>
                <c:pt idx="1153">
                  <c:v>5630.4578000000001</c:v>
                </c:pt>
                <c:pt idx="1154">
                  <c:v>11015.1747</c:v>
                </c:pt>
                <c:pt idx="1155">
                  <c:v>7228.2156000000004</c:v>
                </c:pt>
                <c:pt idx="1156">
                  <c:v>39722.746200000001</c:v>
                </c:pt>
                <c:pt idx="1157">
                  <c:v>14426.0738</c:v>
                </c:pt>
                <c:pt idx="1158">
                  <c:v>2459.7201</c:v>
                </c:pt>
                <c:pt idx="1159">
                  <c:v>3989.8409999999999</c:v>
                </c:pt>
                <c:pt idx="1160">
                  <c:v>7727.2532000000001</c:v>
                </c:pt>
                <c:pt idx="1161">
                  <c:v>5124.1886999999997</c:v>
                </c:pt>
                <c:pt idx="1162">
                  <c:v>18963.171900000001</c:v>
                </c:pt>
                <c:pt idx="1163">
                  <c:v>2200.8308000000002</c:v>
                </c:pt>
                <c:pt idx="1164">
                  <c:v>7153.5538999999999</c:v>
                </c:pt>
                <c:pt idx="1165">
                  <c:v>5227.9888000000001</c:v>
                </c:pt>
                <c:pt idx="1166">
                  <c:v>10982.5013</c:v>
                </c:pt>
                <c:pt idx="1167">
                  <c:v>4529.4769999999999</c:v>
                </c:pt>
                <c:pt idx="1168">
                  <c:v>4670.6400000000003</c:v>
                </c:pt>
                <c:pt idx="1169">
                  <c:v>6112.3530000000001</c:v>
                </c:pt>
                <c:pt idx="1170">
                  <c:v>17178.682400000002</c:v>
                </c:pt>
                <c:pt idx="1171">
                  <c:v>22478.6</c:v>
                </c:pt>
                <c:pt idx="1172">
                  <c:v>11093.6229</c:v>
                </c:pt>
                <c:pt idx="1173">
                  <c:v>6457.8433999999997</c:v>
                </c:pt>
                <c:pt idx="1174">
                  <c:v>4433.9159</c:v>
                </c:pt>
                <c:pt idx="1175">
                  <c:v>2154.3609999999999</c:v>
                </c:pt>
                <c:pt idx="1176">
                  <c:v>23887.662700000001</c:v>
                </c:pt>
                <c:pt idx="1177">
                  <c:v>6496.8860000000004</c:v>
                </c:pt>
                <c:pt idx="1178">
                  <c:v>2899.4893999999999</c:v>
                </c:pt>
                <c:pt idx="1179">
                  <c:v>19350.368900000001</c:v>
                </c:pt>
                <c:pt idx="1180">
                  <c:v>7650.7737999999999</c:v>
                </c:pt>
                <c:pt idx="1181">
                  <c:v>2850.6837999999998</c:v>
                </c:pt>
                <c:pt idx="1182">
                  <c:v>2632.9920000000002</c:v>
                </c:pt>
                <c:pt idx="1183">
                  <c:v>9447.3824000000004</c:v>
                </c:pt>
                <c:pt idx="1184">
                  <c:v>18328.238099999999</c:v>
                </c:pt>
                <c:pt idx="1185">
                  <c:v>8603.8233999999993</c:v>
                </c:pt>
                <c:pt idx="1186">
                  <c:v>37465.343800000002</c:v>
                </c:pt>
                <c:pt idx="1187">
                  <c:v>13844.797200000001</c:v>
                </c:pt>
                <c:pt idx="1188">
                  <c:v>21771.3423</c:v>
                </c:pt>
                <c:pt idx="1189">
                  <c:v>13126.6774</c:v>
                </c:pt>
                <c:pt idx="1190">
                  <c:v>5327.4002</c:v>
                </c:pt>
                <c:pt idx="1191">
                  <c:v>13725.471799999999</c:v>
                </c:pt>
                <c:pt idx="1192">
                  <c:v>13019.161</c:v>
                </c:pt>
                <c:pt idx="1193">
                  <c:v>8671.1911999999993</c:v>
                </c:pt>
                <c:pt idx="1194">
                  <c:v>4134.0824000000002</c:v>
                </c:pt>
                <c:pt idx="1195">
                  <c:v>18838.703699999998</c:v>
                </c:pt>
                <c:pt idx="1196">
                  <c:v>33307.550799999997</c:v>
                </c:pt>
                <c:pt idx="1197">
                  <c:v>5699.8374999999996</c:v>
                </c:pt>
                <c:pt idx="1198">
                  <c:v>6393.6034</c:v>
                </c:pt>
                <c:pt idx="1199">
                  <c:v>4934.7049999999999</c:v>
                </c:pt>
                <c:pt idx="1200">
                  <c:v>6198.7518</c:v>
                </c:pt>
                <c:pt idx="1201">
                  <c:v>8733.2291999999998</c:v>
                </c:pt>
                <c:pt idx="1202">
                  <c:v>2055.3249000000001</c:v>
                </c:pt>
                <c:pt idx="1203">
                  <c:v>9964.06</c:v>
                </c:pt>
                <c:pt idx="1204">
                  <c:v>18223.4512</c:v>
                </c:pt>
                <c:pt idx="1205">
                  <c:v>5116.5003999999999</c:v>
                </c:pt>
                <c:pt idx="1206">
                  <c:v>36910.608</c:v>
                </c:pt>
                <c:pt idx="1207">
                  <c:v>38415.474000000002</c:v>
                </c:pt>
                <c:pt idx="1208">
                  <c:v>20296.863399999998</c:v>
                </c:pt>
                <c:pt idx="1209">
                  <c:v>12347.172</c:v>
                </c:pt>
                <c:pt idx="1210">
                  <c:v>5373.3642</c:v>
                </c:pt>
                <c:pt idx="1211">
                  <c:v>23563.016199999998</c:v>
                </c:pt>
                <c:pt idx="1212">
                  <c:v>1702.4553000000001</c:v>
                </c:pt>
                <c:pt idx="1213">
                  <c:v>10806.839</c:v>
                </c:pt>
                <c:pt idx="1214">
                  <c:v>3956.0713999999998</c:v>
                </c:pt>
                <c:pt idx="1215">
                  <c:v>12890.0576</c:v>
                </c:pt>
                <c:pt idx="1216">
                  <c:v>5415.6611999999996</c:v>
                </c:pt>
                <c:pt idx="1217">
                  <c:v>4058.1161000000002</c:v>
                </c:pt>
                <c:pt idx="1218">
                  <c:v>41661.601999999999</c:v>
                </c:pt>
                <c:pt idx="1219">
                  <c:v>7537.1638999999996</c:v>
                </c:pt>
                <c:pt idx="1220">
                  <c:v>4718.2035999999998</c:v>
                </c:pt>
                <c:pt idx="1221">
                  <c:v>6593.5083000000004</c:v>
                </c:pt>
                <c:pt idx="1222">
                  <c:v>8442.6669999999995</c:v>
                </c:pt>
                <c:pt idx="1223">
                  <c:v>26125.674800000001</c:v>
                </c:pt>
                <c:pt idx="1224">
                  <c:v>6858.4795999999997</c:v>
                </c:pt>
                <c:pt idx="1225">
                  <c:v>4795.6567999999997</c:v>
                </c:pt>
                <c:pt idx="1226">
                  <c:v>6640.5447999999997</c:v>
                </c:pt>
                <c:pt idx="1227">
                  <c:v>7162.0122000000001</c:v>
                </c:pt>
                <c:pt idx="1228">
                  <c:v>10594.225700000001</c:v>
                </c:pt>
                <c:pt idx="1229">
                  <c:v>11938.255999999999</c:v>
                </c:pt>
                <c:pt idx="1230">
                  <c:v>60021.398999999998</c:v>
                </c:pt>
                <c:pt idx="1231">
                  <c:v>20167.335999999999</c:v>
                </c:pt>
                <c:pt idx="1232">
                  <c:v>12479.709000000001</c:v>
                </c:pt>
                <c:pt idx="1233">
                  <c:v>11345.519</c:v>
                </c:pt>
                <c:pt idx="1234">
                  <c:v>8515.7587000000003</c:v>
                </c:pt>
                <c:pt idx="1235">
                  <c:v>2699.5684000000001</c:v>
                </c:pt>
                <c:pt idx="1236">
                  <c:v>14449.8544</c:v>
                </c:pt>
                <c:pt idx="1237">
                  <c:v>12224.3508</c:v>
                </c:pt>
                <c:pt idx="1238">
                  <c:v>6985.5069999999996</c:v>
                </c:pt>
                <c:pt idx="1239">
                  <c:v>3238.4357</c:v>
                </c:pt>
                <c:pt idx="1240">
                  <c:v>47269.853999999999</c:v>
                </c:pt>
                <c:pt idx="1241">
                  <c:v>49577.662400000001</c:v>
                </c:pt>
                <c:pt idx="1242">
                  <c:v>4296.2712000000001</c:v>
                </c:pt>
                <c:pt idx="1243">
                  <c:v>3171.6149</c:v>
                </c:pt>
                <c:pt idx="1244">
                  <c:v>1135.9407000000001</c:v>
                </c:pt>
                <c:pt idx="1245">
                  <c:v>5615.3689999999997</c:v>
                </c:pt>
                <c:pt idx="1246">
                  <c:v>9101.7980000000007</c:v>
                </c:pt>
                <c:pt idx="1247">
                  <c:v>6059.1729999999998</c:v>
                </c:pt>
                <c:pt idx="1248">
                  <c:v>1633.9618</c:v>
                </c:pt>
                <c:pt idx="1249">
                  <c:v>37607.527699999999</c:v>
                </c:pt>
                <c:pt idx="1250">
                  <c:v>18648.421699999999</c:v>
                </c:pt>
                <c:pt idx="1251">
                  <c:v>1241.5650000000001</c:v>
                </c:pt>
                <c:pt idx="1252">
                  <c:v>16232.847</c:v>
                </c:pt>
                <c:pt idx="1253">
                  <c:v>15828.8217</c:v>
                </c:pt>
                <c:pt idx="1254">
                  <c:v>4415.1588000000002</c:v>
                </c:pt>
                <c:pt idx="1255">
                  <c:v>6474.0129999999999</c:v>
                </c:pt>
                <c:pt idx="1256">
                  <c:v>11436.7382</c:v>
                </c:pt>
                <c:pt idx="1257">
                  <c:v>11305.934600000001</c:v>
                </c:pt>
                <c:pt idx="1258">
                  <c:v>30063.580600000001</c:v>
                </c:pt>
                <c:pt idx="1259">
                  <c:v>10197.772199999999</c:v>
                </c:pt>
                <c:pt idx="1260">
                  <c:v>4544.2348000000002</c:v>
                </c:pt>
                <c:pt idx="1261">
                  <c:v>3277.1610000000001</c:v>
                </c:pt>
                <c:pt idx="1262">
                  <c:v>6770.1925000000001</c:v>
                </c:pt>
                <c:pt idx="1263">
                  <c:v>7337.7479999999996</c:v>
                </c:pt>
                <c:pt idx="1264">
                  <c:v>10370.9126</c:v>
                </c:pt>
                <c:pt idx="1265">
                  <c:v>26926.5144</c:v>
                </c:pt>
                <c:pt idx="1266">
                  <c:v>10704.47</c:v>
                </c:pt>
                <c:pt idx="1267">
                  <c:v>34254.053399999997</c:v>
                </c:pt>
                <c:pt idx="1268">
                  <c:v>1880.4870000000001</c:v>
                </c:pt>
                <c:pt idx="1269">
                  <c:v>8615.2999999999993</c:v>
                </c:pt>
                <c:pt idx="1270">
                  <c:v>3292.5297999999998</c:v>
                </c:pt>
                <c:pt idx="1271">
                  <c:v>3021.8092000000001</c:v>
                </c:pt>
                <c:pt idx="1272">
                  <c:v>14478.3302</c:v>
                </c:pt>
                <c:pt idx="1273">
                  <c:v>4747.0528999999997</c:v>
                </c:pt>
                <c:pt idx="1274">
                  <c:v>17043.341400000001</c:v>
                </c:pt>
                <c:pt idx="1275">
                  <c:v>10959.33</c:v>
                </c:pt>
                <c:pt idx="1276">
                  <c:v>2741.9479999999999</c:v>
                </c:pt>
                <c:pt idx="1277">
                  <c:v>4357.0436</c:v>
                </c:pt>
                <c:pt idx="1278">
                  <c:v>22462.043799999999</c:v>
                </c:pt>
                <c:pt idx="1279">
                  <c:v>4189.1130999999996</c:v>
                </c:pt>
                <c:pt idx="1280">
                  <c:v>8283.6807000000008</c:v>
                </c:pt>
                <c:pt idx="1281">
                  <c:v>24535.6986</c:v>
                </c:pt>
                <c:pt idx="1282">
                  <c:v>14283.4594</c:v>
                </c:pt>
                <c:pt idx="1283">
                  <c:v>1720.3536999999999</c:v>
                </c:pt>
                <c:pt idx="1284">
                  <c:v>47403.88</c:v>
                </c:pt>
                <c:pt idx="1285">
                  <c:v>8534.6718000000001</c:v>
                </c:pt>
                <c:pt idx="1286">
                  <c:v>3732.6251000000002</c:v>
                </c:pt>
                <c:pt idx="1287">
                  <c:v>5472.4489999999996</c:v>
                </c:pt>
                <c:pt idx="1288">
                  <c:v>38344.565999999999</c:v>
                </c:pt>
                <c:pt idx="1289">
                  <c:v>7147.4727999999996</c:v>
                </c:pt>
                <c:pt idx="1290">
                  <c:v>7133.9025000000001</c:v>
                </c:pt>
                <c:pt idx="1291">
                  <c:v>34828.654000000002</c:v>
                </c:pt>
                <c:pt idx="1292">
                  <c:v>1515.3449000000001</c:v>
                </c:pt>
                <c:pt idx="1293">
                  <c:v>9301.8935999999994</c:v>
                </c:pt>
                <c:pt idx="1294">
                  <c:v>11931.1252</c:v>
                </c:pt>
                <c:pt idx="1295">
                  <c:v>1964.78</c:v>
                </c:pt>
                <c:pt idx="1296">
                  <c:v>1708.9258</c:v>
                </c:pt>
                <c:pt idx="1297">
                  <c:v>4340.4408999999996</c:v>
                </c:pt>
                <c:pt idx="1298">
                  <c:v>5261.4694</c:v>
                </c:pt>
                <c:pt idx="1299">
                  <c:v>2710.8285999999998</c:v>
                </c:pt>
                <c:pt idx="1300">
                  <c:v>62592.873099999997</c:v>
                </c:pt>
                <c:pt idx="1301">
                  <c:v>46718.163200000003</c:v>
                </c:pt>
                <c:pt idx="1302">
                  <c:v>3208.7869999999998</c:v>
                </c:pt>
                <c:pt idx="1303">
                  <c:v>37829.724199999997</c:v>
                </c:pt>
                <c:pt idx="1304">
                  <c:v>21259.378000000001</c:v>
                </c:pt>
                <c:pt idx="1305">
                  <c:v>2464.6188000000002</c:v>
                </c:pt>
                <c:pt idx="1306">
                  <c:v>16115.3045</c:v>
                </c:pt>
                <c:pt idx="1307">
                  <c:v>21472.478800000001</c:v>
                </c:pt>
                <c:pt idx="1308">
                  <c:v>33900.652999999998</c:v>
                </c:pt>
                <c:pt idx="1309">
                  <c:v>6875.9610000000002</c:v>
                </c:pt>
                <c:pt idx="1310">
                  <c:v>6940.9098000000004</c:v>
                </c:pt>
                <c:pt idx="1311">
                  <c:v>4571.4129999999996</c:v>
                </c:pt>
                <c:pt idx="1312">
                  <c:v>4536.259</c:v>
                </c:pt>
                <c:pt idx="1313">
                  <c:v>36397.576000000001</c:v>
                </c:pt>
                <c:pt idx="1314">
                  <c:v>18765.875400000001</c:v>
                </c:pt>
                <c:pt idx="1315">
                  <c:v>11272.331399999999</c:v>
                </c:pt>
                <c:pt idx="1316">
                  <c:v>1731.6769999999999</c:v>
                </c:pt>
                <c:pt idx="1317">
                  <c:v>1163.4627</c:v>
                </c:pt>
                <c:pt idx="1318">
                  <c:v>19496.7192</c:v>
                </c:pt>
                <c:pt idx="1319">
                  <c:v>7201.7007999999996</c:v>
                </c:pt>
                <c:pt idx="1320">
                  <c:v>5425.0234</c:v>
                </c:pt>
                <c:pt idx="1321">
                  <c:v>28101.332999999999</c:v>
                </c:pt>
                <c:pt idx="1322">
                  <c:v>12981.3457</c:v>
                </c:pt>
                <c:pt idx="1323">
                  <c:v>43896.376300000004</c:v>
                </c:pt>
                <c:pt idx="1324">
                  <c:v>4239.8926000000001</c:v>
                </c:pt>
                <c:pt idx="1325">
                  <c:v>13143.336600000001</c:v>
                </c:pt>
                <c:pt idx="1326">
                  <c:v>7050.0213000000003</c:v>
                </c:pt>
                <c:pt idx="1327">
                  <c:v>9377.9046999999991</c:v>
                </c:pt>
                <c:pt idx="1328">
                  <c:v>22395.744200000001</c:v>
                </c:pt>
                <c:pt idx="1329">
                  <c:v>10325.206</c:v>
                </c:pt>
                <c:pt idx="1330">
                  <c:v>12629.1656</c:v>
                </c:pt>
                <c:pt idx="1331">
                  <c:v>10795.9373</c:v>
                </c:pt>
                <c:pt idx="1332">
                  <c:v>11411.684999999999</c:v>
                </c:pt>
                <c:pt idx="1333">
                  <c:v>10600.5483</c:v>
                </c:pt>
                <c:pt idx="1334">
                  <c:v>2205.9807999999998</c:v>
                </c:pt>
                <c:pt idx="1335">
                  <c:v>1629.8335</c:v>
                </c:pt>
                <c:pt idx="1336">
                  <c:v>2007.9449999999999</c:v>
                </c:pt>
                <c:pt idx="1337">
                  <c:v>29141.3603</c:v>
                </c:pt>
              </c:numCache>
            </c:numRef>
          </c:yVal>
          <c:smooth val="0"/>
          <c:extLst>
            <c:ext xmlns:c16="http://schemas.microsoft.com/office/drawing/2014/chart" uri="{C3380CC4-5D6E-409C-BE32-E72D297353CC}">
              <c16:uniqueId val="{00000001-D8B9-4A3D-838E-EEC087E85C57}"/>
            </c:ext>
          </c:extLst>
        </c:ser>
        <c:dLbls>
          <c:showLegendKey val="0"/>
          <c:showVal val="0"/>
          <c:showCatName val="0"/>
          <c:showSerName val="0"/>
          <c:showPercent val="0"/>
          <c:showBubbleSize val="0"/>
        </c:dLbls>
        <c:axId val="1854416127"/>
        <c:axId val="1854416607"/>
      </c:scatterChart>
      <c:valAx>
        <c:axId val="18544161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 of children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416607"/>
        <c:crosses val="autoZero"/>
        <c:crossBetween val="midCat"/>
      </c:valAx>
      <c:valAx>
        <c:axId val="18544166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Charges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409]#,##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41612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[HealthChargesDashboard.xlsm]Pivot!PivotTable1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Pivot!$B$3:$B$4</c:f>
              <c:strCache>
                <c:ptCount val="1"/>
                <c:pt idx="0">
                  <c:v>male</c:v>
                </c:pt>
              </c:strCache>
            </c:strRef>
          </c:tx>
          <c:spPr>
            <a:solidFill>
              <a:schemeClr val="accent1"/>
            </a:solidFill>
            <a:ln>
              <a:noFill/>
            </a:ln>
            <a:effectLst/>
          </c:spPr>
          <c:invertIfNegative val="0"/>
          <c:cat>
            <c:strRef>
              <c:f>Pivot!$A$5:$A$7</c:f>
              <c:strCache>
                <c:ptCount val="2"/>
                <c:pt idx="0">
                  <c:v>yes</c:v>
                </c:pt>
                <c:pt idx="1">
                  <c:v>no</c:v>
                </c:pt>
              </c:strCache>
            </c:strRef>
          </c:cat>
          <c:val>
            <c:numRef>
              <c:f>Pivot!$B$5:$B$7</c:f>
              <c:numCache>
                <c:formatCode>General</c:formatCode>
                <c:ptCount val="2"/>
                <c:pt idx="0">
                  <c:v>159</c:v>
                </c:pt>
                <c:pt idx="1">
                  <c:v>517</c:v>
                </c:pt>
              </c:numCache>
            </c:numRef>
          </c:val>
          <c:extLst>
            <c:ext xmlns:c16="http://schemas.microsoft.com/office/drawing/2014/chart" uri="{C3380CC4-5D6E-409C-BE32-E72D297353CC}">
              <c16:uniqueId val="{00000000-0D60-4093-A25C-DFA280E5220C}"/>
            </c:ext>
          </c:extLst>
        </c:ser>
        <c:ser>
          <c:idx val="1"/>
          <c:order val="1"/>
          <c:tx>
            <c:strRef>
              <c:f>Pivot!$C$3:$C$4</c:f>
              <c:strCache>
                <c:ptCount val="1"/>
                <c:pt idx="0">
                  <c:v>female</c:v>
                </c:pt>
              </c:strCache>
            </c:strRef>
          </c:tx>
          <c:spPr>
            <a:solidFill>
              <a:schemeClr val="accent2"/>
            </a:solidFill>
            <a:ln>
              <a:noFill/>
            </a:ln>
            <a:effectLst/>
          </c:spPr>
          <c:invertIfNegative val="0"/>
          <c:cat>
            <c:strRef>
              <c:f>Pivot!$A$5:$A$7</c:f>
              <c:strCache>
                <c:ptCount val="2"/>
                <c:pt idx="0">
                  <c:v>yes</c:v>
                </c:pt>
                <c:pt idx="1">
                  <c:v>no</c:v>
                </c:pt>
              </c:strCache>
            </c:strRef>
          </c:cat>
          <c:val>
            <c:numRef>
              <c:f>Pivot!$C$5:$C$7</c:f>
              <c:numCache>
                <c:formatCode>General</c:formatCode>
                <c:ptCount val="2"/>
                <c:pt idx="0">
                  <c:v>115</c:v>
                </c:pt>
                <c:pt idx="1">
                  <c:v>547</c:v>
                </c:pt>
              </c:numCache>
            </c:numRef>
          </c:val>
          <c:extLst>
            <c:ext xmlns:c16="http://schemas.microsoft.com/office/drawing/2014/chart" uri="{C3380CC4-5D6E-409C-BE32-E72D297353CC}">
              <c16:uniqueId val="{00000003-0D60-4093-A25C-DFA280E5220C}"/>
            </c:ext>
          </c:extLst>
        </c:ser>
        <c:dLbls>
          <c:showLegendKey val="0"/>
          <c:showVal val="0"/>
          <c:showCatName val="0"/>
          <c:showSerName val="0"/>
          <c:showPercent val="0"/>
          <c:showBubbleSize val="0"/>
        </c:dLbls>
        <c:gapWidth val="219"/>
        <c:overlap val="-27"/>
        <c:axId val="663715263"/>
        <c:axId val="663713343"/>
      </c:barChart>
      <c:catAx>
        <c:axId val="663715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713343"/>
        <c:crosses val="autoZero"/>
        <c:auto val="1"/>
        <c:lblAlgn val="ctr"/>
        <c:lblOffset val="100"/>
        <c:noMultiLvlLbl val="0"/>
      </c:catAx>
      <c:valAx>
        <c:axId val="66371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7152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[HealthChargesDashboard.xlsm]Pivot!PivotBMIVsCharges</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Pivot!$F$3</c:f>
              <c:strCache>
                <c:ptCount val="1"/>
                <c:pt idx="0">
                  <c:v>Total</c:v>
                </c:pt>
              </c:strCache>
            </c:strRef>
          </c:tx>
          <c:spPr>
            <a:solidFill>
              <a:schemeClr val="accent1"/>
            </a:solidFill>
            <a:ln>
              <a:noFill/>
            </a:ln>
            <a:effectLst/>
          </c:spPr>
          <c:invertIfNegative val="0"/>
          <c:cat>
            <c:strRef>
              <c:f>Pivot!$E$4:$E$8</c:f>
              <c:strCache>
                <c:ptCount val="4"/>
                <c:pt idx="0">
                  <c:v>15-25</c:v>
                </c:pt>
                <c:pt idx="1">
                  <c:v>25-35</c:v>
                </c:pt>
                <c:pt idx="2">
                  <c:v>35-45</c:v>
                </c:pt>
                <c:pt idx="3">
                  <c:v>45-55</c:v>
                </c:pt>
              </c:strCache>
            </c:strRef>
          </c:cat>
          <c:val>
            <c:numRef>
              <c:f>Pivot!$F$4:$F$8</c:f>
              <c:numCache>
                <c:formatCode>General</c:formatCode>
                <c:ptCount val="4"/>
                <c:pt idx="0">
                  <c:v>10282.224468979595</c:v>
                </c:pt>
                <c:pt idx="1">
                  <c:v>12714.635430888005</c:v>
                </c:pt>
                <c:pt idx="2">
                  <c:v>16913.681516554054</c:v>
                </c:pt>
                <c:pt idx="3">
                  <c:v>17547.926749999999</c:v>
                </c:pt>
              </c:numCache>
            </c:numRef>
          </c:val>
          <c:extLst>
            <c:ext xmlns:c16="http://schemas.microsoft.com/office/drawing/2014/chart" uri="{C3380CC4-5D6E-409C-BE32-E72D297353CC}">
              <c16:uniqueId val="{00000000-FE7C-4C21-8800-BFC8D7A5CEE3}"/>
            </c:ext>
          </c:extLst>
        </c:ser>
        <c:dLbls>
          <c:showLegendKey val="0"/>
          <c:showVal val="0"/>
          <c:showCatName val="0"/>
          <c:showSerName val="0"/>
          <c:showPercent val="0"/>
          <c:showBubbleSize val="0"/>
        </c:dLbls>
        <c:gapWidth val="182"/>
        <c:axId val="2093466911"/>
        <c:axId val="699974879"/>
      </c:barChart>
      <c:catAx>
        <c:axId val="20934669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974879"/>
        <c:crosses val="autoZero"/>
        <c:auto val="1"/>
        <c:lblAlgn val="ctr"/>
        <c:lblOffset val="100"/>
        <c:noMultiLvlLbl val="0"/>
      </c:catAx>
      <c:valAx>
        <c:axId val="6999748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34669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[HealthChargesDashboard.xlsm]Pivot!PivotBMIRangeVsCharges</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baseline="0"/>
              <a:t>Medical Charges by BMI Group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Pivot!$I$3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Pivot!$H$4:$H$8</c:f>
              <c:strCache>
                <c:ptCount val="4"/>
                <c:pt idx="0">
                  <c:v>Underweight</c:v>
                </c:pt>
                <c:pt idx="1">
                  <c:v>Healthy Weight</c:v>
                </c:pt>
                <c:pt idx="2">
                  <c:v>Obese</c:v>
                </c:pt>
                <c:pt idx="3">
                  <c:v>Overweight</c:v>
                </c:pt>
              </c:strCache>
            </c:strRef>
          </c:cat>
          <c:val>
            <c:numRef>
              <c:f>Pivot!$I$4:$I$8</c:f>
              <c:numCache>
                <c:formatCode>[$$-409]#,##0</c:formatCode>
                <c:ptCount val="4"/>
                <c:pt idx="0">
                  <c:v>8852.2005700000009</c:v>
                </c:pt>
                <c:pt idx="1">
                  <c:v>10379.49972747748</c:v>
                </c:pt>
                <c:pt idx="2">
                  <c:v>15552.335468458263</c:v>
                </c:pt>
                <c:pt idx="3">
                  <c:v>11000.079335475581</c:v>
                </c:pt>
              </c:numCache>
            </c:numRef>
          </c:val>
          <c:extLst>
            <c:ext xmlns:c16="http://schemas.microsoft.com/office/drawing/2014/chart" uri="{C3380CC4-5D6E-409C-BE32-E72D297353CC}">
              <c16:uniqueId val="{00000000-2A00-4E7F-A68F-D7C6DAAAF3B1}"/>
            </c:ext>
          </c:extLst>
        </c:ser>
        <c:dLbls>
          <c:dLblPos val="outEnd"/>
          <c:showLegendKey val="0"/>
          <c:showVal val="1"/>
          <c:showCatName val="0"/>
          <c:showSerName val="0"/>
          <c:showPercent val="0"/>
          <c:showBubbleSize val="0"/>
        </c:dLbls>
        <c:gapWidth val="150"/>
        <c:axId val="2087492687"/>
        <c:axId val="2087493167"/>
      </c:barChart>
      <c:catAx>
        <c:axId val="20874926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7493167"/>
        <c:crosses val="autoZero"/>
        <c:auto val="1"/>
        <c:lblAlgn val="ctr"/>
        <c:lblOffset val="100"/>
        <c:noMultiLvlLbl val="0"/>
      </c:catAx>
      <c:valAx>
        <c:axId val="2087493167"/>
        <c:scaling>
          <c:orientation val="minMax"/>
        </c:scaling>
        <c:delete val="1"/>
        <c:axPos val="b"/>
        <c:numFmt formatCode="[$$-409]#,##0" sourceLinked="1"/>
        <c:majorTickMark val="none"/>
        <c:minorTickMark val="none"/>
        <c:tickLblPos val="nextTo"/>
        <c:crossAx val="2087492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[HealthChargesDashboard.xlsm]Pivot!PivotTable8</c:name>
    <c:fmtId val="1"/>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Pivot!$L$3:$L$4</c:f>
              <c:strCache>
                <c:ptCount val="1"/>
                <c:pt idx="0">
                  <c:v>no</c:v>
                </c:pt>
              </c:strCache>
            </c:strRef>
          </c:tx>
          <c:spPr>
            <a:ln w="28575" cap="rnd">
              <a:solidFill>
                <a:schemeClr val="accent1"/>
              </a:solidFill>
              <a:round/>
            </a:ln>
            <a:effectLst/>
          </c:spPr>
          <c:marker>
            <c:symbol val="none"/>
          </c:marker>
          <c:cat>
            <c:strRef>
              <c:f>Pivot!$K$5:$K$9</c:f>
              <c:strCache>
                <c:ptCount val="4"/>
                <c:pt idx="0">
                  <c:v>Underweight</c:v>
                </c:pt>
                <c:pt idx="1">
                  <c:v>Healthy Weight</c:v>
                </c:pt>
                <c:pt idx="2">
                  <c:v>Obese</c:v>
                </c:pt>
                <c:pt idx="3">
                  <c:v>Overweight</c:v>
                </c:pt>
              </c:strCache>
            </c:strRef>
          </c:cat>
          <c:val>
            <c:numRef>
              <c:f>Pivot!$L$5:$L$9</c:f>
              <c:numCache>
                <c:formatCode>General</c:formatCode>
                <c:ptCount val="4"/>
                <c:pt idx="0">
                  <c:v>5532.9924400000009</c:v>
                </c:pt>
                <c:pt idx="1">
                  <c:v>7599.6381261627903</c:v>
                </c:pt>
                <c:pt idx="2">
                  <c:v>8842.6915467971558</c:v>
                </c:pt>
                <c:pt idx="3">
                  <c:v>8299.4799152380965</c:v>
                </c:pt>
              </c:numCache>
            </c:numRef>
          </c:val>
          <c:smooth val="0"/>
          <c:extLst>
            <c:ext xmlns:c16="http://schemas.microsoft.com/office/drawing/2014/chart" uri="{C3380CC4-5D6E-409C-BE32-E72D297353CC}">
              <c16:uniqueId val="{00000000-33CF-4D2E-91EE-C7F53A5418C2}"/>
            </c:ext>
          </c:extLst>
        </c:ser>
        <c:ser>
          <c:idx val="1"/>
          <c:order val="1"/>
          <c:tx>
            <c:strRef>
              <c:f>Pivot!$M$3:$M$4</c:f>
              <c:strCache>
                <c:ptCount val="1"/>
                <c:pt idx="0">
                  <c:v>yes</c:v>
                </c:pt>
              </c:strCache>
            </c:strRef>
          </c:tx>
          <c:spPr>
            <a:ln w="28575" cap="rnd">
              <a:solidFill>
                <a:schemeClr val="accent2"/>
              </a:solidFill>
              <a:round/>
            </a:ln>
            <a:effectLst/>
          </c:spPr>
          <c:marker>
            <c:symbol val="none"/>
          </c:marker>
          <c:cat>
            <c:strRef>
              <c:f>Pivot!$K$5:$K$9</c:f>
              <c:strCache>
                <c:ptCount val="4"/>
                <c:pt idx="0">
                  <c:v>Underweight</c:v>
                </c:pt>
                <c:pt idx="1">
                  <c:v>Healthy Weight</c:v>
                </c:pt>
                <c:pt idx="2">
                  <c:v>Obese</c:v>
                </c:pt>
                <c:pt idx="3">
                  <c:v>Overweight</c:v>
                </c:pt>
              </c:strCache>
            </c:strRef>
          </c:cat>
          <c:val>
            <c:numRef>
              <c:f>Pivot!$M$5:$M$9</c:f>
              <c:numCache>
                <c:formatCode>General</c:formatCode>
                <c:ptCount val="4"/>
                <c:pt idx="0">
                  <c:v>18809.824960000002</c:v>
                </c:pt>
                <c:pt idx="1">
                  <c:v>19942.223636000002</c:v>
                </c:pt>
                <c:pt idx="2">
                  <c:v>41557.98984068969</c:v>
                </c:pt>
                <c:pt idx="3">
                  <c:v>22495.874164864876</c:v>
                </c:pt>
              </c:numCache>
            </c:numRef>
          </c:val>
          <c:smooth val="0"/>
          <c:extLst>
            <c:ext xmlns:c16="http://schemas.microsoft.com/office/drawing/2014/chart" uri="{C3380CC4-5D6E-409C-BE32-E72D297353CC}">
              <c16:uniqueId val="{00000001-33CF-4D2E-91EE-C7F53A5418C2}"/>
            </c:ext>
          </c:extLst>
        </c:ser>
        <c:dLbls>
          <c:showLegendKey val="0"/>
          <c:showVal val="0"/>
          <c:showCatName val="0"/>
          <c:showSerName val="0"/>
          <c:showPercent val="0"/>
          <c:showBubbleSize val="0"/>
        </c:dLbls>
        <c:smooth val="0"/>
        <c:axId val="719889551"/>
        <c:axId val="719890031"/>
      </c:lineChart>
      <c:catAx>
        <c:axId val="719889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9890031"/>
        <c:crosses val="autoZero"/>
        <c:auto val="1"/>
        <c:lblAlgn val="ctr"/>
        <c:lblOffset val="100"/>
        <c:noMultiLvlLbl val="0"/>
      </c:catAx>
      <c:valAx>
        <c:axId val="719890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98895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[HealthChargesDashboard.xlsm]Pivot!PivotAgeVsCharges</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baseline="0"/>
              <a:t>Average Charges by Age Group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Pivot!$P$3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Pivot!$O$4:$O$9</c:f>
              <c:strCache>
                <c:ptCount val="5"/>
                <c:pt idx="0">
                  <c:v>18-27</c:v>
                </c:pt>
                <c:pt idx="1">
                  <c:v>28-37</c:v>
                </c:pt>
                <c:pt idx="2">
                  <c:v>38-47</c:v>
                </c:pt>
                <c:pt idx="3">
                  <c:v>48-57</c:v>
                </c:pt>
                <c:pt idx="4">
                  <c:v>58-67</c:v>
                </c:pt>
              </c:strCache>
            </c:strRef>
          </c:cat>
          <c:val>
            <c:numRef>
              <c:f>Pivot!$P$4:$P$9</c:f>
              <c:numCache>
                <c:formatCode>[$$-409]#,##0</c:formatCode>
                <c:ptCount val="5"/>
                <c:pt idx="0">
                  <c:v>9098.1922464088457</c:v>
                </c:pt>
                <c:pt idx="1">
                  <c:v>11661.811599236638</c:v>
                </c:pt>
                <c:pt idx="2">
                  <c:v>13730.042356250007</c:v>
                </c:pt>
                <c:pt idx="3">
                  <c:v>15937.657552158273</c:v>
                </c:pt>
                <c:pt idx="4">
                  <c:v>19766.124609756094</c:v>
                </c:pt>
              </c:numCache>
            </c:numRef>
          </c:val>
          <c:smooth val="0"/>
          <c:extLst>
            <c:ext xmlns:c16="http://schemas.microsoft.com/office/drawing/2014/chart" uri="{C3380CC4-5D6E-409C-BE32-E72D297353CC}">
              <c16:uniqueId val="{00000000-91AE-4D66-B52C-712B5DBD4DF9}"/>
            </c:ext>
          </c:extLst>
        </c:ser>
        <c:dLbls>
          <c:dLblPos val="t"/>
          <c:showLegendKey val="0"/>
          <c:showVal val="1"/>
          <c:showCatName val="0"/>
          <c:showSerName val="0"/>
          <c:showPercent val="0"/>
          <c:showBubbleSize val="0"/>
        </c:dLbls>
        <c:marker val="1"/>
        <c:smooth val="0"/>
        <c:axId val="716857519"/>
        <c:axId val="716855119"/>
      </c:lineChart>
      <c:catAx>
        <c:axId val="716857519"/>
        <c:scaling>
          <c:orientation val="minMax"/>
        </c:scaling>
        <c:delete val="0"/>
        <c:axPos val="b"/>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Age Group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6855119"/>
        <c:crosses val="autoZero"/>
        <c:auto val="1"/>
        <c:lblAlgn val="ctr"/>
        <c:lblOffset val="100"/>
        <c:noMultiLvlLbl val="0"/>
      </c:catAx>
      <c:valAx>
        <c:axId val="716855119"/>
        <c:scaling>
          <c:orientation val="minMax"/>
        </c:scaling>
        <c:delete val="1"/>
        <c:axPos val="l"/>
        <c:numFmt formatCode="[$$-409]#,##0" sourceLinked="1"/>
        <c:majorTickMark val="none"/>
        <c:minorTickMark val="none"/>
        <c:tickLblPos val="nextTo"/>
        <c:crossAx val="716857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[HealthChargesDashboard.xlsm]Pivot!PivotChildrenVsCharges</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Pivot!$S$3</c:f>
              <c:strCache>
                <c:ptCount val="1"/>
                <c:pt idx="0">
                  <c:v>Total</c:v>
                </c:pt>
              </c:strCache>
            </c:strRef>
          </c:tx>
          <c:spPr>
            <a:solidFill>
              <a:schemeClr val="accent1"/>
            </a:solidFill>
            <a:ln>
              <a:noFill/>
            </a:ln>
            <a:effectLst/>
          </c:spPr>
          <c:invertIfNegative val="0"/>
          <c:cat>
            <c:strRef>
              <c:f>Pivot!$R$4:$R$10</c:f>
              <c:strCache>
                <c:ptCount val="6"/>
                <c:pt idx="0">
                  <c:v>0</c:v>
                </c:pt>
                <c:pt idx="1">
                  <c:v>1</c:v>
                </c:pt>
                <c:pt idx="2">
                  <c:v>2</c:v>
                </c:pt>
                <c:pt idx="3">
                  <c:v>3</c:v>
                </c:pt>
                <c:pt idx="4">
                  <c:v>4</c:v>
                </c:pt>
                <c:pt idx="5">
                  <c:v>5</c:v>
                </c:pt>
              </c:strCache>
            </c:strRef>
          </c:cat>
          <c:val>
            <c:numRef>
              <c:f>Pivot!$S$4:$S$10</c:f>
              <c:numCache>
                <c:formatCode>General</c:formatCode>
                <c:ptCount val="6"/>
                <c:pt idx="0">
                  <c:v>12365.975600174219</c:v>
                </c:pt>
                <c:pt idx="1">
                  <c:v>12731.171830555555</c:v>
                </c:pt>
                <c:pt idx="2">
                  <c:v>15073.563730416663</c:v>
                </c:pt>
                <c:pt idx="3">
                  <c:v>15355.318366242036</c:v>
                </c:pt>
                <c:pt idx="4">
                  <c:v>13850.656308</c:v>
                </c:pt>
                <c:pt idx="5">
                  <c:v>8786.0352500000008</c:v>
                </c:pt>
              </c:numCache>
            </c:numRef>
          </c:val>
          <c:extLst>
            <c:ext xmlns:c16="http://schemas.microsoft.com/office/drawing/2014/chart" uri="{C3380CC4-5D6E-409C-BE32-E72D297353CC}">
              <c16:uniqueId val="{00000000-014E-4BF8-A298-9952D090AE72}"/>
            </c:ext>
          </c:extLst>
        </c:ser>
        <c:dLbls>
          <c:showLegendKey val="0"/>
          <c:showVal val="0"/>
          <c:showCatName val="0"/>
          <c:showSerName val="0"/>
          <c:showPercent val="0"/>
          <c:showBubbleSize val="0"/>
        </c:dLbls>
        <c:gapWidth val="150"/>
        <c:axId val="724088863"/>
        <c:axId val="724087423"/>
      </c:barChart>
      <c:catAx>
        <c:axId val="724088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087423"/>
        <c:crosses val="autoZero"/>
        <c:auto val="1"/>
        <c:lblAlgn val="ctr"/>
        <c:lblOffset val="100"/>
        <c:noMultiLvlLbl val="0"/>
      </c:catAx>
      <c:valAx>
        <c:axId val="7240874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088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[HealthChargesDashboard.xlsm]Pivot!PivotTable7</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Pivot!$V$3</c:f>
              <c:strCache>
                <c:ptCount val="1"/>
                <c:pt idx="0">
                  <c:v>Total</c:v>
                </c:pt>
              </c:strCache>
            </c:strRef>
          </c:tx>
          <c:spPr>
            <a:solidFill>
              <a:schemeClr val="accent1"/>
            </a:solidFill>
            <a:ln>
              <a:noFill/>
            </a:ln>
            <a:effectLst/>
          </c:spPr>
          <c:invertIfNegative val="0"/>
          <c:cat>
            <c:strRef>
              <c:f>Pivot!$U$4:$U$8</c:f>
              <c:strCache>
                <c:ptCount val="4"/>
                <c:pt idx="0">
                  <c:v>northeast</c:v>
                </c:pt>
                <c:pt idx="1">
                  <c:v>northwest</c:v>
                </c:pt>
                <c:pt idx="2">
                  <c:v>southeast</c:v>
                </c:pt>
                <c:pt idx="3">
                  <c:v>southwest</c:v>
                </c:pt>
              </c:strCache>
            </c:strRef>
          </c:cat>
          <c:val>
            <c:numRef>
              <c:f>Pivot!$V$4:$V$8</c:f>
              <c:numCache>
                <c:formatCode>General</c:formatCode>
                <c:ptCount val="4"/>
                <c:pt idx="0">
                  <c:v>13406.384515740749</c:v>
                </c:pt>
                <c:pt idx="1">
                  <c:v>12417.575367384612</c:v>
                </c:pt>
                <c:pt idx="2">
                  <c:v>14735.411438461551</c:v>
                </c:pt>
                <c:pt idx="3">
                  <c:v>12346.937376923079</c:v>
                </c:pt>
              </c:numCache>
            </c:numRef>
          </c:val>
          <c:extLst>
            <c:ext xmlns:c16="http://schemas.microsoft.com/office/drawing/2014/chart" uri="{C3380CC4-5D6E-409C-BE32-E72D297353CC}">
              <c16:uniqueId val="{00000000-41D1-4308-A989-F9B744C93557}"/>
            </c:ext>
          </c:extLst>
        </c:ser>
        <c:dLbls>
          <c:showLegendKey val="0"/>
          <c:showVal val="0"/>
          <c:showCatName val="0"/>
          <c:showSerName val="0"/>
          <c:showPercent val="0"/>
          <c:showBubbleSize val="0"/>
        </c:dLbls>
        <c:gapWidth val="219"/>
        <c:axId val="799508095"/>
        <c:axId val="799510495"/>
      </c:barChart>
      <c:catAx>
        <c:axId val="799508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510495"/>
        <c:crosses val="autoZero"/>
        <c:auto val="1"/>
        <c:lblAlgn val="ctr"/>
        <c:lblOffset val="100"/>
        <c:noMultiLvlLbl val="0"/>
      </c:catAx>
      <c:valAx>
        <c:axId val="7995104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5080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[HealthChargesDashboard.xlsm]Pivot!PivotSmokerVsCharges</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Smoker Status Vs </a:t>
            </a:r>
          </a:p>
          <a:p>
            <a:pPr>
              <a:defRPr/>
            </a:pPr>
            <a:r>
              <a:rPr lang="en-US"/>
              <a:t>Avg Charges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Pivot!$Z$3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Pivot!$Y$4:$Y$6</c:f>
              <c:strCache>
                <c:ptCount val="2"/>
                <c:pt idx="0">
                  <c:v>non-smoker</c:v>
                </c:pt>
                <c:pt idx="1">
                  <c:v>smoker</c:v>
                </c:pt>
              </c:strCache>
            </c:strRef>
          </c:cat>
          <c:val>
            <c:numRef>
              <c:f>Pivot!$Z$4:$Z$6</c:f>
              <c:numCache>
                <c:formatCode>[$$-409]#,##0</c:formatCode>
                <c:ptCount val="2"/>
                <c:pt idx="0">
                  <c:v>8434.2682959586364</c:v>
                </c:pt>
                <c:pt idx="1">
                  <c:v>32050.231831021905</c:v>
                </c:pt>
              </c:numCache>
            </c:numRef>
          </c:val>
          <c:extLst>
            <c:ext xmlns:c16="http://schemas.microsoft.com/office/drawing/2014/chart" uri="{C3380CC4-5D6E-409C-BE32-E72D297353CC}">
              <c16:uniqueId val="{00000000-7768-4978-B98F-2B199E571614}"/>
            </c:ext>
          </c:extLst>
        </c:ser>
        <c:dLbls>
          <c:dLblPos val="outEnd"/>
          <c:showLegendKey val="0"/>
          <c:showVal val="1"/>
          <c:showCatName val="0"/>
          <c:showSerName val="0"/>
          <c:showPercent val="0"/>
          <c:showBubbleSize val="0"/>
        </c:dLbls>
        <c:gapWidth val="219"/>
        <c:overlap val="-27"/>
        <c:axId val="742576575"/>
        <c:axId val="742577055"/>
      </c:barChart>
      <c:catAx>
        <c:axId val="742576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577055"/>
        <c:crosses val="autoZero"/>
        <c:auto val="1"/>
        <c:lblAlgn val="ctr"/>
        <c:lblOffset val="100"/>
        <c:noMultiLvlLbl val="0"/>
      </c:catAx>
      <c:valAx>
        <c:axId val="742577055"/>
        <c:scaling>
          <c:orientation val="minMax"/>
        </c:scaling>
        <c:delete val="1"/>
        <c:axPos val="l"/>
        <c:numFmt formatCode="[$$-409]#,##0" sourceLinked="1"/>
        <c:majorTickMark val="none"/>
        <c:minorTickMark val="none"/>
        <c:tickLblPos val="nextTo"/>
        <c:crossAx val="742576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[HealthChargesDashboard.xlsm]Pivot!PivotBMIRangeVsCharges</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u="none" strike="noStrike" baseline="0">
                <a:solidFill>
                  <a:srgbClr val="2F5597"/>
                </a:solidFill>
                <a:latin typeface="Britannic Bold" panose="020B0903060703020204" pitchFamily="34" charset="0"/>
              </a:rPr>
              <a:t>Medical Charges by </a:t>
            </a:r>
            <a:r>
              <a:rPr lang="en-GB" sz="2400" b="0" i="0" u="sng" strike="noStrike" baseline="0">
                <a:solidFill>
                  <a:srgbClr val="44AFD0"/>
                </a:solidFill>
                <a:latin typeface="Britannic Bold" panose="020B0903060703020204" pitchFamily="34" charset="0"/>
              </a:rPr>
              <a:t>BMI</a:t>
            </a:r>
            <a:r>
              <a:rPr lang="en-GB" sz="1800" b="0" i="0" u="none" strike="noStrike" baseline="0">
                <a:solidFill>
                  <a:srgbClr val="2F5597"/>
                </a:solidFill>
                <a:latin typeface="Britannic Bold" panose="020B0903060703020204" pitchFamily="34" charset="0"/>
              </a:rPr>
              <a:t> Group</a:t>
            </a:r>
            <a:endParaRPr lang="en-US" sz="1800">
              <a:solidFill>
                <a:srgbClr val="2F5597"/>
              </a:solidFill>
              <a:latin typeface="Britannic Bold" panose="020B0903060703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DC3E6"/>
          </a:solidFill>
          <a:ln>
            <a:noFill/>
          </a:ln>
          <a:effectLst/>
        </c:spPr>
      </c:pivotFmt>
      <c:pivotFmt>
        <c:idx val="4"/>
        <c:spPr>
          <a:solidFill>
            <a:srgbClr val="9DC3E6"/>
          </a:solidFill>
          <a:ln>
            <a:noFill/>
          </a:ln>
          <a:effectLst/>
        </c:spPr>
      </c:pivotFmt>
      <c:pivotFmt>
        <c:idx val="5"/>
        <c:spPr>
          <a:solidFill>
            <a:srgbClr val="9DC3E6"/>
          </a:solidFill>
          <a:ln>
            <a:noFill/>
          </a:ln>
          <a:effectLst/>
        </c:spPr>
      </c:pivotFmt>
      <c:pivotFmt>
        <c:idx val="6"/>
        <c:spPr>
          <a:solidFill>
            <a:srgbClr val="2F5597"/>
          </a:solidFill>
          <a:ln>
            <a:noFill/>
          </a:ln>
          <a:effectLst/>
        </c:spPr>
      </c:pivotFmt>
    </c:pivotFmts>
    <c:plotArea>
      <c:layout/>
      <c:barChart>
        <c:barDir val="bar"/>
        <c:grouping val="clustered"/>
        <c:varyColors val="0"/>
        <c:ser>
          <c:idx val="0"/>
          <c:order val="0"/>
          <c:tx>
            <c:strRef>
              <c:f>Pivot!$I$3</c:f>
              <c:strCache>
                <c:ptCount val="1"/>
                <c:pt idx="0">
                  <c:v>Total</c:v>
                </c:pt>
              </c:strCache>
            </c:strRef>
          </c:tx>
          <c:spPr>
            <a:solidFill>
              <a:schemeClr val="accent1"/>
            </a:solidFill>
            <a:ln>
              <a:noFill/>
            </a:ln>
            <a:effectLst/>
          </c:spPr>
          <c:invertIfNegative val="0"/>
          <c:dPt>
            <c:idx val="0"/>
            <c:invertIfNegative val="0"/>
            <c:bubble3D val="0"/>
            <c:spPr>
              <a:solidFill>
                <a:srgbClr val="9DC3E6"/>
              </a:solidFill>
              <a:ln>
                <a:noFill/>
              </a:ln>
              <a:effectLst/>
            </c:spPr>
            <c:extLst>
              <c:ext xmlns:c16="http://schemas.microsoft.com/office/drawing/2014/chart" uri="{C3380CC4-5D6E-409C-BE32-E72D297353CC}">
                <c16:uniqueId val="{00000002-FF97-40B9-B51B-CC5048C19ABC}"/>
              </c:ext>
            </c:extLst>
          </c:dPt>
          <c:dPt>
            <c:idx val="1"/>
            <c:invertIfNegative val="0"/>
            <c:bubble3D val="0"/>
            <c:spPr>
              <a:solidFill>
                <a:srgbClr val="9DC3E6"/>
              </a:solidFill>
              <a:ln>
                <a:noFill/>
              </a:ln>
              <a:effectLst/>
            </c:spPr>
            <c:extLst>
              <c:ext xmlns:c16="http://schemas.microsoft.com/office/drawing/2014/chart" uri="{C3380CC4-5D6E-409C-BE32-E72D297353CC}">
                <c16:uniqueId val="{00000001-FF97-40B9-B51B-CC5048C19ABC}"/>
              </c:ext>
            </c:extLst>
          </c:dPt>
          <c:dPt>
            <c:idx val="2"/>
            <c:invertIfNegative val="0"/>
            <c:bubble3D val="0"/>
            <c:spPr>
              <a:solidFill>
                <a:srgbClr val="2F5597"/>
              </a:solidFill>
              <a:ln>
                <a:noFill/>
              </a:ln>
              <a:effectLst/>
            </c:spPr>
            <c:extLst>
              <c:ext xmlns:c16="http://schemas.microsoft.com/office/drawing/2014/chart" uri="{C3380CC4-5D6E-409C-BE32-E72D297353CC}">
                <c16:uniqueId val="{00000003-FF97-40B9-B51B-CC5048C19ABC}"/>
              </c:ext>
            </c:extLst>
          </c:dPt>
          <c:dPt>
            <c:idx val="3"/>
            <c:invertIfNegative val="0"/>
            <c:bubble3D val="0"/>
            <c:spPr>
              <a:solidFill>
                <a:srgbClr val="9DC3E6"/>
              </a:solidFill>
              <a:ln>
                <a:noFill/>
              </a:ln>
              <a:effectLst/>
            </c:spPr>
            <c:extLst>
              <c:ext xmlns:c16="http://schemas.microsoft.com/office/drawing/2014/chart" uri="{C3380CC4-5D6E-409C-BE32-E72D297353CC}">
                <c16:uniqueId val="{00000000-FF97-40B9-B51B-CC5048C19AB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Pivot!$H$4:$H$8</c:f>
              <c:strCache>
                <c:ptCount val="4"/>
                <c:pt idx="0">
                  <c:v>Underweight</c:v>
                </c:pt>
                <c:pt idx="1">
                  <c:v>Healthy Weight</c:v>
                </c:pt>
                <c:pt idx="2">
                  <c:v>Obese</c:v>
                </c:pt>
                <c:pt idx="3">
                  <c:v>Overweight</c:v>
                </c:pt>
              </c:strCache>
            </c:strRef>
          </c:cat>
          <c:val>
            <c:numRef>
              <c:f>Pivot!$I$4:$I$8</c:f>
              <c:numCache>
                <c:formatCode>[$$-409]#,##0</c:formatCode>
                <c:ptCount val="4"/>
                <c:pt idx="0">
                  <c:v>8852.2005700000009</c:v>
                </c:pt>
                <c:pt idx="1">
                  <c:v>10379.49972747748</c:v>
                </c:pt>
                <c:pt idx="2">
                  <c:v>15552.335468458263</c:v>
                </c:pt>
                <c:pt idx="3">
                  <c:v>11000.079335475581</c:v>
                </c:pt>
              </c:numCache>
            </c:numRef>
          </c:val>
          <c:extLst>
            <c:ext xmlns:c16="http://schemas.microsoft.com/office/drawing/2014/chart" uri="{C3380CC4-5D6E-409C-BE32-E72D297353CC}">
              <c16:uniqueId val="{00000000-E060-4C3A-99B1-BE24F26B69A8}"/>
            </c:ext>
          </c:extLst>
        </c:ser>
        <c:dLbls>
          <c:dLblPos val="outEnd"/>
          <c:showLegendKey val="0"/>
          <c:showVal val="1"/>
          <c:showCatName val="0"/>
          <c:showSerName val="0"/>
          <c:showPercent val="0"/>
          <c:showBubbleSize val="0"/>
        </c:dLbls>
        <c:gapWidth val="150"/>
        <c:axId val="2087492687"/>
        <c:axId val="2087493167"/>
      </c:barChart>
      <c:catAx>
        <c:axId val="2087492687"/>
        <c:scaling>
          <c:orientation val="minMax"/>
        </c:scaling>
        <c:delete val="0"/>
        <c:axPos val="l"/>
        <c:numFmt formatCode="General" sourceLinked="1"/>
        <c:majorTickMark val="none"/>
        <c:minorTickMark val="none"/>
        <c:tickLblPos val="nextTo"/>
        <c:spPr>
          <a:noFill/>
          <a:ln w="9525" cap="flat" cmpd="sng" algn="ctr">
            <a:solidFill>
              <a:schemeClr val="tx2">
                <a:lumMod val="90000"/>
                <a:lumOff val="10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2087493167"/>
        <c:crosses val="autoZero"/>
        <c:auto val="1"/>
        <c:lblAlgn val="ctr"/>
        <c:lblOffset val="100"/>
        <c:noMultiLvlLbl val="0"/>
      </c:catAx>
      <c:valAx>
        <c:axId val="2087493167"/>
        <c:scaling>
          <c:orientation val="minMax"/>
        </c:scaling>
        <c:delete val="1"/>
        <c:axPos val="b"/>
        <c:numFmt formatCode="[$$-409]#,##0" sourceLinked="1"/>
        <c:majorTickMark val="none"/>
        <c:minorTickMark val="none"/>
        <c:tickLblPos val="nextTo"/>
        <c:crossAx val="20874926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[HealthChargesDashboard.xlsm]Pivot!PivotAgeVsCharges</c:name>
    <c:fmtId val="10"/>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Britannic Bold" panose="020B0903060703020204" pitchFamily="34" charset="0"/>
                <a:ea typeface="+mn-ea"/>
                <a:cs typeface="+mn-cs"/>
              </a:defRPr>
            </a:pPr>
            <a:r>
              <a:rPr lang="en-GB" sz="2000" b="0" i="0" u="none" strike="noStrike" baseline="0">
                <a:solidFill>
                  <a:srgbClr val="2F5597"/>
                </a:solidFill>
                <a:latin typeface="Britannic Bold" panose="020B0903060703020204" pitchFamily="34" charset="0"/>
              </a:rPr>
              <a:t>Average Charges by </a:t>
            </a:r>
            <a:r>
              <a:rPr lang="en-GB" sz="2400" b="0" i="0" u="sng" strike="noStrike" baseline="0">
                <a:solidFill>
                  <a:srgbClr val="44AFD0"/>
                </a:solidFill>
                <a:latin typeface="Britannic Bold" panose="020B0903060703020204" pitchFamily="34" charset="0"/>
              </a:rPr>
              <a:t>Age</a:t>
            </a:r>
            <a:r>
              <a:rPr lang="en-GB" sz="2000" b="0" i="0" u="none" strike="noStrike" baseline="0">
                <a:solidFill>
                  <a:srgbClr val="2F5597"/>
                </a:solidFill>
                <a:latin typeface="Britannic Bold" panose="020B0903060703020204" pitchFamily="34" charset="0"/>
              </a:rPr>
              <a:t> Group</a:t>
            </a:r>
            <a:endParaRPr lang="en-US" sz="2000">
              <a:solidFill>
                <a:srgbClr val="2F5597"/>
              </a:solidFill>
              <a:latin typeface="Britannic Bold" panose="020B0903060703020204" pitchFamily="34" charset="0"/>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Britannic Bold" panose="020B0903060703020204" pitchFamily="34" charset="0"/>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Pivot!$P$3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Pivot!$O$4:$O$9</c:f>
              <c:strCache>
                <c:ptCount val="5"/>
                <c:pt idx="0">
                  <c:v>18-27</c:v>
                </c:pt>
                <c:pt idx="1">
                  <c:v>28-37</c:v>
                </c:pt>
                <c:pt idx="2">
                  <c:v>38-47</c:v>
                </c:pt>
                <c:pt idx="3">
                  <c:v>48-57</c:v>
                </c:pt>
                <c:pt idx="4">
                  <c:v>58-67</c:v>
                </c:pt>
              </c:strCache>
            </c:strRef>
          </c:cat>
          <c:val>
            <c:numRef>
              <c:f>Pivot!$P$4:$P$9</c:f>
              <c:numCache>
                <c:formatCode>[$$-409]#,##0</c:formatCode>
                <c:ptCount val="5"/>
                <c:pt idx="0">
                  <c:v>9098.1922464088457</c:v>
                </c:pt>
                <c:pt idx="1">
                  <c:v>11661.811599236638</c:v>
                </c:pt>
                <c:pt idx="2">
                  <c:v>13730.042356250007</c:v>
                </c:pt>
                <c:pt idx="3">
                  <c:v>15937.657552158273</c:v>
                </c:pt>
                <c:pt idx="4">
                  <c:v>19766.124609756094</c:v>
                </c:pt>
              </c:numCache>
            </c:numRef>
          </c:val>
          <c:smooth val="0"/>
          <c:extLst>
            <c:ext xmlns:c16="http://schemas.microsoft.com/office/drawing/2014/chart" uri="{C3380CC4-5D6E-409C-BE32-E72D297353CC}">
              <c16:uniqueId val="{00000000-013B-4BDA-B78F-3937895FA4BD}"/>
            </c:ext>
          </c:extLst>
        </c:ser>
        <c:dLbls>
          <c:dLblPos val="t"/>
          <c:showLegendKey val="0"/>
          <c:showVal val="1"/>
          <c:showCatName val="0"/>
          <c:showSerName val="0"/>
          <c:showPercent val="0"/>
          <c:showBubbleSize val="0"/>
        </c:dLbls>
        <c:marker val="1"/>
        <c:smooth val="0"/>
        <c:axId val="716857519"/>
        <c:axId val="716855119"/>
      </c:lineChart>
      <c:catAx>
        <c:axId val="716857519"/>
        <c:scaling>
          <c:orientation val="minMax"/>
        </c:scaling>
        <c:delete val="0"/>
        <c:axPos val="b"/>
        <c:minorGridlines>
          <c:spPr>
            <a:ln w="9525" cap="flat" cmpd="sng" algn="ctr">
              <a:solidFill>
                <a:schemeClr val="tx2">
                  <a:lumMod val="25000"/>
                  <a:lumOff val="75000"/>
                </a:schemeClr>
              </a:solidFill>
              <a:round/>
            </a:ln>
            <a:effectLst/>
          </c:spPr>
        </c:minorGridlines>
        <c:numFmt formatCode="General" sourceLinked="1"/>
        <c:majorTickMark val="none"/>
        <c:minorTickMark val="none"/>
        <c:tickLblPos val="nextTo"/>
        <c:spPr>
          <a:noFill/>
          <a:ln w="9525" cap="flat" cmpd="sng" algn="ctr">
            <a:solidFill>
              <a:schemeClr val="tx2">
                <a:lumMod val="50000"/>
                <a:lumOff val="50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16855119"/>
        <c:crosses val="autoZero"/>
        <c:auto val="1"/>
        <c:lblAlgn val="ctr"/>
        <c:lblOffset val="100"/>
        <c:noMultiLvlLbl val="0"/>
      </c:catAx>
      <c:valAx>
        <c:axId val="716855119"/>
        <c:scaling>
          <c:orientation val="minMax"/>
        </c:scaling>
        <c:delete val="1"/>
        <c:axPos val="l"/>
        <c:numFmt formatCode="[$$-409]#,##0" sourceLinked="1"/>
        <c:majorTickMark val="none"/>
        <c:minorTickMark val="none"/>
        <c:tickLblPos val="nextTo"/>
        <c:crossAx val="716857519"/>
        <c:crosses val="autoZero"/>
        <c:crossBetween val="between"/>
      </c:valAx>
      <c:spPr>
        <a:noFill/>
        <a:ln>
          <a:solidFill>
            <a:schemeClr val="tx2">
              <a:lumMod val="50000"/>
              <a:lumOff val="50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[HealthChargesDashboard.xlsm]Pivot!PivotSmokerVsCharges</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u="sng">
                <a:solidFill>
                  <a:srgbClr val="44AFD0"/>
                </a:solidFill>
                <a:latin typeface="Britannic Bold" panose="020B0903060703020204" pitchFamily="34" charset="0"/>
              </a:rPr>
              <a:t>Smoker</a:t>
            </a:r>
            <a:r>
              <a:rPr lang="en-US" sz="1800">
                <a:solidFill>
                  <a:srgbClr val="2F5597"/>
                </a:solidFill>
                <a:latin typeface="Britannic Bold" panose="020B0903060703020204" pitchFamily="34" charset="0"/>
              </a:rPr>
              <a:t> Status Vs </a:t>
            </a:r>
          </a:p>
          <a:p>
            <a:pPr>
              <a:defRPr/>
            </a:pPr>
            <a:r>
              <a:rPr lang="en-US" sz="1800">
                <a:solidFill>
                  <a:srgbClr val="2F5597"/>
                </a:solidFill>
                <a:latin typeface="Britannic Bold" panose="020B0903060703020204" pitchFamily="34" charset="0"/>
              </a:rPr>
              <a:t>Avg Charges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F5597"/>
          </a:solidFill>
          <a:ln>
            <a:noFill/>
          </a:ln>
          <a:effectLst/>
        </c:spPr>
      </c:pivotFmt>
      <c:pivotFmt>
        <c:idx val="4"/>
        <c:spPr>
          <a:solidFill>
            <a:srgbClr val="9DC3E6"/>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9DC3E6"/>
          </a:solidFill>
          <a:ln>
            <a:noFill/>
          </a:ln>
          <a:effectLst/>
        </c:spPr>
      </c:pivotFmt>
      <c:pivotFmt>
        <c:idx val="7"/>
        <c:spPr>
          <a:solidFill>
            <a:srgbClr val="2F5597"/>
          </a:solidFill>
          <a:ln>
            <a:noFill/>
          </a:ln>
          <a:effectLst/>
        </c:spPr>
      </c:pivotFmt>
    </c:pivotFmts>
    <c:plotArea>
      <c:layout/>
      <c:barChart>
        <c:barDir val="col"/>
        <c:grouping val="clustered"/>
        <c:varyColors val="0"/>
        <c:ser>
          <c:idx val="0"/>
          <c:order val="0"/>
          <c:tx>
            <c:strRef>
              <c:f>Pivot!$Z$3</c:f>
              <c:strCache>
                <c:ptCount val="1"/>
                <c:pt idx="0">
                  <c:v>Total</c:v>
                </c:pt>
              </c:strCache>
            </c:strRef>
          </c:tx>
          <c:spPr>
            <a:solidFill>
              <a:schemeClr val="accent1"/>
            </a:solidFill>
            <a:ln>
              <a:noFill/>
            </a:ln>
            <a:effectLst/>
          </c:spPr>
          <c:invertIfNegative val="0"/>
          <c:dPt>
            <c:idx val="0"/>
            <c:invertIfNegative val="0"/>
            <c:bubble3D val="0"/>
            <c:spPr>
              <a:solidFill>
                <a:srgbClr val="9DC3E6"/>
              </a:solidFill>
              <a:ln>
                <a:noFill/>
              </a:ln>
              <a:effectLst/>
            </c:spPr>
            <c:extLst>
              <c:ext xmlns:c16="http://schemas.microsoft.com/office/drawing/2014/chart" uri="{C3380CC4-5D6E-409C-BE32-E72D297353CC}">
                <c16:uniqueId val="{00000001-A59E-4716-B1E2-2C36AAC2C63A}"/>
              </c:ext>
            </c:extLst>
          </c:dPt>
          <c:dPt>
            <c:idx val="1"/>
            <c:invertIfNegative val="0"/>
            <c:bubble3D val="0"/>
            <c:spPr>
              <a:solidFill>
                <a:srgbClr val="2F5597"/>
              </a:solidFill>
              <a:ln>
                <a:noFill/>
              </a:ln>
              <a:effectLst/>
            </c:spPr>
            <c:extLst>
              <c:ext xmlns:c16="http://schemas.microsoft.com/office/drawing/2014/chart" uri="{C3380CC4-5D6E-409C-BE32-E72D297353CC}">
                <c16:uniqueId val="{00000000-A59E-4716-B1E2-2C36AAC2C63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Pivot!$Y$4:$Y$6</c:f>
              <c:strCache>
                <c:ptCount val="2"/>
                <c:pt idx="0">
                  <c:v>non-smoker</c:v>
                </c:pt>
                <c:pt idx="1">
                  <c:v>smoker</c:v>
                </c:pt>
              </c:strCache>
            </c:strRef>
          </c:cat>
          <c:val>
            <c:numRef>
              <c:f>Pivot!$Z$4:$Z$6</c:f>
              <c:numCache>
                <c:formatCode>[$$-409]#,##0</c:formatCode>
                <c:ptCount val="2"/>
                <c:pt idx="0">
                  <c:v>8434.2682959586364</c:v>
                </c:pt>
                <c:pt idx="1">
                  <c:v>32050.231831021905</c:v>
                </c:pt>
              </c:numCache>
            </c:numRef>
          </c:val>
          <c:extLst>
            <c:ext xmlns:c16="http://schemas.microsoft.com/office/drawing/2014/chart" uri="{C3380CC4-5D6E-409C-BE32-E72D297353CC}">
              <c16:uniqueId val="{00000000-D3CF-4198-8353-8D29BC59081E}"/>
            </c:ext>
          </c:extLst>
        </c:ser>
        <c:dLbls>
          <c:dLblPos val="outEnd"/>
          <c:showLegendKey val="0"/>
          <c:showVal val="1"/>
          <c:showCatName val="0"/>
          <c:showSerName val="0"/>
          <c:showPercent val="0"/>
          <c:showBubbleSize val="0"/>
        </c:dLbls>
        <c:gapWidth val="219"/>
        <c:overlap val="-27"/>
        <c:axId val="742576575"/>
        <c:axId val="742577055"/>
      </c:barChart>
      <c:catAx>
        <c:axId val="742576575"/>
        <c:scaling>
          <c:orientation val="minMax"/>
        </c:scaling>
        <c:delete val="0"/>
        <c:axPos val="b"/>
        <c:numFmt formatCode="General" sourceLinked="1"/>
        <c:majorTickMark val="none"/>
        <c:minorTickMark val="none"/>
        <c:tickLblPos val="nextTo"/>
        <c:spPr>
          <a:noFill/>
          <a:ln w="9525" cap="flat" cmpd="sng" algn="ctr">
            <a:solidFill>
              <a:schemeClr val="tx2"/>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742577055"/>
        <c:crosses val="autoZero"/>
        <c:auto val="1"/>
        <c:lblAlgn val="ctr"/>
        <c:lblOffset val="100"/>
        <c:noMultiLvlLbl val="0"/>
      </c:catAx>
      <c:valAx>
        <c:axId val="742577055"/>
        <c:scaling>
          <c:orientation val="minMax"/>
        </c:scaling>
        <c:delete val="1"/>
        <c:axPos val="l"/>
        <c:numFmt formatCode="[$$-409]#,##0" sourceLinked="1"/>
        <c:majorTickMark val="none"/>
        <c:minorTickMark val="none"/>
        <c:tickLblPos val="nextTo"/>
        <c:crossAx val="742576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rich>
          <a:bodyPr spcFirstLastPara="1" vertOverflow="ellipsis" horzOverflow="overflow" wrap="square" lIns="0" tIns="0" rIns="0" bIns="0" anchor="ctr" anchorCtr="1"/>
          <a:lstStyle/>
          <a:p>
            <a:pPr algn="ctr" rtl="0">
              <a:defRPr/>
            </a:pPr>
            <a:r>
              <a:rPr lang="en-GB"/>
              <a:t>Distribution of Medical Charges</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series layoutId="clusteredColumn" uniqueId="{ADB55220-C691-46C1-805E-F55F48DA9361}">
          <cx:dataLabels pos="inEnd">
            <cx:visibility seriesName="0" categoryName="0" value="1"/>
          </cx:dataLabels>
          <cx:dataId val="0"/>
          <cx:layoutPr>
            <cx:binning intervalClosed="r" overflow="auto">
              <cx:binCount val="8"/>
            </cx:binning>
          </cx:layoutPr>
        </cx:series>
      </cx:plotAreaRegion>
      <cx:axis id="0">
        <cx:catScaling gapWidth="0"/>
        <cx:tickLabels/>
        <cx:numFmt formatCode="[$$-en-US]#,##0,&quot;K&quot;" sourceLinked="0"/>
      </cx:axis>
      <cx:axis id="1" hidden="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_xlchart.v1.1</cx:f>
      </cx:strDim>
      <cx:numDim type="val">
        <cx:f>_xlchart.v1.3</cx:f>
      </cx:numDim>
    </cx:data>
  </cx:chartData>
  <cx:chart>
    <cx:title pos="t" align="ctr" overlay="0">
      <cx:tx>
        <cx:txData>
          <cx:v>Children Vs Charges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Children Vs Charges</a:t>
          </a:r>
        </a:p>
      </cx:txPr>
    </cx:title>
    <cx:plotArea>
      <cx:plotAreaRegion>
        <cx:series layoutId="boxWhisker" uniqueId="{00000003-8D75-4D6D-8E1D-BA8AE6AF20B5}" formatIdx="1">
          <cx:tx>
            <cx:txData>
              <cx:f>_xlchart.v1.2</cx:f>
              <cx:v>charges</cx:v>
            </cx:txData>
          </cx:tx>
          <cx:dataId val="0"/>
          <cx:layoutPr>
            <cx:statistics quartileMethod="exclusive"/>
          </cx:layoutPr>
        </cx:series>
      </cx:plotAreaRegion>
      <cx:axis id="0">
        <cx:catScaling gapWidth="1"/>
        <cx:title>
          <cx:tx>
            <cx:txData>
              <cx:v>No of  Children</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Aptos Narrow" panose="02110004020202020204"/>
                </a:rPr>
                <a:t>No of  Children</a:t>
              </a:r>
            </a:p>
          </cx:txPr>
        </cx:title>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val">
        <cx:f>_xlchart.v1.6</cx:f>
      </cx:numDim>
    </cx:data>
  </cx:chartData>
  <cx:chart>
    <cx:title pos="t" align="ctr" overlay="0">
      <cx:tx>
        <cx:rich>
          <a:bodyPr spcFirstLastPara="1" vertOverflow="ellipsis" horzOverflow="overflow" wrap="square" lIns="0" tIns="0" rIns="0" bIns="0" anchor="ctr" anchorCtr="1"/>
          <a:lstStyle/>
          <a:p>
            <a:pPr algn="ctr" rtl="0">
              <a:defRPr/>
            </a:pPr>
            <a:r>
              <a:rPr lang="en-US" sz="2400" b="0" i="0" u="sng" strike="noStrike" baseline="0">
                <a:solidFill>
                  <a:srgbClr val="44AFD0"/>
                </a:solidFill>
                <a:latin typeface="Britannic Bold" panose="020B0903060703020204" pitchFamily="34" charset="0"/>
              </a:rPr>
              <a:t>Number of Children</a:t>
            </a:r>
            <a:r>
              <a:rPr lang="en-US" sz="1800" b="0" i="0" u="none" strike="noStrike" baseline="0">
                <a:solidFill>
                  <a:srgbClr val="2F5597"/>
                </a:solidFill>
                <a:latin typeface="Britannic Bold" panose="020B0903060703020204" pitchFamily="34" charset="0"/>
              </a:rPr>
              <a:t> Vs Charges</a:t>
            </a:r>
          </a:p>
        </cx:rich>
      </cx:tx>
    </cx:title>
    <cx:plotArea>
      <cx:plotAreaRegion>
        <cx:plotSurface>
          <cx:spPr>
            <a:ln>
              <a:solidFill>
                <a:schemeClr val="tx2">
                  <a:lumMod val="25000"/>
                  <a:lumOff val="75000"/>
                </a:schemeClr>
              </a:solidFill>
            </a:ln>
          </cx:spPr>
        </cx:plotSurface>
        <cx:series layoutId="boxWhisker" uniqueId="{00000003-8D75-4D6D-8E1D-BA8AE6AF20B5}" formatIdx="1">
          <cx:tx>
            <cx:txData>
              <cx:f>_xlchart.v1.5</cx:f>
              <cx:v>charges</cx:v>
            </cx:txData>
          </cx:tx>
          <cx:dataId val="0"/>
          <cx:layoutPr>
            <cx:statistics quartileMethod="exclusive"/>
          </cx:layoutPr>
        </cx:series>
      </cx:plotAreaRegion>
      <cx:axis id="0">
        <cx:catScaling gapWidth="1"/>
        <cx:title>
          <cx:tx>
            <cx:txData>
              <cx:v>No of  Children</cx:v>
            </cx:txData>
          </cx:tx>
          <cx:txPr>
            <a:bodyPr spcFirstLastPara="1" vertOverflow="ellipsis" horzOverflow="overflow" wrap="square" lIns="0" tIns="0" rIns="0" bIns="0" anchor="ctr" anchorCtr="1"/>
            <a:lstStyle/>
            <a:p>
              <a:pPr algn="ctr" rtl="0">
                <a:defRPr sz="1100"/>
              </a:pPr>
              <a:r>
                <a:rPr lang="en-US" sz="1200" b="0" i="0" u="none" strike="noStrike" baseline="0">
                  <a:solidFill>
                    <a:sysClr val="windowText" lastClr="000000">
                      <a:lumMod val="65000"/>
                      <a:lumOff val="35000"/>
                    </a:sysClr>
                  </a:solidFill>
                  <a:latin typeface="Aptos Narrow" panose="02110004020202020204"/>
                </a:rPr>
                <a:t>No of  Children</a:t>
              </a:r>
            </a:p>
          </cx:txPr>
        </cx:title>
        <cx:tickLabels/>
        <cx:txPr>
          <a:bodyPr spcFirstLastPara="1" vertOverflow="ellipsis" horzOverflow="overflow" wrap="square" lIns="0" tIns="0" rIns="0" bIns="0" anchor="ctr" anchorCtr="1"/>
          <a:lstStyle/>
          <a:p>
            <a:pPr algn="ctr" rtl="0">
              <a:defRPr sz="1100">
                <a:solidFill>
                  <a:sysClr val="windowText" lastClr="000000"/>
                </a:solidFill>
              </a:defRPr>
            </a:pPr>
            <a:endParaRPr lang="en-US" sz="1100" b="0" i="0" u="none" strike="noStrike" baseline="0">
              <a:solidFill>
                <a:sysClr val="windowText" lastClr="000000"/>
              </a:solidFill>
              <a:latin typeface="Aptos Narrow" panose="02110004020202020204"/>
            </a:endParaRPr>
          </a:p>
        </cx:txPr>
      </cx:axis>
      <cx:axis id="1">
        <cx:valScaling/>
        <cx:majorGridlines>
          <cx:spPr>
            <a:ln>
              <a:solidFill>
                <a:schemeClr val="tx2">
                  <a:lumMod val="25000"/>
                  <a:lumOff val="75000"/>
                </a:schemeClr>
              </a:solidFill>
            </a:ln>
          </cx:spPr>
        </cx:majorGridlines>
        <cx:tickLabels/>
        <cx:txPr>
          <a:bodyPr spcFirstLastPara="1" vertOverflow="ellipsis" horzOverflow="overflow" wrap="square" lIns="0" tIns="0" rIns="0" bIns="0" anchor="ctr" anchorCtr="1"/>
          <a:lstStyle/>
          <a:p>
            <a:pPr algn="ctr" rtl="0">
              <a:defRPr>
                <a:solidFill>
                  <a:sysClr val="windowText" lastClr="000000"/>
                </a:solidFill>
              </a:defRPr>
            </a:pPr>
            <a:endParaRPr lang="en-US" sz="900" b="0" i="0" u="none" strike="noStrike" baseline="0">
              <a:solidFill>
                <a:sysClr val="windowText" lastClr="000000"/>
              </a:solidFill>
              <a:latin typeface="Aptos Narrow" panose="02110004020202020204"/>
            </a:endParaRPr>
          </a:p>
        </cx:txPr>
      </cx:axis>
    </cx:plotArea>
  </cx:chart>
  <cx:spPr>
    <a:solidFill>
      <a:schemeClr val="tx2">
        <a:lumMod val="10000"/>
        <a:lumOff val="90000"/>
      </a:schemeClr>
    </a:solid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microsoft.com/office/2014/relationships/chartEx" Target="../charts/chartEx2.xml"/><Relationship Id="rId4" Type="http://schemas.openxmlformats.org/officeDocument/2006/relationships/chart" Target="../charts/chart4.xml"/><Relationship Id="rId9"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hart" Target="../charts/chart19.xml"/><Relationship Id="rId18" Type="http://schemas.openxmlformats.org/officeDocument/2006/relationships/image" Target="../media/image9.png"/><Relationship Id="rId3" Type="http://schemas.microsoft.com/office/2007/relationships/hdphoto" Target="../media/hdphoto1.wdp"/><Relationship Id="rId7" Type="http://schemas.openxmlformats.org/officeDocument/2006/relationships/image" Target="../media/image3.png"/><Relationship Id="rId12" Type="http://schemas.microsoft.com/office/2007/relationships/hdphoto" Target="../media/hdphoto3.wdp"/><Relationship Id="rId17" Type="http://schemas.microsoft.com/office/2007/relationships/hdphoto" Target="../media/hdphoto5.wdp"/><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hart" Target="../charts/chart17.xml"/><Relationship Id="rId6" Type="http://schemas.microsoft.com/office/2007/relationships/hdphoto" Target="../media/hdphoto2.wdp"/><Relationship Id="rId11" Type="http://schemas.openxmlformats.org/officeDocument/2006/relationships/image" Target="../media/image6.png"/><Relationship Id="rId5" Type="http://schemas.openxmlformats.org/officeDocument/2006/relationships/image" Target="../media/image2.png"/><Relationship Id="rId15" Type="http://schemas.microsoft.com/office/2007/relationships/hdphoto" Target="../media/hdphoto4.wdp"/><Relationship Id="rId10" Type="http://schemas.microsoft.com/office/2014/relationships/chartEx" Target="../charts/chartEx3.xml"/><Relationship Id="rId19" Type="http://schemas.microsoft.com/office/2007/relationships/hdphoto" Target="../media/hdphoto6.wdp"/><Relationship Id="rId4" Type="http://schemas.openxmlformats.org/officeDocument/2006/relationships/chart" Target="../charts/chart18.xml"/><Relationship Id="rId9" Type="http://schemas.openxmlformats.org/officeDocument/2006/relationships/image" Target="../media/image5.png"/><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19</xdr:col>
      <xdr:colOff>38099</xdr:colOff>
      <xdr:row>85</xdr:row>
      <xdr:rowOff>19050</xdr:rowOff>
    </xdr:from>
    <xdr:to>
      <xdr:col>25</xdr:col>
      <xdr:colOff>149774</xdr:colOff>
      <xdr:row>103</xdr:row>
      <xdr:rowOff>190050</xdr:rowOff>
    </xdr:to>
    <xdr:graphicFrame macro="">
      <xdr:nvGraphicFramePr>
        <xdr:cNvPr id="3" name="Chart 2">
          <a:extLst>
            <a:ext uri="{FF2B5EF4-FFF2-40B4-BE49-F238E27FC236}">
              <a16:creationId xmlns:a16="http://schemas.microsoft.com/office/drawing/2014/main" id="{401D1D8C-25F4-43CF-9CC3-27550E449F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800100</xdr:colOff>
      <xdr:row>85</xdr:row>
      <xdr:rowOff>19051</xdr:rowOff>
    </xdr:from>
    <xdr:to>
      <xdr:col>18</xdr:col>
      <xdr:colOff>809625</xdr:colOff>
      <xdr:row>103</xdr:row>
      <xdr:rowOff>190051</xdr:rowOff>
    </xdr:to>
    <xdr:graphicFrame macro="">
      <xdr:nvGraphicFramePr>
        <xdr:cNvPr id="4" name="Chart 3">
          <a:extLst>
            <a:ext uri="{FF2B5EF4-FFF2-40B4-BE49-F238E27FC236}">
              <a16:creationId xmlns:a16="http://schemas.microsoft.com/office/drawing/2014/main" id="{3FAE7A05-4F0E-4A3A-BD18-6B3BA4F2A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800100</xdr:colOff>
      <xdr:row>104</xdr:row>
      <xdr:rowOff>66674</xdr:rowOff>
    </xdr:from>
    <xdr:to>
      <xdr:col>18</xdr:col>
      <xdr:colOff>807000</xdr:colOff>
      <xdr:row>123</xdr:row>
      <xdr:rowOff>47174</xdr:rowOff>
    </xdr:to>
    <xdr:graphicFrame macro="">
      <xdr:nvGraphicFramePr>
        <xdr:cNvPr id="5" name="Chart 4">
          <a:extLst>
            <a:ext uri="{FF2B5EF4-FFF2-40B4-BE49-F238E27FC236}">
              <a16:creationId xmlns:a16="http://schemas.microsoft.com/office/drawing/2014/main" id="{77CE3044-4282-4024-8CB7-5B5A60DEF0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83344</xdr:colOff>
      <xdr:row>129</xdr:row>
      <xdr:rowOff>11908</xdr:rowOff>
    </xdr:from>
    <xdr:to>
      <xdr:col>30</xdr:col>
      <xdr:colOff>71438</xdr:colOff>
      <xdr:row>139</xdr:row>
      <xdr:rowOff>4764</xdr:rowOff>
    </xdr:to>
    <xdr:graphicFrame macro="">
      <xdr:nvGraphicFramePr>
        <xdr:cNvPr id="14" name="Chart 13">
          <a:extLst>
            <a:ext uri="{FF2B5EF4-FFF2-40B4-BE49-F238E27FC236}">
              <a16:creationId xmlns:a16="http://schemas.microsoft.com/office/drawing/2014/main" id="{76506A1C-D760-4B15-944E-0412006809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83344</xdr:colOff>
      <xdr:row>139</xdr:row>
      <xdr:rowOff>59532</xdr:rowOff>
    </xdr:from>
    <xdr:to>
      <xdr:col>29</xdr:col>
      <xdr:colOff>83344</xdr:colOff>
      <xdr:row>149</xdr:row>
      <xdr:rowOff>42863</xdr:rowOff>
    </xdr:to>
    <xdr:graphicFrame macro="">
      <xdr:nvGraphicFramePr>
        <xdr:cNvPr id="15" name="Chart 14">
          <a:extLst>
            <a:ext uri="{FF2B5EF4-FFF2-40B4-BE49-F238E27FC236}">
              <a16:creationId xmlns:a16="http://schemas.microsoft.com/office/drawing/2014/main" id="{D05393DB-EB83-49B7-989B-CB1F30B500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71437</xdr:colOff>
      <xdr:row>149</xdr:row>
      <xdr:rowOff>130969</xdr:rowOff>
    </xdr:from>
    <xdr:to>
      <xdr:col>28</xdr:col>
      <xdr:colOff>488155</xdr:colOff>
      <xdr:row>159</xdr:row>
      <xdr:rowOff>147638</xdr:rowOff>
    </xdr:to>
    <xdr:graphicFrame macro="">
      <xdr:nvGraphicFramePr>
        <xdr:cNvPr id="16" name="Chart 15">
          <a:extLst>
            <a:ext uri="{FF2B5EF4-FFF2-40B4-BE49-F238E27FC236}">
              <a16:creationId xmlns:a16="http://schemas.microsoft.com/office/drawing/2014/main" id="{947E5058-30E7-4277-BA7C-7FEF396A80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23</xdr:col>
      <xdr:colOff>59531</xdr:colOff>
      <xdr:row>160</xdr:row>
      <xdr:rowOff>71438</xdr:rowOff>
    </xdr:from>
    <xdr:to>
      <xdr:col>28</xdr:col>
      <xdr:colOff>285749</xdr:colOff>
      <xdr:row>170</xdr:row>
      <xdr:rowOff>109538</xdr:rowOff>
    </xdr:to>
    <xdr:graphicFrame macro="">
      <xdr:nvGraphicFramePr>
        <xdr:cNvPr id="17" name="Chart 16">
          <a:extLst>
            <a:ext uri="{FF2B5EF4-FFF2-40B4-BE49-F238E27FC236}">
              <a16:creationId xmlns:a16="http://schemas.microsoft.com/office/drawing/2014/main" id="{AB03A3FB-CDED-467D-ABC8-0AC1815E12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95250</xdr:colOff>
      <xdr:row>104</xdr:row>
      <xdr:rowOff>95250</xdr:rowOff>
    </xdr:from>
    <xdr:to>
      <xdr:col>25</xdr:col>
      <xdr:colOff>209306</xdr:colOff>
      <xdr:row>123</xdr:row>
      <xdr:rowOff>75750</xdr:rowOff>
    </xdr:to>
    <xdr:graphicFrame macro="">
      <xdr:nvGraphicFramePr>
        <xdr:cNvPr id="18" name="Chart 17">
          <a:extLst>
            <a:ext uri="{FF2B5EF4-FFF2-40B4-BE49-F238E27FC236}">
              <a16:creationId xmlns:a16="http://schemas.microsoft.com/office/drawing/2014/main" id="{F66674A1-E959-46B4-BEA5-B9BBBBECB2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845343</xdr:colOff>
      <xdr:row>22</xdr:row>
      <xdr:rowOff>39289</xdr:rowOff>
    </xdr:from>
    <xdr:to>
      <xdr:col>20</xdr:col>
      <xdr:colOff>428625</xdr:colOff>
      <xdr:row>36</xdr:row>
      <xdr:rowOff>115489</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6EF34D44-F7FB-8B28-C66B-875ADE35F4D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8817768" y="4249339"/>
              <a:ext cx="7384257"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529828</xdr:colOff>
      <xdr:row>40</xdr:row>
      <xdr:rowOff>15476</xdr:rowOff>
    </xdr:from>
    <xdr:to>
      <xdr:col>19</xdr:col>
      <xdr:colOff>565546</xdr:colOff>
      <xdr:row>54</xdr:row>
      <xdr:rowOff>91676</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746B58CC-E6F1-8C04-DF2E-BB7914A0E34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0559653" y="7654526"/>
              <a:ext cx="4579143"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66675</xdr:colOff>
      <xdr:row>9</xdr:row>
      <xdr:rowOff>80962</xdr:rowOff>
    </xdr:from>
    <xdr:to>
      <xdr:col>3</xdr:col>
      <xdr:colOff>2085975</xdr:colOff>
      <xdr:row>23</xdr:row>
      <xdr:rowOff>157162</xdr:rowOff>
    </xdr:to>
    <xdr:graphicFrame macro="">
      <xdr:nvGraphicFramePr>
        <xdr:cNvPr id="2" name="Chart 1">
          <a:extLst>
            <a:ext uri="{FF2B5EF4-FFF2-40B4-BE49-F238E27FC236}">
              <a16:creationId xmlns:a16="http://schemas.microsoft.com/office/drawing/2014/main" id="{79AF85E7-E4AC-9DEC-6C6D-AD54DA43DE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57151</xdr:colOff>
      <xdr:row>8</xdr:row>
      <xdr:rowOff>185737</xdr:rowOff>
    </xdr:from>
    <xdr:to>
      <xdr:col>6</xdr:col>
      <xdr:colOff>2381251</xdr:colOff>
      <xdr:row>23</xdr:row>
      <xdr:rowOff>71437</xdr:rowOff>
    </xdr:to>
    <xdr:graphicFrame macro="">
      <xdr:nvGraphicFramePr>
        <xdr:cNvPr id="3" name="Chart 2">
          <a:extLst>
            <a:ext uri="{FF2B5EF4-FFF2-40B4-BE49-F238E27FC236}">
              <a16:creationId xmlns:a16="http://schemas.microsoft.com/office/drawing/2014/main" id="{D505AC3F-4F3E-75EA-6538-D5C529CD47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152400</xdr:colOff>
      <xdr:row>9</xdr:row>
      <xdr:rowOff>80962</xdr:rowOff>
    </xdr:from>
    <xdr:to>
      <xdr:col>9</xdr:col>
      <xdr:colOff>2571750</xdr:colOff>
      <xdr:row>23</xdr:row>
      <xdr:rowOff>157162</xdr:rowOff>
    </xdr:to>
    <xdr:graphicFrame macro="">
      <xdr:nvGraphicFramePr>
        <xdr:cNvPr id="4" name="Chart 3">
          <a:extLst>
            <a:ext uri="{FF2B5EF4-FFF2-40B4-BE49-F238E27FC236}">
              <a16:creationId xmlns:a16="http://schemas.microsoft.com/office/drawing/2014/main" id="{3B869E46-33CC-2ECB-3E5B-37668F5BC8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133350</xdr:colOff>
      <xdr:row>9</xdr:row>
      <xdr:rowOff>80962</xdr:rowOff>
    </xdr:from>
    <xdr:to>
      <xdr:col>13</xdr:col>
      <xdr:colOff>1895475</xdr:colOff>
      <xdr:row>23</xdr:row>
      <xdr:rowOff>157162</xdr:rowOff>
    </xdr:to>
    <xdr:graphicFrame macro="">
      <xdr:nvGraphicFramePr>
        <xdr:cNvPr id="5" name="Chart 4">
          <a:extLst>
            <a:ext uri="{FF2B5EF4-FFF2-40B4-BE49-F238E27FC236}">
              <a16:creationId xmlns:a16="http://schemas.microsoft.com/office/drawing/2014/main" id="{6EAA2708-A051-BEBB-8BDB-2255FF30C5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1028699</xdr:colOff>
      <xdr:row>14</xdr:row>
      <xdr:rowOff>176212</xdr:rowOff>
    </xdr:from>
    <xdr:to>
      <xdr:col>16</xdr:col>
      <xdr:colOff>2324099</xdr:colOff>
      <xdr:row>29</xdr:row>
      <xdr:rowOff>61912</xdr:rowOff>
    </xdr:to>
    <xdr:graphicFrame macro="">
      <xdr:nvGraphicFramePr>
        <xdr:cNvPr id="6" name="Chart 5">
          <a:extLst>
            <a:ext uri="{FF2B5EF4-FFF2-40B4-BE49-F238E27FC236}">
              <a16:creationId xmlns:a16="http://schemas.microsoft.com/office/drawing/2014/main" id="{16BA0D18-3ADF-486B-95E4-F6BDEDA52F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13</xdr:row>
      <xdr:rowOff>100012</xdr:rowOff>
    </xdr:from>
    <xdr:to>
      <xdr:col>19</xdr:col>
      <xdr:colOff>2638425</xdr:colOff>
      <xdr:row>27</xdr:row>
      <xdr:rowOff>176212</xdr:rowOff>
    </xdr:to>
    <xdr:graphicFrame macro="">
      <xdr:nvGraphicFramePr>
        <xdr:cNvPr id="7" name="Chart 6">
          <a:extLst>
            <a:ext uri="{FF2B5EF4-FFF2-40B4-BE49-F238E27FC236}">
              <a16:creationId xmlns:a16="http://schemas.microsoft.com/office/drawing/2014/main" id="{349B9B95-AF3D-3D64-6B59-1BEC9327CA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76200</xdr:colOff>
      <xdr:row>13</xdr:row>
      <xdr:rowOff>23812</xdr:rowOff>
    </xdr:from>
    <xdr:to>
      <xdr:col>23</xdr:col>
      <xdr:colOff>2295525</xdr:colOff>
      <xdr:row>27</xdr:row>
      <xdr:rowOff>100012</xdr:rowOff>
    </xdr:to>
    <xdr:graphicFrame macro="">
      <xdr:nvGraphicFramePr>
        <xdr:cNvPr id="8" name="Chart 7">
          <a:extLst>
            <a:ext uri="{FF2B5EF4-FFF2-40B4-BE49-F238E27FC236}">
              <a16:creationId xmlns:a16="http://schemas.microsoft.com/office/drawing/2014/main" id="{B1DEAE0D-5C83-9036-4A8F-EC77B3B3E2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0</xdr:colOff>
      <xdr:row>10</xdr:row>
      <xdr:rowOff>14287</xdr:rowOff>
    </xdr:from>
    <xdr:to>
      <xdr:col>27</xdr:col>
      <xdr:colOff>752475</xdr:colOff>
      <xdr:row>24</xdr:row>
      <xdr:rowOff>90487</xdr:rowOff>
    </xdr:to>
    <xdr:graphicFrame macro="">
      <xdr:nvGraphicFramePr>
        <xdr:cNvPr id="9" name="Chart 8">
          <a:extLst>
            <a:ext uri="{FF2B5EF4-FFF2-40B4-BE49-F238E27FC236}">
              <a16:creationId xmlns:a16="http://schemas.microsoft.com/office/drawing/2014/main" id="{0867B978-5B57-50F4-B7AE-15570A86DD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93883</xdr:colOff>
      <xdr:row>9</xdr:row>
      <xdr:rowOff>26642</xdr:rowOff>
    </xdr:from>
    <xdr:to>
      <xdr:col>3</xdr:col>
      <xdr:colOff>201706</xdr:colOff>
      <xdr:row>32</xdr:row>
      <xdr:rowOff>112059</xdr:rowOff>
    </xdr:to>
    <xdr:sp macro="" textlink="">
      <xdr:nvSpPr>
        <xdr:cNvPr id="82" name="Rectangle: Rounded Corners 81">
          <a:extLst>
            <a:ext uri="{FF2B5EF4-FFF2-40B4-BE49-F238E27FC236}">
              <a16:creationId xmlns:a16="http://schemas.microsoft.com/office/drawing/2014/main" id="{E9D0FAAB-06BD-AD92-F6E9-FBA68AEE9643}"/>
            </a:ext>
          </a:extLst>
        </xdr:cNvPr>
        <xdr:cNvSpPr/>
      </xdr:nvSpPr>
      <xdr:spPr>
        <a:xfrm>
          <a:off x="93883" y="1741142"/>
          <a:ext cx="1923176" cy="4466917"/>
        </a:xfrm>
        <a:prstGeom prst="roundRect">
          <a:avLst/>
        </a:prstGeom>
        <a:solidFill>
          <a:schemeClr val="tx2">
            <a:lumMod val="10000"/>
            <a:lumOff val="90000"/>
          </a:schemeClr>
        </a:solidFill>
        <a:ln>
          <a:solidFill>
            <a:schemeClr val="bg1">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130966</xdr:colOff>
      <xdr:row>0</xdr:row>
      <xdr:rowOff>47625</xdr:rowOff>
    </xdr:from>
    <xdr:to>
      <xdr:col>36</xdr:col>
      <xdr:colOff>83344</xdr:colOff>
      <xdr:row>7</xdr:row>
      <xdr:rowOff>35719</xdr:rowOff>
    </xdr:to>
    <xdr:sp macro="" textlink="">
      <xdr:nvSpPr>
        <xdr:cNvPr id="6" name="Rectangle: Rounded Corners 5">
          <a:extLst>
            <a:ext uri="{FF2B5EF4-FFF2-40B4-BE49-F238E27FC236}">
              <a16:creationId xmlns:a16="http://schemas.microsoft.com/office/drawing/2014/main" id="{4A8BDA0B-6978-B828-2F79-8670565B4F70}"/>
            </a:ext>
          </a:extLst>
        </xdr:cNvPr>
        <xdr:cNvSpPr/>
      </xdr:nvSpPr>
      <xdr:spPr>
        <a:xfrm>
          <a:off x="130966" y="47625"/>
          <a:ext cx="21812253" cy="1321594"/>
        </a:xfrm>
        <a:prstGeom prst="roundRect">
          <a:avLst/>
        </a:prstGeom>
        <a:solidFill>
          <a:srgbClr val="2F5597"/>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10584</xdr:colOff>
      <xdr:row>1</xdr:row>
      <xdr:rowOff>116418</xdr:rowOff>
    </xdr:from>
    <xdr:to>
      <xdr:col>34</xdr:col>
      <xdr:colOff>380999</xdr:colOff>
      <xdr:row>6</xdr:row>
      <xdr:rowOff>148168</xdr:rowOff>
    </xdr:to>
    <xdr:sp macro="" textlink="">
      <xdr:nvSpPr>
        <xdr:cNvPr id="9" name="TextBox 8">
          <a:extLst>
            <a:ext uri="{FF2B5EF4-FFF2-40B4-BE49-F238E27FC236}">
              <a16:creationId xmlns:a16="http://schemas.microsoft.com/office/drawing/2014/main" id="{02423339-947F-F8AB-0D5F-412B07A87121}"/>
            </a:ext>
          </a:extLst>
        </xdr:cNvPr>
        <xdr:cNvSpPr txBox="1"/>
      </xdr:nvSpPr>
      <xdr:spPr>
        <a:xfrm>
          <a:off x="1832240" y="306918"/>
          <a:ext cx="19194197" cy="984250"/>
        </a:xfrm>
        <a:prstGeom prst="rect">
          <a:avLst/>
        </a:prstGeom>
        <a:solidFill>
          <a:srgbClr val="2F559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5400">
              <a:solidFill>
                <a:schemeClr val="accent4">
                  <a:lumMod val="20000"/>
                  <a:lumOff val="80000"/>
                </a:schemeClr>
              </a:solidFill>
              <a:latin typeface="Britannic Bold" panose="020B0903060703020204" pitchFamily="34" charset="0"/>
            </a:rPr>
            <a:t>Understanding Medical Charges: Age, BMI &amp; Smoking Impact</a:t>
          </a:r>
        </a:p>
      </xdr:txBody>
    </xdr:sp>
    <xdr:clientData/>
  </xdr:twoCellAnchor>
  <xdr:twoCellAnchor>
    <xdr:from>
      <xdr:col>3</xdr:col>
      <xdr:colOff>400924</xdr:colOff>
      <xdr:row>8</xdr:row>
      <xdr:rowOff>176800</xdr:rowOff>
    </xdr:from>
    <xdr:to>
      <xdr:col>5</xdr:col>
      <xdr:colOff>242173</xdr:colOff>
      <xdr:row>32</xdr:row>
      <xdr:rowOff>104800</xdr:rowOff>
    </xdr:to>
    <xdr:grpSp>
      <xdr:nvGrpSpPr>
        <xdr:cNvPr id="14" name="Group 13">
          <a:extLst>
            <a:ext uri="{FF2B5EF4-FFF2-40B4-BE49-F238E27FC236}">
              <a16:creationId xmlns:a16="http://schemas.microsoft.com/office/drawing/2014/main" id="{8560FD7D-ACE9-D703-27F4-075C06AB4DB9}"/>
            </a:ext>
          </a:extLst>
        </xdr:cNvPr>
        <xdr:cNvGrpSpPr/>
      </xdr:nvGrpSpPr>
      <xdr:grpSpPr>
        <a:xfrm>
          <a:off x="2237888" y="1700800"/>
          <a:ext cx="1065892" cy="4500000"/>
          <a:chOff x="232835" y="1566332"/>
          <a:chExt cx="1068916" cy="2992638"/>
        </a:xfrm>
      </xdr:grpSpPr>
      <xdr:sp macro="" textlink="">
        <xdr:nvSpPr>
          <xdr:cNvPr id="10" name="Rectangle: Rounded Corners 9">
            <a:extLst>
              <a:ext uri="{FF2B5EF4-FFF2-40B4-BE49-F238E27FC236}">
                <a16:creationId xmlns:a16="http://schemas.microsoft.com/office/drawing/2014/main" id="{7C99520E-56B1-4AF1-99D4-C2EFF098B5E8}"/>
              </a:ext>
            </a:extLst>
          </xdr:cNvPr>
          <xdr:cNvSpPr/>
        </xdr:nvSpPr>
        <xdr:spPr>
          <a:xfrm>
            <a:off x="232835" y="1566332"/>
            <a:ext cx="1068916" cy="2992638"/>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3" name="TextBox 12">
            <a:extLst>
              <a:ext uri="{FF2B5EF4-FFF2-40B4-BE49-F238E27FC236}">
                <a16:creationId xmlns:a16="http://schemas.microsoft.com/office/drawing/2014/main" id="{C0A5DD94-EC19-4A5C-B58D-9096187326B5}"/>
              </a:ext>
            </a:extLst>
          </xdr:cNvPr>
          <xdr:cNvSpPr txBox="1"/>
        </xdr:nvSpPr>
        <xdr:spPr>
          <a:xfrm rot="16200000">
            <a:off x="-568851" y="2754311"/>
            <a:ext cx="2598207" cy="497418"/>
          </a:xfrm>
          <a:prstGeom prst="rect">
            <a:avLst/>
          </a:prstGeom>
          <a:solidFill>
            <a:schemeClr val="tx2">
              <a:lumMod val="10000"/>
              <a:lumOff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3200">
                <a:solidFill>
                  <a:srgbClr val="2F5597"/>
                </a:solidFill>
                <a:latin typeface="Britannic Bold" panose="020B0903060703020204" pitchFamily="34" charset="0"/>
              </a:rPr>
              <a:t>Key Indicator</a:t>
            </a:r>
          </a:p>
        </xdr:txBody>
      </xdr:sp>
    </xdr:grpSp>
    <xdr:clientData/>
  </xdr:twoCellAnchor>
  <xdr:twoCellAnchor>
    <xdr:from>
      <xdr:col>12</xdr:col>
      <xdr:colOff>380999</xdr:colOff>
      <xdr:row>8</xdr:row>
      <xdr:rowOff>179295</xdr:rowOff>
    </xdr:from>
    <xdr:to>
      <xdr:col>21</xdr:col>
      <xdr:colOff>334841</xdr:colOff>
      <xdr:row>33</xdr:row>
      <xdr:rowOff>42724</xdr:rowOff>
    </xdr:to>
    <xdr:grpSp>
      <xdr:nvGrpSpPr>
        <xdr:cNvPr id="89" name="Group 88">
          <a:extLst>
            <a:ext uri="{FF2B5EF4-FFF2-40B4-BE49-F238E27FC236}">
              <a16:creationId xmlns:a16="http://schemas.microsoft.com/office/drawing/2014/main" id="{F682EC7A-5791-066C-5CDB-08375351BBD4}"/>
            </a:ext>
          </a:extLst>
        </xdr:cNvPr>
        <xdr:cNvGrpSpPr/>
      </xdr:nvGrpSpPr>
      <xdr:grpSpPr>
        <a:xfrm>
          <a:off x="7728856" y="1703295"/>
          <a:ext cx="5464735" cy="4625929"/>
          <a:chOff x="7619999" y="1703295"/>
          <a:chExt cx="5383092" cy="4625929"/>
        </a:xfrm>
      </xdr:grpSpPr>
      <xdr:grpSp>
        <xdr:nvGrpSpPr>
          <xdr:cNvPr id="70" name="Group 69">
            <a:extLst>
              <a:ext uri="{FF2B5EF4-FFF2-40B4-BE49-F238E27FC236}">
                <a16:creationId xmlns:a16="http://schemas.microsoft.com/office/drawing/2014/main" id="{D7013AD9-B8C3-DAEF-03A5-A3CF84D34E8D}"/>
              </a:ext>
            </a:extLst>
          </xdr:cNvPr>
          <xdr:cNvGrpSpPr/>
        </xdr:nvGrpSpPr>
        <xdr:grpSpPr>
          <a:xfrm>
            <a:off x="7619999" y="1703295"/>
            <a:ext cx="5383092" cy="4625929"/>
            <a:chOff x="5995146" y="1501589"/>
            <a:chExt cx="5399901" cy="4625929"/>
          </a:xfrm>
        </xdr:grpSpPr>
        <xdr:grpSp>
          <xdr:nvGrpSpPr>
            <xdr:cNvPr id="25" name="Group 24">
              <a:extLst>
                <a:ext uri="{FF2B5EF4-FFF2-40B4-BE49-F238E27FC236}">
                  <a16:creationId xmlns:a16="http://schemas.microsoft.com/office/drawing/2014/main" id="{F0EEEE4B-1012-2244-61DA-B6C1CA1FF37C}"/>
                </a:ext>
              </a:extLst>
            </xdr:cNvPr>
            <xdr:cNvGrpSpPr/>
          </xdr:nvGrpSpPr>
          <xdr:grpSpPr>
            <a:xfrm>
              <a:off x="6743095" y="1627518"/>
              <a:ext cx="4651952" cy="4500000"/>
              <a:chOff x="6476999" y="1566332"/>
              <a:chExt cx="4720166" cy="3458383"/>
            </a:xfrm>
          </xdr:grpSpPr>
          <xdr:sp macro="" textlink="">
            <xdr:nvSpPr>
              <xdr:cNvPr id="23" name="Rectangle: Rounded Corners 22">
                <a:extLst>
                  <a:ext uri="{FF2B5EF4-FFF2-40B4-BE49-F238E27FC236}">
                    <a16:creationId xmlns:a16="http://schemas.microsoft.com/office/drawing/2014/main" id="{0F9500C2-B30D-F1CB-86BD-7E57DDB98FB2}"/>
                  </a:ext>
                </a:extLst>
              </xdr:cNvPr>
              <xdr:cNvSpPr/>
            </xdr:nvSpPr>
            <xdr:spPr>
              <a:xfrm>
                <a:off x="6476999" y="1566332"/>
                <a:ext cx="4720166" cy="3458383"/>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3" name="Chart 2">
                <a:extLst>
                  <a:ext uri="{FF2B5EF4-FFF2-40B4-BE49-F238E27FC236}">
                    <a16:creationId xmlns:a16="http://schemas.microsoft.com/office/drawing/2014/main" id="{7C279869-3BCF-4805-B19C-B091A89469FC}"/>
                  </a:ext>
                </a:extLst>
              </xdr:cNvPr>
              <xdr:cNvGraphicFramePr>
                <a:graphicFrameLocks/>
              </xdr:cNvGraphicFramePr>
            </xdr:nvGraphicFramePr>
            <xdr:xfrm>
              <a:off x="6646333" y="1725083"/>
              <a:ext cx="4169834" cy="2615973"/>
            </xdr:xfrm>
            <a:graphic>
              <a:graphicData uri="http://schemas.openxmlformats.org/drawingml/2006/chart">
                <c:chart xmlns:c="http://schemas.openxmlformats.org/drawingml/2006/chart" xmlns:r="http://schemas.openxmlformats.org/officeDocument/2006/relationships" r:id="rId1"/>
              </a:graphicData>
            </a:graphic>
          </xdr:graphicFrame>
        </xdr:grpSp>
        <xdr:grpSp>
          <xdr:nvGrpSpPr>
            <xdr:cNvPr id="30" name="Group 29">
              <a:extLst>
                <a:ext uri="{FF2B5EF4-FFF2-40B4-BE49-F238E27FC236}">
                  <a16:creationId xmlns:a16="http://schemas.microsoft.com/office/drawing/2014/main" id="{4E2FA5DE-DEB3-4274-AD28-B70E84B4132A}"/>
                </a:ext>
              </a:extLst>
            </xdr:cNvPr>
            <xdr:cNvGrpSpPr/>
          </xdr:nvGrpSpPr>
          <xdr:grpSpPr>
            <a:xfrm>
              <a:off x="5995146" y="1501589"/>
              <a:ext cx="1199029" cy="1143000"/>
              <a:chOff x="1479176" y="2442882"/>
              <a:chExt cx="1199029" cy="1143000"/>
            </a:xfrm>
          </xdr:grpSpPr>
          <xdr:sp macro="" textlink="">
            <xdr:nvSpPr>
              <xdr:cNvPr id="31" name="Oval 30">
                <a:extLst>
                  <a:ext uri="{FF2B5EF4-FFF2-40B4-BE49-F238E27FC236}">
                    <a16:creationId xmlns:a16="http://schemas.microsoft.com/office/drawing/2014/main" id="{BA06DE85-7F13-F443-174B-099AD8C5F347}"/>
                  </a:ext>
                </a:extLst>
              </xdr:cNvPr>
              <xdr:cNvSpPr/>
            </xdr:nvSpPr>
            <xdr:spPr>
              <a:xfrm>
                <a:off x="1479176" y="2442882"/>
                <a:ext cx="1199029" cy="1143000"/>
              </a:xfrm>
              <a:prstGeom prst="ellipse">
                <a:avLst/>
              </a:prstGeom>
              <a:solidFill>
                <a:schemeClr val="accent1">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5" name="TextBox 34">
                <a:extLst>
                  <a:ext uri="{FF2B5EF4-FFF2-40B4-BE49-F238E27FC236}">
                    <a16:creationId xmlns:a16="http://schemas.microsoft.com/office/drawing/2014/main" id="{045D37DD-7235-C6E6-193C-D39C6AD4AE89}"/>
                  </a:ext>
                </a:extLst>
              </xdr:cNvPr>
              <xdr:cNvSpPr txBox="1"/>
            </xdr:nvSpPr>
            <xdr:spPr>
              <a:xfrm>
                <a:off x="1591237" y="2801470"/>
                <a:ext cx="949753" cy="497418"/>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4400">
                    <a:solidFill>
                      <a:schemeClr val="bg1"/>
                    </a:solidFill>
                    <a:latin typeface="Britannic Bold" panose="020B0903060703020204" pitchFamily="34" charset="0"/>
                  </a:rPr>
                  <a:t>2</a:t>
                </a:r>
              </a:p>
            </xdr:txBody>
          </xdr:sp>
        </xdr:grpSp>
      </xdr:grpSp>
      <xdr:pic>
        <xdr:nvPicPr>
          <xdr:cNvPr id="41" name="Picture 40">
            <a:extLst>
              <a:ext uri="{FF2B5EF4-FFF2-40B4-BE49-F238E27FC236}">
                <a16:creationId xmlns:a16="http://schemas.microsoft.com/office/drawing/2014/main" id="{3CFD87D4-A6F9-BF92-BC55-65210CDBE7FF}"/>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6857" b="89714" l="9655" r="89655">
                        <a14:foregroundMark x1="31034" y1="34286" x2="31034" y2="34286"/>
                        <a14:foregroundMark x1="23448" y1="25143" x2="23448" y2="25143"/>
                        <a14:foregroundMark x1="33793" y1="6857" x2="33793" y2="6857"/>
                        <a14:foregroundMark x1="48966" y1="33714" x2="48966" y2="33714"/>
                        <a14:foregroundMark x1="62759" y1="33714" x2="62759" y2="33714"/>
                        <a14:foregroundMark x1="60000" y1="41714" x2="60000" y2="41714"/>
                        <a14:foregroundMark x1="50345" y1="42857" x2="50345" y2="42857"/>
                        <a14:foregroundMark x1="33103" y1="41143" x2="33103" y2="41143"/>
                        <a14:foregroundMark x1="32414" y1="58286" x2="32414" y2="58286"/>
                        <a14:foregroundMark x1="32414" y1="74286" x2="32414" y2="74286"/>
                        <a14:foregroundMark x1="40690" y1="72000" x2="40690" y2="72000"/>
                        <a14:foregroundMark x1="40000" y1="62857" x2="40000" y2="62857"/>
                        <a14:foregroundMark x1="59310" y1="59429" x2="59310" y2="59429"/>
                        <a14:foregroundMark x1="58621" y1="57714" x2="58621" y2="62286"/>
                        <a14:foregroundMark x1="46207" y1="33143" x2="52414" y2="33143"/>
                        <a14:foregroundMark x1="43448" y1="33143" x2="52414" y2="33143"/>
                        <a14:foregroundMark x1="59310" y1="33143" x2="64828" y2="33143"/>
                      </a14:backgroundRemoval>
                    </a14:imgEffect>
                  </a14:imgLayer>
                </a14:imgProps>
              </a:ext>
              <a:ext uri="{28A0092B-C50C-407E-A947-70E740481C1C}">
                <a14:useLocalDpi xmlns:a14="http://schemas.microsoft.com/office/drawing/2010/main" val="0"/>
              </a:ext>
            </a:extLst>
          </a:blip>
          <a:stretch>
            <a:fillRect/>
          </a:stretch>
        </xdr:blipFill>
        <xdr:spPr>
          <a:xfrm>
            <a:off x="11563155" y="4893768"/>
            <a:ext cx="1005175" cy="1210412"/>
          </a:xfrm>
          <a:prstGeom prst="rect">
            <a:avLst/>
          </a:prstGeom>
        </xdr:spPr>
      </xdr:pic>
    </xdr:grpSp>
    <xdr:clientData/>
  </xdr:twoCellAnchor>
  <xdr:twoCellAnchor>
    <xdr:from>
      <xdr:col>3</xdr:col>
      <xdr:colOff>288863</xdr:colOff>
      <xdr:row>34</xdr:row>
      <xdr:rowOff>90891</xdr:rowOff>
    </xdr:from>
    <xdr:to>
      <xdr:col>5</xdr:col>
      <xdr:colOff>130112</xdr:colOff>
      <xdr:row>58</xdr:row>
      <xdr:rowOff>11206</xdr:rowOff>
    </xdr:to>
    <xdr:grpSp>
      <xdr:nvGrpSpPr>
        <xdr:cNvPr id="52" name="Group 51">
          <a:extLst>
            <a:ext uri="{FF2B5EF4-FFF2-40B4-BE49-F238E27FC236}">
              <a16:creationId xmlns:a16="http://schemas.microsoft.com/office/drawing/2014/main" id="{033AE5EA-13F6-49FA-AF4F-1122B714A231}"/>
            </a:ext>
          </a:extLst>
        </xdr:cNvPr>
        <xdr:cNvGrpSpPr/>
      </xdr:nvGrpSpPr>
      <xdr:grpSpPr>
        <a:xfrm>
          <a:off x="2125827" y="6567891"/>
          <a:ext cx="1065892" cy="4492315"/>
          <a:chOff x="232835" y="1566333"/>
          <a:chExt cx="1068916" cy="2952750"/>
        </a:xfrm>
      </xdr:grpSpPr>
      <xdr:sp macro="" textlink="">
        <xdr:nvSpPr>
          <xdr:cNvPr id="53" name="Rectangle: Rounded Corners 52">
            <a:extLst>
              <a:ext uri="{FF2B5EF4-FFF2-40B4-BE49-F238E27FC236}">
                <a16:creationId xmlns:a16="http://schemas.microsoft.com/office/drawing/2014/main" id="{5BD8B22D-156B-2B69-850D-C57223A5DA80}"/>
              </a:ext>
            </a:extLst>
          </xdr:cNvPr>
          <xdr:cNvSpPr/>
        </xdr:nvSpPr>
        <xdr:spPr>
          <a:xfrm>
            <a:off x="232835" y="1566333"/>
            <a:ext cx="1068916" cy="2952750"/>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4" name="TextBox 53">
            <a:extLst>
              <a:ext uri="{FF2B5EF4-FFF2-40B4-BE49-F238E27FC236}">
                <a16:creationId xmlns:a16="http://schemas.microsoft.com/office/drawing/2014/main" id="{A65EC898-26E0-F93E-7D45-B46BBEB83A81}"/>
              </a:ext>
            </a:extLst>
          </xdr:cNvPr>
          <xdr:cNvSpPr txBox="1"/>
        </xdr:nvSpPr>
        <xdr:spPr>
          <a:xfrm rot="16200000">
            <a:off x="-568851" y="2754311"/>
            <a:ext cx="2598207" cy="497418"/>
          </a:xfrm>
          <a:prstGeom prst="rect">
            <a:avLst/>
          </a:prstGeom>
          <a:solidFill>
            <a:schemeClr val="tx2">
              <a:lumMod val="10000"/>
              <a:lumOff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3200">
                <a:solidFill>
                  <a:srgbClr val="2F5597"/>
                </a:solidFill>
                <a:latin typeface="Britannic Bold" panose="020B0903060703020204" pitchFamily="34" charset="0"/>
              </a:rPr>
              <a:t>Minor Indicator</a:t>
            </a:r>
          </a:p>
        </xdr:txBody>
      </xdr:sp>
    </xdr:grpSp>
    <xdr:clientData/>
  </xdr:twoCellAnchor>
  <xdr:twoCellAnchor>
    <xdr:from>
      <xdr:col>21</xdr:col>
      <xdr:colOff>493057</xdr:colOff>
      <xdr:row>8</xdr:row>
      <xdr:rowOff>168088</xdr:rowOff>
    </xdr:from>
    <xdr:to>
      <xdr:col>34</xdr:col>
      <xdr:colOff>381001</xdr:colOff>
      <xdr:row>33</xdr:row>
      <xdr:rowOff>26453</xdr:rowOff>
    </xdr:to>
    <xdr:grpSp>
      <xdr:nvGrpSpPr>
        <xdr:cNvPr id="69" name="Group 68">
          <a:extLst>
            <a:ext uri="{FF2B5EF4-FFF2-40B4-BE49-F238E27FC236}">
              <a16:creationId xmlns:a16="http://schemas.microsoft.com/office/drawing/2014/main" id="{F834FA77-FE44-28C1-1F37-E827AC1FE842}"/>
            </a:ext>
          </a:extLst>
        </xdr:cNvPr>
        <xdr:cNvGrpSpPr/>
      </xdr:nvGrpSpPr>
      <xdr:grpSpPr>
        <a:xfrm>
          <a:off x="13351807" y="1692088"/>
          <a:ext cx="7848123" cy="4620865"/>
          <a:chOff x="11519645" y="1501588"/>
          <a:chExt cx="7754473" cy="4620865"/>
        </a:xfrm>
      </xdr:grpSpPr>
      <xdr:grpSp>
        <xdr:nvGrpSpPr>
          <xdr:cNvPr id="62" name="Group 61">
            <a:extLst>
              <a:ext uri="{FF2B5EF4-FFF2-40B4-BE49-F238E27FC236}">
                <a16:creationId xmlns:a16="http://schemas.microsoft.com/office/drawing/2014/main" id="{C8C679DF-788F-A25C-575B-C81672CDDCC9}"/>
              </a:ext>
            </a:extLst>
          </xdr:cNvPr>
          <xdr:cNvGrpSpPr/>
        </xdr:nvGrpSpPr>
        <xdr:grpSpPr>
          <a:xfrm>
            <a:off x="12281648" y="1622453"/>
            <a:ext cx="6992470" cy="4500000"/>
            <a:chOff x="12281648" y="1622453"/>
            <a:chExt cx="6992470" cy="4500000"/>
          </a:xfrm>
        </xdr:grpSpPr>
        <xdr:sp macro="" textlink="">
          <xdr:nvSpPr>
            <xdr:cNvPr id="45" name="Rectangle: Rounded Corners 44">
              <a:extLst>
                <a:ext uri="{FF2B5EF4-FFF2-40B4-BE49-F238E27FC236}">
                  <a16:creationId xmlns:a16="http://schemas.microsoft.com/office/drawing/2014/main" id="{60F8CC65-21EC-4074-BEBF-9FC2D28B8BDE}"/>
                </a:ext>
              </a:extLst>
            </xdr:cNvPr>
            <xdr:cNvSpPr/>
          </xdr:nvSpPr>
          <xdr:spPr>
            <a:xfrm>
              <a:off x="12281648" y="1622453"/>
              <a:ext cx="6992470" cy="4500000"/>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5" name="Chart 4">
              <a:extLst>
                <a:ext uri="{FF2B5EF4-FFF2-40B4-BE49-F238E27FC236}">
                  <a16:creationId xmlns:a16="http://schemas.microsoft.com/office/drawing/2014/main" id="{629941FA-8F75-4B7A-9F3A-7076BC1F41BC}"/>
                </a:ext>
              </a:extLst>
            </xdr:cNvPr>
            <xdr:cNvGraphicFramePr>
              <a:graphicFrameLocks/>
            </xdr:cNvGraphicFramePr>
          </xdr:nvGraphicFramePr>
          <xdr:xfrm>
            <a:off x="12653434" y="1831166"/>
            <a:ext cx="6105213" cy="3351716"/>
          </xdr:xfrm>
          <a:graphic>
            <a:graphicData uri="http://schemas.openxmlformats.org/drawingml/2006/chart">
              <c:chart xmlns:c="http://schemas.openxmlformats.org/drawingml/2006/chart" xmlns:r="http://schemas.openxmlformats.org/officeDocument/2006/relationships" r:id="rId4"/>
            </a:graphicData>
          </a:graphic>
        </xdr:graphicFrame>
        <xdr:pic>
          <xdr:nvPicPr>
            <xdr:cNvPr id="43" name="Picture 42">
              <a:extLst>
                <a:ext uri="{FF2B5EF4-FFF2-40B4-BE49-F238E27FC236}">
                  <a16:creationId xmlns:a16="http://schemas.microsoft.com/office/drawing/2014/main" id="{B63571FC-9836-136C-A086-767E7D216302}"/>
                </a:ext>
              </a:extLst>
            </xdr:cNvPr>
            <xdr:cNvPicPr>
              <a:picLocks noChangeAspect="1"/>
            </xdr:cNvPicPr>
          </xdr:nvPicPr>
          <xdr:blipFill rotWithShape="1">
            <a:blip xmlns:r="http://schemas.openxmlformats.org/officeDocument/2006/relationships" r:embed="rId5" cstate="print">
              <a:extLst>
                <a:ext uri="{BEBA8EAE-BF5A-486C-A8C5-ECC9F3942E4B}">
                  <a14:imgProps xmlns:a14="http://schemas.microsoft.com/office/drawing/2010/main">
                    <a14:imgLayer r:embed="rId6">
                      <a14:imgEffect>
                        <a14:backgroundRemoval t="16458" b="83315" l="11905" r="24725">
                          <a14:foregroundMark x1="19923" y1="53488" x2="19923" y2="53488"/>
                        </a14:backgroundRemoval>
                      </a14:imgEffect>
                    </a14:imgLayer>
                  </a14:imgProps>
                </a:ext>
                <a:ext uri="{28A0092B-C50C-407E-A947-70E740481C1C}">
                  <a14:useLocalDpi xmlns:a14="http://schemas.microsoft.com/office/drawing/2010/main" val="0"/>
                </a:ext>
              </a:extLst>
            </a:blip>
            <a:srcRect l="10302" t="8101" r="73673" b="8328"/>
            <a:stretch>
              <a:fillRect/>
            </a:stretch>
          </xdr:blipFill>
          <xdr:spPr>
            <a:xfrm>
              <a:off x="13185713" y="4886921"/>
              <a:ext cx="295946" cy="1018579"/>
            </a:xfrm>
            <a:prstGeom prst="rect">
              <a:avLst/>
            </a:prstGeom>
          </xdr:spPr>
        </xdr:pic>
        <xdr:pic>
          <xdr:nvPicPr>
            <xdr:cNvPr id="57" name="Picture 56">
              <a:extLst>
                <a:ext uri="{FF2B5EF4-FFF2-40B4-BE49-F238E27FC236}">
                  <a16:creationId xmlns:a16="http://schemas.microsoft.com/office/drawing/2014/main" id="{75F8D1F8-3E15-41E4-962B-211638581BC3}"/>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6">
                      <a14:imgEffect>
                        <a14:backgroundRemoval t="16458" b="83315" l="26403" r="39896">
                          <a14:foregroundMark x1="34100" y1="42442" x2="34100" y2="42442"/>
                        </a14:backgroundRemoval>
                      </a14:imgEffect>
                    </a14:imgLayer>
                  </a14:imgProps>
                </a:ext>
                <a:ext uri="{28A0092B-C50C-407E-A947-70E740481C1C}">
                  <a14:useLocalDpi xmlns:a14="http://schemas.microsoft.com/office/drawing/2010/main" val="0"/>
                </a:ext>
              </a:extLst>
            </a:blip>
            <a:srcRect l="24716" t="8101" r="58417" b="8328"/>
            <a:stretch>
              <a:fillRect/>
            </a:stretch>
          </xdr:blipFill>
          <xdr:spPr>
            <a:xfrm>
              <a:off x="14365940" y="4968531"/>
              <a:ext cx="291353" cy="952692"/>
            </a:xfrm>
            <a:prstGeom prst="rect">
              <a:avLst/>
            </a:prstGeom>
          </xdr:spPr>
        </xdr:pic>
        <xdr:pic>
          <xdr:nvPicPr>
            <xdr:cNvPr id="59" name="Picture 58">
              <a:extLst>
                <a:ext uri="{FF2B5EF4-FFF2-40B4-BE49-F238E27FC236}">
                  <a16:creationId xmlns:a16="http://schemas.microsoft.com/office/drawing/2014/main" id="{41924FF3-18DB-41BE-8FD8-1C846FD3325D}"/>
                </a:ext>
              </a:extLst>
            </xdr:cNvPr>
            <xdr:cNvPicPr>
              <a:picLocks noChangeAspect="1"/>
            </xdr:cNvPicPr>
          </xdr:nvPicPr>
          <xdr:blipFill rotWithShape="1">
            <a:blip xmlns:r="http://schemas.openxmlformats.org/officeDocument/2006/relationships" r:embed="rId8" cstate="print">
              <a:extLst>
                <a:ext uri="{BEBA8EAE-BF5A-486C-A8C5-ECC9F3942E4B}">
                  <a14:imgProps xmlns:a14="http://schemas.microsoft.com/office/drawing/2010/main">
                    <a14:imgLayer r:embed="rId6">
                      <a14:imgEffect>
                        <a14:backgroundRemoval t="16458" b="83315" l="63068" r="87263">
                          <a14:foregroundMark x1="72414" y1="19767" x2="72414" y2="19767"/>
                        </a14:backgroundRemoval>
                      </a14:imgEffect>
                    </a14:imgLayer>
                  </a14:imgProps>
                </a:ext>
                <a:ext uri="{28A0092B-C50C-407E-A947-70E740481C1C}">
                  <a14:useLocalDpi xmlns:a14="http://schemas.microsoft.com/office/drawing/2010/main" val="0"/>
                </a:ext>
              </a:extLst>
            </a:blip>
            <a:srcRect l="60044" t="8101" r="9713" b="8328"/>
            <a:stretch>
              <a:fillRect/>
            </a:stretch>
          </xdr:blipFill>
          <xdr:spPr>
            <a:xfrm>
              <a:off x="17850970" y="5154547"/>
              <a:ext cx="430210" cy="784572"/>
            </a:xfrm>
            <a:prstGeom prst="rect">
              <a:avLst/>
            </a:prstGeom>
          </xdr:spPr>
        </xdr:pic>
        <xdr:pic>
          <xdr:nvPicPr>
            <xdr:cNvPr id="60" name="Picture 59">
              <a:extLst>
                <a:ext uri="{FF2B5EF4-FFF2-40B4-BE49-F238E27FC236}">
                  <a16:creationId xmlns:a16="http://schemas.microsoft.com/office/drawing/2014/main" id="{50AB7CDE-ABDB-42F9-8811-AF7006E3DB4F}"/>
                </a:ext>
              </a:extLst>
            </xdr:cNvPr>
            <xdr:cNvPicPr>
              <a:picLocks noChangeAspect="1"/>
            </xdr:cNvPicPr>
          </xdr:nvPicPr>
          <xdr:blipFill rotWithShape="1">
            <a:blip xmlns:r="http://schemas.openxmlformats.org/officeDocument/2006/relationships" r:embed="rId9" cstate="print">
              <a:extLst>
                <a:ext uri="{BEBA8EAE-BF5A-486C-A8C5-ECC9F3942E4B}">
                  <a14:imgProps xmlns:a14="http://schemas.microsoft.com/office/drawing/2010/main">
                    <a14:imgLayer r:embed="rId6">
                      <a14:imgEffect>
                        <a14:backgroundRemoval t="19299" b="83630" l="43266" r="58805">
                          <a14:foregroundMark x1="52107" y1="28488" x2="52107" y2="28488"/>
                        </a14:backgroundRemoval>
                      </a14:imgEffect>
                    </a14:imgLayer>
                  </a14:imgProps>
                </a:ext>
                <a:ext uri="{28A0092B-C50C-407E-A947-70E740481C1C}">
                  <a14:useLocalDpi xmlns:a14="http://schemas.microsoft.com/office/drawing/2010/main" val="0"/>
                </a:ext>
              </a:extLst>
            </a:blip>
            <a:srcRect l="41324" t="11257" r="39253" b="8329"/>
            <a:stretch>
              <a:fillRect/>
            </a:stretch>
          </xdr:blipFill>
          <xdr:spPr>
            <a:xfrm flipH="1">
              <a:off x="16752967" y="5087470"/>
              <a:ext cx="291180" cy="795618"/>
            </a:xfrm>
            <a:prstGeom prst="rect">
              <a:avLst/>
            </a:prstGeom>
          </xdr:spPr>
        </xdr:pic>
        <xdr:pic>
          <xdr:nvPicPr>
            <xdr:cNvPr id="61" name="Picture 60">
              <a:extLst>
                <a:ext uri="{FF2B5EF4-FFF2-40B4-BE49-F238E27FC236}">
                  <a16:creationId xmlns:a16="http://schemas.microsoft.com/office/drawing/2014/main" id="{62614A6E-D012-4C1C-B581-672FC90EA22E}"/>
                </a:ext>
              </a:extLst>
            </xdr:cNvPr>
            <xdr:cNvPicPr>
              <a:picLocks noChangeAspect="1"/>
            </xdr:cNvPicPr>
          </xdr:nvPicPr>
          <xdr:blipFill rotWithShape="1">
            <a:blip xmlns:r="http://schemas.openxmlformats.org/officeDocument/2006/relationships" r:embed="rId9" cstate="print">
              <a:extLst>
                <a:ext uri="{BEBA8EAE-BF5A-486C-A8C5-ECC9F3942E4B}">
                  <a14:imgProps xmlns:a14="http://schemas.microsoft.com/office/drawing/2010/main">
                    <a14:imgLayer r:embed="rId6">
                      <a14:imgEffect>
                        <a14:backgroundRemoval t="19299" b="83630" l="43266" r="58805">
                          <a14:foregroundMark x1="52107" y1="28488" x2="52107" y2="28488"/>
                        </a14:backgroundRemoval>
                      </a14:imgEffect>
                    </a14:imgLayer>
                  </a14:imgProps>
                </a:ext>
                <a:ext uri="{28A0092B-C50C-407E-A947-70E740481C1C}">
                  <a14:useLocalDpi xmlns:a14="http://schemas.microsoft.com/office/drawing/2010/main" val="0"/>
                </a:ext>
              </a:extLst>
            </a:blip>
            <a:srcRect l="41324" t="11257" r="39253" b="8329"/>
            <a:stretch>
              <a:fillRect/>
            </a:stretch>
          </xdr:blipFill>
          <xdr:spPr>
            <a:xfrm flipH="1">
              <a:off x="15538250" y="5116606"/>
              <a:ext cx="284455" cy="777243"/>
            </a:xfrm>
            <a:prstGeom prst="rect">
              <a:avLst/>
            </a:prstGeom>
          </xdr:spPr>
        </xdr:pic>
      </xdr:grpSp>
      <xdr:grpSp>
        <xdr:nvGrpSpPr>
          <xdr:cNvPr id="40" name="Group 39">
            <a:extLst>
              <a:ext uri="{FF2B5EF4-FFF2-40B4-BE49-F238E27FC236}">
                <a16:creationId xmlns:a16="http://schemas.microsoft.com/office/drawing/2014/main" id="{E355783B-80B7-4ABB-8242-31F04CFB1740}"/>
              </a:ext>
            </a:extLst>
          </xdr:cNvPr>
          <xdr:cNvGrpSpPr/>
        </xdr:nvGrpSpPr>
        <xdr:grpSpPr>
          <a:xfrm>
            <a:off x="11519645" y="1501588"/>
            <a:ext cx="1199029" cy="1143000"/>
            <a:chOff x="1479176" y="2442882"/>
            <a:chExt cx="1199029" cy="1143000"/>
          </a:xfrm>
        </xdr:grpSpPr>
        <xdr:sp macro="" textlink="">
          <xdr:nvSpPr>
            <xdr:cNvPr id="42" name="Oval 41">
              <a:extLst>
                <a:ext uri="{FF2B5EF4-FFF2-40B4-BE49-F238E27FC236}">
                  <a16:creationId xmlns:a16="http://schemas.microsoft.com/office/drawing/2014/main" id="{4B9E95FD-038D-2C52-7D9E-2385496EB61A}"/>
                </a:ext>
              </a:extLst>
            </xdr:cNvPr>
            <xdr:cNvSpPr/>
          </xdr:nvSpPr>
          <xdr:spPr>
            <a:xfrm>
              <a:off x="1479176" y="2442882"/>
              <a:ext cx="1199029" cy="1143000"/>
            </a:xfrm>
            <a:prstGeom prst="ellipse">
              <a:avLst/>
            </a:prstGeom>
            <a:solidFill>
              <a:schemeClr val="accent1">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1" name="TextBox 50">
              <a:extLst>
                <a:ext uri="{FF2B5EF4-FFF2-40B4-BE49-F238E27FC236}">
                  <a16:creationId xmlns:a16="http://schemas.microsoft.com/office/drawing/2014/main" id="{56550174-E18A-4CA7-4F1B-FCAFC9A19B76}"/>
                </a:ext>
              </a:extLst>
            </xdr:cNvPr>
            <xdr:cNvSpPr txBox="1"/>
          </xdr:nvSpPr>
          <xdr:spPr>
            <a:xfrm>
              <a:off x="1591237" y="2801470"/>
              <a:ext cx="949753" cy="497418"/>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4400">
                  <a:solidFill>
                    <a:schemeClr val="bg1"/>
                  </a:solidFill>
                  <a:latin typeface="Britannic Bold" panose="020B0903060703020204" pitchFamily="34" charset="0"/>
                </a:rPr>
                <a:t>3</a:t>
              </a:r>
            </a:p>
          </xdr:txBody>
        </xdr:sp>
      </xdr:grpSp>
    </xdr:grpSp>
    <xdr:clientData/>
  </xdr:twoCellAnchor>
  <xdr:twoCellAnchor>
    <xdr:from>
      <xdr:col>5</xdr:col>
      <xdr:colOff>560294</xdr:colOff>
      <xdr:row>35</xdr:row>
      <xdr:rowOff>22413</xdr:rowOff>
    </xdr:from>
    <xdr:to>
      <xdr:col>18</xdr:col>
      <xdr:colOff>392205</xdr:colOff>
      <xdr:row>58</xdr:row>
      <xdr:rowOff>172041</xdr:rowOff>
    </xdr:to>
    <xdr:grpSp>
      <xdr:nvGrpSpPr>
        <xdr:cNvPr id="84" name="Group 83">
          <a:extLst>
            <a:ext uri="{FF2B5EF4-FFF2-40B4-BE49-F238E27FC236}">
              <a16:creationId xmlns:a16="http://schemas.microsoft.com/office/drawing/2014/main" id="{94D78A48-EA84-5F38-3026-D13936FA1E08}"/>
            </a:ext>
          </a:extLst>
        </xdr:cNvPr>
        <xdr:cNvGrpSpPr/>
      </xdr:nvGrpSpPr>
      <xdr:grpSpPr>
        <a:xfrm>
          <a:off x="3621901" y="6689913"/>
          <a:ext cx="7792090" cy="4531128"/>
          <a:chOff x="1501588" y="6521824"/>
          <a:chExt cx="7698441" cy="4531128"/>
        </a:xfrm>
      </xdr:grpSpPr>
      <xdr:sp macro="" textlink="">
        <xdr:nvSpPr>
          <xdr:cNvPr id="58" name="Rectangle: Rounded Corners 57">
            <a:extLst>
              <a:ext uri="{FF2B5EF4-FFF2-40B4-BE49-F238E27FC236}">
                <a16:creationId xmlns:a16="http://schemas.microsoft.com/office/drawing/2014/main" id="{91DB5C87-92A6-A5AA-538A-72F47B0EE1DC}"/>
              </a:ext>
            </a:extLst>
          </xdr:cNvPr>
          <xdr:cNvSpPr/>
        </xdr:nvSpPr>
        <xdr:spPr>
          <a:xfrm>
            <a:off x="2327090" y="6552952"/>
            <a:ext cx="6872939" cy="4500000"/>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8139BD8A-6137-4C2C-ABEB-56299C8B3E77}"/>
                  </a:ext>
                </a:extLst>
              </xdr:cNvPr>
              <xdr:cNvGraphicFramePr/>
            </xdr:nvGraphicFramePr>
            <xdr:xfrm>
              <a:off x="2688067" y="6955652"/>
              <a:ext cx="6164580" cy="3757172"/>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2688067" y="6955652"/>
                <a:ext cx="6164580" cy="375717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pic>
        <xdr:nvPicPr>
          <xdr:cNvPr id="56" name="Picture 55">
            <a:extLst>
              <a:ext uri="{FF2B5EF4-FFF2-40B4-BE49-F238E27FC236}">
                <a16:creationId xmlns:a16="http://schemas.microsoft.com/office/drawing/2014/main" id="{1608991C-5171-EEDF-A7D2-4AD627F6A29E}"/>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backgroundRemoval t="10000" b="90000" l="10000" r="90000">
                        <a14:foregroundMark x1="25946" y1="55797" x2="25946" y2="55797"/>
                        <a14:foregroundMark x1="27027" y1="30435" x2="27027" y2="30435"/>
                        <a14:foregroundMark x1="71351" y1="30435" x2="71351" y2="30435"/>
                      </a14:backgroundRemoval>
                    </a14:imgEffect>
                  </a14:imgLayer>
                </a14:imgProps>
              </a:ext>
              <a:ext uri="{28A0092B-C50C-407E-A947-70E740481C1C}">
                <a14:useLocalDpi xmlns:a14="http://schemas.microsoft.com/office/drawing/2010/main" val="0"/>
              </a:ext>
            </a:extLst>
          </a:blip>
          <a:stretch>
            <a:fillRect/>
          </a:stretch>
        </xdr:blipFill>
        <xdr:spPr>
          <a:xfrm>
            <a:off x="6533029" y="10266511"/>
            <a:ext cx="986117" cy="733308"/>
          </a:xfrm>
          <a:prstGeom prst="rect">
            <a:avLst/>
          </a:prstGeom>
        </xdr:spPr>
      </xdr:pic>
      <xdr:grpSp>
        <xdr:nvGrpSpPr>
          <xdr:cNvPr id="63" name="Group 62">
            <a:extLst>
              <a:ext uri="{FF2B5EF4-FFF2-40B4-BE49-F238E27FC236}">
                <a16:creationId xmlns:a16="http://schemas.microsoft.com/office/drawing/2014/main" id="{EAE5DE52-ABBD-4ECC-BFE3-9822D96CAA76}"/>
              </a:ext>
            </a:extLst>
          </xdr:cNvPr>
          <xdr:cNvGrpSpPr/>
        </xdr:nvGrpSpPr>
        <xdr:grpSpPr>
          <a:xfrm>
            <a:off x="1501588" y="6521824"/>
            <a:ext cx="1199029" cy="1143000"/>
            <a:chOff x="1479176" y="2442882"/>
            <a:chExt cx="1199029" cy="1143000"/>
          </a:xfrm>
        </xdr:grpSpPr>
        <xdr:sp macro="" textlink="">
          <xdr:nvSpPr>
            <xdr:cNvPr id="64" name="Oval 63">
              <a:extLst>
                <a:ext uri="{FF2B5EF4-FFF2-40B4-BE49-F238E27FC236}">
                  <a16:creationId xmlns:a16="http://schemas.microsoft.com/office/drawing/2014/main" id="{5D540D4D-AA85-1003-84F4-4F52557B6B35}"/>
                </a:ext>
              </a:extLst>
            </xdr:cNvPr>
            <xdr:cNvSpPr/>
          </xdr:nvSpPr>
          <xdr:spPr>
            <a:xfrm>
              <a:off x="1479176" y="2442882"/>
              <a:ext cx="1199029" cy="1143000"/>
            </a:xfrm>
            <a:prstGeom prst="ellipse">
              <a:avLst/>
            </a:prstGeom>
            <a:solidFill>
              <a:schemeClr val="accent1">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5" name="TextBox 64">
              <a:extLst>
                <a:ext uri="{FF2B5EF4-FFF2-40B4-BE49-F238E27FC236}">
                  <a16:creationId xmlns:a16="http://schemas.microsoft.com/office/drawing/2014/main" id="{18E78949-D7B6-E49C-F8D6-92977083CE84}"/>
                </a:ext>
              </a:extLst>
            </xdr:cNvPr>
            <xdr:cNvSpPr txBox="1"/>
          </xdr:nvSpPr>
          <xdr:spPr>
            <a:xfrm>
              <a:off x="1591237" y="2801470"/>
              <a:ext cx="949753" cy="497418"/>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4400">
                  <a:solidFill>
                    <a:schemeClr val="bg1"/>
                  </a:solidFill>
                  <a:latin typeface="Britannic Bold" panose="020B0903060703020204" pitchFamily="34" charset="0"/>
                </a:rPr>
                <a:t>4</a:t>
              </a:r>
            </a:p>
          </xdr:txBody>
        </xdr:sp>
      </xdr:grpSp>
    </xdr:grpSp>
    <xdr:clientData/>
  </xdr:twoCellAnchor>
  <xdr:twoCellAnchor>
    <xdr:from>
      <xdr:col>20</xdr:col>
      <xdr:colOff>179295</xdr:colOff>
      <xdr:row>35</xdr:row>
      <xdr:rowOff>134471</xdr:rowOff>
    </xdr:from>
    <xdr:to>
      <xdr:col>34</xdr:col>
      <xdr:colOff>392206</xdr:colOff>
      <xdr:row>59</xdr:row>
      <xdr:rowOff>136071</xdr:rowOff>
    </xdr:to>
    <xdr:sp macro="" textlink="">
      <xdr:nvSpPr>
        <xdr:cNvPr id="66" name="Rectangle: Rounded Corners 65">
          <a:extLst>
            <a:ext uri="{FF2B5EF4-FFF2-40B4-BE49-F238E27FC236}">
              <a16:creationId xmlns:a16="http://schemas.microsoft.com/office/drawing/2014/main" id="{337E5635-EBA4-46AE-8C1B-9030DB05464E}"/>
            </a:ext>
          </a:extLst>
        </xdr:cNvPr>
        <xdr:cNvSpPr/>
      </xdr:nvSpPr>
      <xdr:spPr>
        <a:xfrm>
          <a:off x="12425724" y="6801971"/>
          <a:ext cx="8785411" cy="4573600"/>
        </a:xfrm>
        <a:prstGeom prst="roundRect">
          <a:avLst/>
        </a:prstGeom>
        <a:noFill/>
        <a:ln w="76200">
          <a:solidFill>
            <a:schemeClr val="bg1">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0</xdr:col>
      <xdr:colOff>201705</xdr:colOff>
      <xdr:row>10</xdr:row>
      <xdr:rowOff>56030</xdr:rowOff>
    </xdr:from>
    <xdr:to>
      <xdr:col>3</xdr:col>
      <xdr:colOff>56029</xdr:colOff>
      <xdr:row>19</xdr:row>
      <xdr:rowOff>89648</xdr:rowOff>
    </xdr:to>
    <mc:AlternateContent xmlns:mc="http://schemas.openxmlformats.org/markup-compatibility/2006" xmlns:a14="http://schemas.microsoft.com/office/drawing/2010/main">
      <mc:Choice Requires="a14">
        <xdr:graphicFrame macro="">
          <xdr:nvGraphicFramePr>
            <xdr:cNvPr id="68" name="sex">
              <a:extLst>
                <a:ext uri="{FF2B5EF4-FFF2-40B4-BE49-F238E27FC236}">
                  <a16:creationId xmlns:a16="http://schemas.microsoft.com/office/drawing/2014/main" id="{E8D390F8-1142-49AE-AE87-3FD46318D892}"/>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201705" y="1961030"/>
              <a:ext cx="1691288" cy="174811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5</xdr:col>
      <xdr:colOff>414618</xdr:colOff>
      <xdr:row>8</xdr:row>
      <xdr:rowOff>100854</xdr:rowOff>
    </xdr:from>
    <xdr:to>
      <xdr:col>12</xdr:col>
      <xdr:colOff>268940</xdr:colOff>
      <xdr:row>33</xdr:row>
      <xdr:rowOff>15776</xdr:rowOff>
    </xdr:to>
    <xdr:grpSp>
      <xdr:nvGrpSpPr>
        <xdr:cNvPr id="80" name="Group 79">
          <a:extLst>
            <a:ext uri="{FF2B5EF4-FFF2-40B4-BE49-F238E27FC236}">
              <a16:creationId xmlns:a16="http://schemas.microsoft.com/office/drawing/2014/main" id="{6A772F13-9371-BE65-1513-7145BD471E76}"/>
            </a:ext>
          </a:extLst>
        </xdr:cNvPr>
        <xdr:cNvGrpSpPr/>
      </xdr:nvGrpSpPr>
      <xdr:grpSpPr>
        <a:xfrm>
          <a:off x="3476225" y="1624854"/>
          <a:ext cx="4140572" cy="4677422"/>
          <a:chOff x="2913529" y="1467971"/>
          <a:chExt cx="4090146" cy="4677422"/>
        </a:xfrm>
      </xdr:grpSpPr>
      <xdr:grpSp>
        <xdr:nvGrpSpPr>
          <xdr:cNvPr id="71" name="Group 70">
            <a:extLst>
              <a:ext uri="{FF2B5EF4-FFF2-40B4-BE49-F238E27FC236}">
                <a16:creationId xmlns:a16="http://schemas.microsoft.com/office/drawing/2014/main" id="{12A64954-DE48-C34C-4340-8B6076E25AF8}"/>
              </a:ext>
            </a:extLst>
          </xdr:cNvPr>
          <xdr:cNvGrpSpPr/>
        </xdr:nvGrpSpPr>
        <xdr:grpSpPr>
          <a:xfrm>
            <a:off x="3521136" y="1645393"/>
            <a:ext cx="3482539" cy="4500000"/>
            <a:chOff x="2759137" y="1555747"/>
            <a:chExt cx="3482539" cy="4500000"/>
          </a:xfrm>
        </xdr:grpSpPr>
        <xdr:sp macro="" textlink="">
          <xdr:nvSpPr>
            <xdr:cNvPr id="72" name="Rectangle: Rounded Corners 71">
              <a:extLst>
                <a:ext uri="{FF2B5EF4-FFF2-40B4-BE49-F238E27FC236}">
                  <a16:creationId xmlns:a16="http://schemas.microsoft.com/office/drawing/2014/main" id="{1A5EC505-9D34-C474-F53E-1F24493DFFC9}"/>
                </a:ext>
              </a:extLst>
            </xdr:cNvPr>
            <xdr:cNvSpPr/>
          </xdr:nvSpPr>
          <xdr:spPr>
            <a:xfrm>
              <a:off x="2759137" y="1555747"/>
              <a:ext cx="3482539" cy="4500000"/>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73" name="Chart 72">
              <a:extLst>
                <a:ext uri="{FF2B5EF4-FFF2-40B4-BE49-F238E27FC236}">
                  <a16:creationId xmlns:a16="http://schemas.microsoft.com/office/drawing/2014/main" id="{21F52C64-1211-1290-7923-1DB3569EF5DB}"/>
                </a:ext>
              </a:extLst>
            </xdr:cNvPr>
            <xdr:cNvGraphicFramePr>
              <a:graphicFrameLocks/>
            </xdr:cNvGraphicFramePr>
          </xdr:nvGraphicFramePr>
          <xdr:xfrm>
            <a:off x="2880611" y="1670013"/>
            <a:ext cx="3321184" cy="3574233"/>
          </xdr:xfrm>
          <a:graphic>
            <a:graphicData uri="http://schemas.openxmlformats.org/drawingml/2006/chart">
              <c:chart xmlns:c="http://schemas.openxmlformats.org/drawingml/2006/chart" xmlns:r="http://schemas.openxmlformats.org/officeDocument/2006/relationships" r:id="rId13"/>
            </a:graphicData>
          </a:graphic>
        </xdr:graphicFrame>
        <xdr:pic>
          <xdr:nvPicPr>
            <xdr:cNvPr id="74" name="Picture 73">
              <a:extLst>
                <a:ext uri="{FF2B5EF4-FFF2-40B4-BE49-F238E27FC236}">
                  <a16:creationId xmlns:a16="http://schemas.microsoft.com/office/drawing/2014/main" id="{C6A08941-A1ED-902F-142A-9E1FEEE58D2B}"/>
                </a:ext>
              </a:extLst>
            </xdr:cNvPr>
            <xdr:cNvPicPr>
              <a:picLocks noChangeAspect="1"/>
            </xdr:cNvPicPr>
          </xdr:nvPicPr>
          <xdr:blipFill>
            <a:blip xmlns:r="http://schemas.openxmlformats.org/officeDocument/2006/relationships" r:embed="rId14" cstate="print">
              <a:extLst>
                <a:ext uri="{BEBA8EAE-BF5A-486C-A8C5-ECC9F3942E4B}">
                  <a14:imgProps xmlns:a14="http://schemas.microsoft.com/office/drawing/2010/main">
                    <a14:imgLayer r:embed="rId15">
                      <a14:imgEffect>
                        <a14:backgroundRemoval t="9816" b="89877" l="9813" r="90421">
                          <a14:foregroundMark x1="83411" y1="76687" x2="83411" y2="76687"/>
                          <a14:foregroundMark x1="90421" y1="73926" x2="90421" y2="73926"/>
                          <a14:foregroundMark x1="80841" y1="51840" x2="80841" y2="51840"/>
                          <a14:foregroundMark x1="83411" y1="39264" x2="83411" y2="39264"/>
                        </a14:backgroundRemoval>
                      </a14:imgEffect>
                    </a14:imgLayer>
                  </a14:imgProps>
                </a:ext>
                <a:ext uri="{28A0092B-C50C-407E-A947-70E740481C1C}">
                  <a14:useLocalDpi xmlns:a14="http://schemas.microsoft.com/office/drawing/2010/main" val="0"/>
                </a:ext>
              </a:extLst>
            </a:blip>
            <a:stretch>
              <a:fillRect/>
            </a:stretch>
          </xdr:blipFill>
          <xdr:spPr>
            <a:xfrm>
              <a:off x="5009285" y="5244354"/>
              <a:ext cx="560183" cy="432670"/>
            </a:xfrm>
            <a:prstGeom prst="rect">
              <a:avLst/>
            </a:prstGeom>
          </xdr:spPr>
        </xdr:pic>
        <xdr:pic>
          <xdr:nvPicPr>
            <xdr:cNvPr id="75" name="Picture 74">
              <a:extLst>
                <a:ext uri="{FF2B5EF4-FFF2-40B4-BE49-F238E27FC236}">
                  <a16:creationId xmlns:a16="http://schemas.microsoft.com/office/drawing/2014/main" id="{7D6FB5AB-860D-FD64-AB63-3CBADAA9BAA6}"/>
                </a:ext>
              </a:extLst>
            </xdr:cNvPr>
            <xdr:cNvPicPr>
              <a:picLocks noChangeAspect="1"/>
            </xdr:cNvPicPr>
          </xdr:nvPicPr>
          <xdr:blipFill>
            <a:blip xmlns:r="http://schemas.openxmlformats.org/officeDocument/2006/relationships" r:embed="rId14" cstate="print">
              <a:extLst>
                <a:ext uri="{BEBA8EAE-BF5A-486C-A8C5-ECC9F3942E4B}">
                  <a14:imgProps xmlns:a14="http://schemas.microsoft.com/office/drawing/2010/main">
                    <a14:imgLayer r:embed="rId15">
                      <a14:imgEffect>
                        <a14:backgroundRemoval t="9816" b="89877" l="9813" r="90421">
                          <a14:foregroundMark x1="83411" y1="76687" x2="83411" y2="76687"/>
                          <a14:foregroundMark x1="90421" y1="73926" x2="90421" y2="73926"/>
                          <a14:foregroundMark x1="80841" y1="51840" x2="80841" y2="51840"/>
                          <a14:foregroundMark x1="83411" y1="39264" x2="83411" y2="39264"/>
                        </a14:backgroundRemoval>
                      </a14:imgEffect>
                    </a14:imgLayer>
                  </a14:imgProps>
                </a:ext>
                <a:ext uri="{28A0092B-C50C-407E-A947-70E740481C1C}">
                  <a14:useLocalDpi xmlns:a14="http://schemas.microsoft.com/office/drawing/2010/main" val="0"/>
                </a:ext>
              </a:extLst>
            </a:blip>
            <a:stretch>
              <a:fillRect/>
            </a:stretch>
          </xdr:blipFill>
          <xdr:spPr>
            <a:xfrm>
              <a:off x="3440205" y="5221942"/>
              <a:ext cx="560183" cy="432670"/>
            </a:xfrm>
            <a:prstGeom prst="rect">
              <a:avLst/>
            </a:prstGeom>
          </xdr:spPr>
        </xdr:pic>
        <xdr:pic>
          <xdr:nvPicPr>
            <xdr:cNvPr id="76" name="Picture 75">
              <a:extLst>
                <a:ext uri="{FF2B5EF4-FFF2-40B4-BE49-F238E27FC236}">
                  <a16:creationId xmlns:a16="http://schemas.microsoft.com/office/drawing/2014/main" id="{A68C76AC-43F3-E0E9-7F29-B8A35E3C48AE}"/>
                </a:ext>
              </a:extLst>
            </xdr:cNvPr>
            <xdr:cNvPicPr>
              <a:picLocks noChangeAspect="1"/>
            </xdr:cNvPicPr>
          </xdr:nvPicPr>
          <xdr:blipFill>
            <a:blip xmlns:r="http://schemas.openxmlformats.org/officeDocument/2006/relationships" r:embed="rId16">
              <a:extLst>
                <a:ext uri="{BEBA8EAE-BF5A-486C-A8C5-ECC9F3942E4B}">
                  <a14:imgProps xmlns:a14="http://schemas.microsoft.com/office/drawing/2010/main">
                    <a14:imgLayer r:embed="rId17">
                      <a14:imgEffect>
                        <a14:backgroundRemoval t="4902" b="95294" l="3733" r="93910">
                          <a14:foregroundMark x1="12181" y1="44902" x2="12181" y2="44902"/>
                          <a14:foregroundMark x1="44794" y1="10392" x2="44794" y2="10392"/>
                          <a14:foregroundMark x1="66798" y1="12549" x2="66798" y2="12549"/>
                          <a14:foregroundMark x1="52849" y1="5490" x2="52849" y2="5490"/>
                          <a14:foregroundMark x1="8055" y1="39216" x2="8055" y2="39216"/>
                          <a14:foregroundMark x1="4126" y1="47843" x2="3733" y2="57647"/>
                          <a14:foregroundMark x1="3733" y1="57647" x2="4322" y2="60000"/>
                          <a14:foregroundMark x1="29862" y1="86078" x2="46169" y2="91569"/>
                          <a14:foregroundMark x1="46169" y1="91569" x2="80747" y2="81961"/>
                          <a14:foregroundMark x1="94106" y1="52157" x2="94106" y2="38326"/>
                          <a14:foregroundMark x1="93062" y1="37843" x2="90570" y2="37843"/>
                          <a14:foregroundMark x1="42436" y1="94902" x2="52259" y2="95294"/>
                          <a14:backgroundMark x1="59921" y1="35490" x2="59921" y2="35490"/>
                          <a14:backgroundMark x1="24754" y1="49804" x2="24754" y2="49804"/>
                          <a14:backgroundMark x1="3929" y1="60392" x2="3143" y2="55686"/>
                          <a14:backgroundMark x1="4715" y1="60588" x2="3143" y2="55294"/>
                          <a14:backgroundMark x1="93910" y1="37451" x2="94303" y2="38235"/>
                          <a14:backgroundMark x1="94695" y1="39608" x2="94303" y2="38039"/>
                          <a14:backgroundMark x1="3733" y1="57451" x2="3536" y2="54314"/>
                        </a14:backgroundRemoval>
                      </a14:imgEffect>
                    </a14:imgLayer>
                  </a14:imgProps>
                </a:ext>
              </a:extLst>
            </a:blip>
            <a:stretch>
              <a:fillRect/>
            </a:stretch>
          </xdr:blipFill>
          <xdr:spPr>
            <a:xfrm>
              <a:off x="3395382" y="5143500"/>
              <a:ext cx="715771" cy="717177"/>
            </a:xfrm>
            <a:prstGeom prst="rect">
              <a:avLst/>
            </a:prstGeom>
          </xdr:spPr>
        </xdr:pic>
      </xdr:grpSp>
      <xdr:grpSp>
        <xdr:nvGrpSpPr>
          <xdr:cNvPr id="77" name="Group 76">
            <a:extLst>
              <a:ext uri="{FF2B5EF4-FFF2-40B4-BE49-F238E27FC236}">
                <a16:creationId xmlns:a16="http://schemas.microsoft.com/office/drawing/2014/main" id="{7F3D9FD6-8E95-DB1A-845E-0619BCAC4420}"/>
              </a:ext>
            </a:extLst>
          </xdr:cNvPr>
          <xdr:cNvGrpSpPr/>
        </xdr:nvGrpSpPr>
        <xdr:grpSpPr>
          <a:xfrm>
            <a:off x="2913529" y="1467971"/>
            <a:ext cx="1199029" cy="1143000"/>
            <a:chOff x="1479176" y="2442882"/>
            <a:chExt cx="1199029" cy="1143000"/>
          </a:xfrm>
        </xdr:grpSpPr>
        <xdr:sp macro="" textlink="">
          <xdr:nvSpPr>
            <xdr:cNvPr id="78" name="Oval 77">
              <a:extLst>
                <a:ext uri="{FF2B5EF4-FFF2-40B4-BE49-F238E27FC236}">
                  <a16:creationId xmlns:a16="http://schemas.microsoft.com/office/drawing/2014/main" id="{34A03D18-A56E-C37B-DD87-97CC7CDC8C39}"/>
                </a:ext>
              </a:extLst>
            </xdr:cNvPr>
            <xdr:cNvSpPr/>
          </xdr:nvSpPr>
          <xdr:spPr>
            <a:xfrm>
              <a:off x="1479176" y="2442882"/>
              <a:ext cx="1199029" cy="1143000"/>
            </a:xfrm>
            <a:prstGeom prst="ellipse">
              <a:avLst/>
            </a:prstGeom>
            <a:solidFill>
              <a:schemeClr val="accent1">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9" name="TextBox 78">
              <a:extLst>
                <a:ext uri="{FF2B5EF4-FFF2-40B4-BE49-F238E27FC236}">
                  <a16:creationId xmlns:a16="http://schemas.microsoft.com/office/drawing/2014/main" id="{C1815196-BE67-DF4A-0DBF-3DAEB26760F8}"/>
                </a:ext>
              </a:extLst>
            </xdr:cNvPr>
            <xdr:cNvSpPr txBox="1"/>
          </xdr:nvSpPr>
          <xdr:spPr>
            <a:xfrm>
              <a:off x="1591237" y="2801470"/>
              <a:ext cx="949753" cy="497418"/>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4400">
                  <a:solidFill>
                    <a:schemeClr val="bg1"/>
                  </a:solidFill>
                  <a:latin typeface="Britannic Bold" panose="020B0903060703020204" pitchFamily="34" charset="0"/>
                </a:rPr>
                <a:t>1</a:t>
              </a:r>
            </a:p>
          </xdr:txBody>
        </xdr:sp>
      </xdr:grpSp>
    </xdr:grpSp>
    <xdr:clientData/>
  </xdr:twoCellAnchor>
  <xdr:twoCellAnchor editAs="oneCell">
    <xdr:from>
      <xdr:col>0</xdr:col>
      <xdr:colOff>212913</xdr:colOff>
      <xdr:row>19</xdr:row>
      <xdr:rowOff>44824</xdr:rowOff>
    </xdr:from>
    <xdr:to>
      <xdr:col>3</xdr:col>
      <xdr:colOff>22412</xdr:colOff>
      <xdr:row>31</xdr:row>
      <xdr:rowOff>1</xdr:rowOff>
    </xdr:to>
    <mc:AlternateContent xmlns:mc="http://schemas.openxmlformats.org/markup-compatibility/2006" xmlns:a14="http://schemas.microsoft.com/office/drawing/2010/main">
      <mc:Choice Requires="a14">
        <xdr:graphicFrame macro="">
          <xdr:nvGraphicFramePr>
            <xdr:cNvPr id="87" name="region">
              <a:extLst>
                <a:ext uri="{FF2B5EF4-FFF2-40B4-BE49-F238E27FC236}">
                  <a16:creationId xmlns:a16="http://schemas.microsoft.com/office/drawing/2014/main" id="{6E2938CB-53F5-47B9-A26C-F6FD81BBA7A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12913" y="3664324"/>
              <a:ext cx="1646463" cy="224117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31</xdr:col>
      <xdr:colOff>333536</xdr:colOff>
      <xdr:row>37</xdr:row>
      <xdr:rowOff>89648</xdr:rowOff>
    </xdr:from>
    <xdr:to>
      <xdr:col>33</xdr:col>
      <xdr:colOff>314402</xdr:colOff>
      <xdr:row>43</xdr:row>
      <xdr:rowOff>128948</xdr:rowOff>
    </xdr:to>
    <xdr:pic>
      <xdr:nvPicPr>
        <xdr:cNvPr id="88" name="Picture 87">
          <a:extLst>
            <a:ext uri="{FF2B5EF4-FFF2-40B4-BE49-F238E27FC236}">
              <a16:creationId xmlns:a16="http://schemas.microsoft.com/office/drawing/2014/main" id="{0718D5D5-93B3-AC5F-FD90-88505DAA6D0E}"/>
            </a:ext>
          </a:extLst>
        </xdr:cNvPr>
        <xdr:cNvPicPr>
          <a:picLocks noChangeAspect="1"/>
        </xdr:cNvPicPr>
      </xdr:nvPicPr>
      <xdr:blipFill>
        <a:blip xmlns:r="http://schemas.openxmlformats.org/officeDocument/2006/relationships" r:embed="rId18">
          <a:extLst>
            <a:ext uri="{BEBA8EAE-BF5A-486C-A8C5-ECC9F3942E4B}">
              <a14:imgProps xmlns:a14="http://schemas.microsoft.com/office/drawing/2010/main">
                <a14:imgLayer r:embed="rId19">
                  <a14:imgEffect>
                    <a14:backgroundRemoval t="1985" b="94541" l="2217" r="96552">
                      <a14:foregroundMark x1="16256" y1="76179" x2="16256" y2="76179"/>
                      <a14:foregroundMark x1="8621" y1="71712" x2="8621" y2="71712"/>
                      <a14:foregroundMark x1="2709" y1="69479" x2="2709" y2="69479"/>
                      <a14:foregroundMark x1="16256" y1="95533" x2="16256" y2="95533"/>
                      <a14:foregroundMark x1="93350" y1="31017" x2="93350" y2="31017"/>
                      <a14:foregroundMark x1="96552" y1="40943" x2="96552" y2="40943"/>
                      <a14:foregroundMark x1="51232" y1="7940" x2="51232" y2="7940"/>
                      <a14:foregroundMark x1="56158" y1="1985" x2="56158" y2="1985"/>
                    </a14:backgroundRemoval>
                  </a14:imgEffect>
                </a14:imgLayer>
              </a14:imgProps>
            </a:ext>
          </a:extLst>
        </a:blip>
        <a:stretch>
          <a:fillRect/>
        </a:stretch>
      </xdr:blipFill>
      <xdr:spPr>
        <a:xfrm>
          <a:off x="19092183" y="7138148"/>
          <a:ext cx="1191101" cy="1182300"/>
        </a:xfrm>
        <a:prstGeom prst="rect">
          <a:avLst/>
        </a:prstGeom>
      </xdr:spPr>
    </xdr:pic>
    <xdr:clientData/>
  </xdr:twoCellAnchor>
  <mc:AlternateContent xmlns:mc="http://schemas.openxmlformats.org/markup-compatibility/2006">
    <mc:Choice xmlns:a14="http://schemas.microsoft.com/office/drawing/2010/main" Requires="a14">
      <xdr:twoCellAnchor>
        <xdr:from>
          <xdr:col>29</xdr:col>
          <xdr:colOff>514350</xdr:colOff>
          <xdr:row>53</xdr:row>
          <xdr:rowOff>76200</xdr:rowOff>
        </xdr:from>
        <xdr:to>
          <xdr:col>32</xdr:col>
          <xdr:colOff>533400</xdr:colOff>
          <xdr:row>56</xdr:row>
          <xdr:rowOff>142875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2200" b="0" i="0" u="none" strike="noStrike" baseline="0">
                  <a:solidFill>
                    <a:srgbClr val="000000"/>
                  </a:solidFill>
                  <a:latin typeface="Aptos Narrow"/>
                </a:rPr>
                <a:t>CLEAR</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917.252175694448" createdVersion="8" refreshedVersion="8" minRefreshableVersion="3" recordCount="1338" xr:uid="{35CEBA2C-B039-4A68-B745-8E016FBF83F6}">
  <cacheSource type="worksheet">
    <worksheetSource name="Table13_1"/>
  </cacheSource>
  <cacheFields count="11">
    <cacheField name="sex" numFmtId="0">
      <sharedItems count="2">
        <s v="female"/>
        <s v="male"/>
      </sharedItems>
    </cacheField>
    <cacheField name="Round BMI" numFmtId="0">
      <sharedItems containsSemiMixedTypes="0" containsString="0" containsNumber="1" minValue="16" maxValue="53.1"/>
    </cacheField>
    <cacheField name="BMI Ranges" numFmtId="0">
      <sharedItems count="5">
        <s v="Overweight"/>
        <s v="Obese"/>
        <s v="Healthy Weight"/>
        <s v="Underweight"/>
        <e v="#N/A" u="1"/>
      </sharedItems>
    </cacheField>
    <cacheField name="smoker" numFmtId="0">
      <sharedItems count="2">
        <s v="yes"/>
        <s v="no"/>
      </sharedItems>
    </cacheField>
    <cacheField name="Smoker stat" numFmtId="0">
      <sharedItems count="3">
        <s v="smoker"/>
        <s v="non-smoker"/>
        <s v="somker" u="1"/>
      </sharedItems>
    </cacheField>
    <cacheField name="region" numFmtId="0">
      <sharedItems count="4">
        <s v="southwest"/>
        <s v="southeast"/>
        <s v="northwest"/>
        <s v="northeast"/>
      </sharedItems>
    </cacheField>
    <cacheField name="age" numFmtId="0">
      <sharedItems containsSemiMixedTypes="0" containsString="0" containsNumber="1" containsInteger="1" minValue="18" maxValue="64" count="47">
        <n v="19"/>
        <n v="18"/>
        <n v="28"/>
        <n v="33"/>
        <n v="32"/>
        <n v="31"/>
        <n v="46"/>
        <n v="37"/>
        <n v="60"/>
        <n v="25"/>
        <n v="62"/>
        <n v="23"/>
        <n v="56"/>
        <n v="27"/>
        <n v="52"/>
        <n v="30"/>
        <n v="34"/>
        <n v="59"/>
        <n v="63"/>
        <n v="55"/>
        <n v="22"/>
        <n v="26"/>
        <n v="35"/>
        <n v="24"/>
        <n v="41"/>
        <n v="38"/>
        <n v="36"/>
        <n v="21"/>
        <n v="48"/>
        <n v="40"/>
        <n v="58"/>
        <n v="53"/>
        <n v="43"/>
        <n v="64"/>
        <n v="20"/>
        <n v="61"/>
        <n v="44"/>
        <n v="57"/>
        <n v="29"/>
        <n v="45"/>
        <n v="54"/>
        <n v="49"/>
        <n v="47"/>
        <n v="51"/>
        <n v="42"/>
        <n v="50"/>
        <n v="39"/>
      </sharedItems>
      <fieldGroup base="6">
        <rangePr startNum="18" endNum="64" groupInterval="10"/>
        <groupItems count="7">
          <s v="&lt;18"/>
          <s v="18-27"/>
          <s v="28-37"/>
          <s v="38-47"/>
          <s v="48-57"/>
          <s v="58-67"/>
          <s v="&gt;68"/>
        </groupItems>
      </fieldGroup>
    </cacheField>
    <cacheField name="smoker2" numFmtId="0">
      <sharedItems containsSemiMixedTypes="0" containsString="0" containsNumber="1" containsInteger="1" minValue="0" maxValue="1"/>
    </cacheField>
    <cacheField name="bmi" numFmtId="0">
      <sharedItems containsSemiMixedTypes="0" containsString="0" containsNumber="1" minValue="15.96" maxValue="53.13" count="548">
        <n v="27.9"/>
        <n v="33.770000000000003"/>
        <n v="33"/>
        <n v="22.704999999999998"/>
        <n v="28.88"/>
        <n v="25.74"/>
        <n v="33.44"/>
        <n v="27.74"/>
        <n v="29.83"/>
        <n v="25.84"/>
        <n v="26.22"/>
        <n v="26.29"/>
        <n v="34.4"/>
        <n v="39.82"/>
        <n v="42.13"/>
        <n v="24.6"/>
        <n v="30.78"/>
        <n v="23.844999999999999"/>
        <n v="40.299999999999997"/>
        <n v="35.299999999999997"/>
        <n v="36.005000000000003"/>
        <n v="32.4"/>
        <n v="34.1"/>
        <n v="31.92"/>
        <n v="28.024999999999999"/>
        <n v="27.72"/>
        <n v="23.085000000000001"/>
        <n v="32.774999999999999"/>
        <n v="17.385000000000002"/>
        <n v="36.299999999999997"/>
        <n v="35.6"/>
        <n v="26.315000000000001"/>
        <n v="28.6"/>
        <n v="28.31"/>
        <n v="36.4"/>
        <n v="20.425000000000001"/>
        <n v="32.965000000000003"/>
        <n v="20.8"/>
        <n v="36.67"/>
        <n v="39.9"/>
        <n v="26.6"/>
        <n v="36.630000000000003"/>
        <n v="21.78"/>
        <n v="30.8"/>
        <n v="37.049999999999997"/>
        <n v="37.299999999999997"/>
        <n v="38.664999999999999"/>
        <n v="34.770000000000003"/>
        <n v="24.53"/>
        <n v="35.200000000000003"/>
        <n v="35.625"/>
        <n v="33.630000000000003"/>
        <n v="28"/>
        <n v="34.43"/>
        <n v="28.69"/>
        <n v="36.954999999999998"/>
        <n v="31.824999999999999"/>
        <n v="31.68"/>
        <n v="22.88"/>
        <n v="37.335000000000001"/>
        <n v="27.36"/>
        <n v="33.659999999999997"/>
        <n v="24.7"/>
        <n v="25.934999999999999"/>
        <n v="22.42"/>
        <n v="28.9"/>
        <n v="39.1"/>
        <n v="36.19"/>
        <n v="23.98"/>
        <n v="24.75"/>
        <n v="28.5"/>
        <n v="28.1"/>
        <n v="32.01"/>
        <n v="27.4"/>
        <n v="34.01"/>
        <n v="29.59"/>
        <n v="35.53"/>
        <n v="39.805"/>
        <n v="26.885000000000002"/>
        <n v="38.284999999999997"/>
        <n v="37.619999999999997"/>
        <n v="41.23"/>
        <n v="34.799999999999997"/>
        <n v="22.895"/>
        <n v="31.16"/>
        <n v="27.2"/>
        <n v="26.98"/>
        <n v="39.49"/>
        <n v="24.795000000000002"/>
        <n v="31.3"/>
        <n v="38.28"/>
        <n v="19.95"/>
        <n v="19.3"/>
        <n v="31.6"/>
        <n v="25.46"/>
        <n v="30.114999999999998"/>
        <n v="29.92"/>
        <n v="27.5"/>
        <n v="28.4"/>
        <n v="30.875"/>
        <n v="27.94"/>
        <n v="35.090000000000003"/>
        <n v="29.7"/>
        <n v="35.72"/>
        <n v="32.204999999999998"/>
        <n v="28.594999999999999"/>
        <n v="49.06"/>
        <n v="27.17"/>
        <n v="23.37"/>
        <n v="37.1"/>
        <n v="23.75"/>
        <n v="28.975000000000001"/>
        <n v="31.35"/>
        <n v="33.914999999999999"/>
        <n v="28.785"/>
        <n v="28.3"/>
        <n v="37.4"/>
        <n v="17.765000000000001"/>
        <n v="34.700000000000003"/>
        <n v="26.504999999999999"/>
        <n v="22.04"/>
        <n v="35.9"/>
        <n v="25.555"/>
        <n v="28.05"/>
        <n v="25.175000000000001"/>
        <n v="31.9"/>
        <n v="36"/>
        <n v="32.49"/>
        <n v="25.3"/>
        <n v="29.734999999999999"/>
        <n v="38.83"/>
        <n v="30.495000000000001"/>
        <n v="37.729999999999997"/>
        <n v="37.43"/>
        <n v="24.13"/>
        <n v="37.145000000000003"/>
        <n v="39.520000000000003"/>
        <n v="24.42"/>
        <n v="27.83"/>
        <n v="36.85"/>
        <n v="39.6"/>
        <n v="29.8"/>
        <n v="29.64"/>
        <n v="28.215"/>
        <n v="37"/>
        <n v="33.155000000000001"/>
        <n v="18.905000000000001"/>
        <n v="41.47"/>
        <n v="30.3"/>
        <n v="15.96"/>
        <n v="33.344999999999999"/>
        <n v="37.700000000000003"/>
        <n v="27.835000000000001"/>
        <n v="29.2"/>
        <n v="26.41"/>
        <n v="30.69"/>
        <n v="41.895000000000003"/>
        <n v="30.9"/>
        <n v="32.200000000000003"/>
        <n v="32.11"/>
        <n v="31.57"/>
        <n v="26.2"/>
        <n v="30.59"/>
        <n v="32.799999999999997"/>
        <n v="18.05"/>
        <n v="39.33"/>
        <n v="32.229999999999997"/>
        <n v="24.035"/>
        <n v="36.08"/>
        <n v="22.3"/>
        <n v="26.4"/>
        <n v="31.8"/>
        <n v="26.73"/>
        <n v="23.1"/>
        <n v="23.21"/>
        <n v="33.700000000000003"/>
        <n v="33.25"/>
        <n v="24.64"/>
        <n v="33.880000000000003"/>
        <n v="38.06"/>
        <n v="41.91"/>
        <n v="31.635000000000002"/>
        <n v="36.195"/>
        <n v="17.8"/>
        <n v="24.51"/>
        <n v="22.22"/>
        <n v="38.39"/>
        <n v="29.07"/>
        <n v="22.135000000000002"/>
        <n v="26.8"/>
        <n v="30.02"/>
        <n v="35.86"/>
        <n v="20.9"/>
        <n v="17.29"/>
        <n v="34.21"/>
        <n v="25.364999999999998"/>
        <n v="40.15"/>
        <n v="24.414999999999999"/>
        <n v="25.2"/>
        <n v="26.84"/>
        <n v="24.32"/>
        <n v="42.35"/>
        <n v="19.8"/>
        <n v="32.395000000000003"/>
        <n v="30.2"/>
        <n v="29.37"/>
        <n v="34.200000000000003"/>
        <n v="27.454999999999998"/>
        <n v="27.55"/>
        <n v="20.614999999999998"/>
        <n v="24.3"/>
        <n v="31.79"/>
        <n v="21.56"/>
        <n v="28.12"/>
        <n v="40.564999999999998"/>
        <n v="27.645"/>
        <n v="31.2"/>
        <n v="26.62"/>
        <n v="48.07"/>
        <n v="36.765000000000001"/>
        <n v="33.4"/>
        <n v="45.54"/>
        <n v="28.82"/>
        <n v="22.99"/>
        <n v="27.7"/>
        <n v="25.41"/>
        <n v="34.39"/>
        <n v="22.61"/>
        <n v="37.51"/>
        <n v="38"/>
        <n v="33.33"/>
        <n v="34.865000000000002"/>
        <n v="33.06"/>
        <n v="35.97"/>
        <n v="31.4"/>
        <n v="25.27"/>
        <n v="40.945"/>
        <n v="34.104999999999997"/>
        <n v="36.479999999999997"/>
        <n v="33.799999999999997"/>
        <n v="36.700000000000003"/>
        <n v="36.384999999999998"/>
        <n v="34.5"/>
        <n v="32.299999999999997"/>
        <n v="27.6"/>
        <n v="29.26"/>
        <n v="35.75"/>
        <n v="23.18"/>
        <n v="25.6"/>
        <n v="35.244999999999997"/>
        <n v="43.89"/>
        <n v="20.79"/>
        <n v="30.5"/>
        <n v="21.7"/>
        <n v="21.89"/>
        <n v="24.984999999999999"/>
        <n v="32.015000000000001"/>
        <n v="30.4"/>
        <n v="21.09"/>
        <n v="22.23"/>
        <n v="32.9"/>
        <n v="24.89"/>
        <n v="31.46"/>
        <n v="17.954999999999998"/>
        <n v="30.684999999999999"/>
        <n v="43.34"/>
        <n v="39.049999999999997"/>
        <n v="30.21"/>
        <n v="31.445"/>
        <n v="19.855"/>
        <n v="31.02"/>
        <n v="38.17"/>
        <n v="20.6"/>
        <n v="47.52"/>
        <n v="20.399999999999999"/>
        <n v="38.380000000000003"/>
        <n v="24.31"/>
        <n v="23.6"/>
        <n v="21.12"/>
        <n v="30.03"/>
        <n v="17.48"/>
        <n v="20.234999999999999"/>
        <n v="17.195"/>
        <n v="23.9"/>
        <n v="35.15"/>
        <n v="35.64"/>
        <n v="22.6"/>
        <n v="39.159999999999997"/>
        <n v="27.265000000000001"/>
        <n v="29.164999999999999"/>
        <n v="16.815000000000001"/>
        <n v="33.1"/>
        <n v="26.9"/>
        <n v="33.11"/>
        <n v="31.73"/>
        <n v="46.75"/>
        <n v="29.45"/>
        <n v="32.68"/>
        <n v="33.5"/>
        <n v="43.01"/>
        <n v="36.520000000000003"/>
        <n v="26.695"/>
        <n v="25.65"/>
        <n v="29.6"/>
        <n v="38.6"/>
        <n v="23.4"/>
        <n v="46.53"/>
        <n v="30.14"/>
        <n v="30"/>
        <n v="38.094999999999999"/>
        <n v="28.38"/>
        <n v="28.7"/>
        <n v="33.82"/>
        <n v="24.09"/>
        <n v="32.67"/>
        <n v="25.1"/>
        <n v="32.56"/>
        <n v="41.325000000000003"/>
        <n v="39.5"/>
        <n v="34.299999999999997"/>
        <n v="31.065000000000001"/>
        <n v="21.47"/>
        <n v="25.08"/>
        <n v="43.4"/>
        <n v="25.7"/>
        <n v="27.93"/>
        <n v="39.200000000000003"/>
        <n v="26.03"/>
        <n v="30.25"/>
        <n v="28.93"/>
        <n v="35.700000000000003"/>
        <n v="35.31"/>
        <n v="31"/>
        <n v="44.22"/>
        <n v="26.07"/>
        <n v="25.8"/>
        <n v="39.424999999999997"/>
        <n v="40.479999999999997"/>
        <n v="38.9"/>
        <n v="47.41"/>
        <n v="35.435000000000002"/>
        <n v="46.7"/>
        <n v="46.2"/>
        <n v="21.4"/>
        <n v="23.8"/>
        <n v="44.77"/>
        <n v="32.119999999999997"/>
        <n v="29.1"/>
        <n v="37.29"/>
        <n v="43.12"/>
        <n v="36.86"/>
        <n v="34.295000000000002"/>
        <n v="23.465"/>
        <n v="45.43"/>
        <n v="23.65"/>
        <n v="20.7"/>
        <n v="28.27"/>
        <n v="35.909999999999997"/>
        <n v="29"/>
        <n v="19.57"/>
        <n v="31.13"/>
        <n v="21.85"/>
        <n v="40.26"/>
        <n v="33.725000000000001"/>
        <n v="29.48"/>
        <n v="32.6"/>
        <n v="37.524999999999999"/>
        <n v="23.655000000000001"/>
        <n v="37.799999999999997"/>
        <n v="19"/>
        <n v="21.3"/>
        <n v="33.534999999999997"/>
        <n v="42.46"/>
        <n v="38.950000000000003"/>
        <n v="36.1"/>
        <n v="29.3"/>
        <n v="39.700000000000003"/>
        <n v="38.19"/>
        <n v="42.4"/>
        <n v="34.96"/>
        <n v="42.68"/>
        <n v="31.54"/>
        <n v="29.81"/>
        <n v="21.375"/>
        <n v="40.81"/>
        <n v="17.399999999999999"/>
        <n v="20.3"/>
        <n v="18.5"/>
        <n v="26.125"/>
        <n v="41.69"/>
        <n v="24.1"/>
        <n v="36.200000000000003"/>
        <n v="40.185000000000002"/>
        <n v="39.270000000000003"/>
        <n v="34.869999999999997"/>
        <n v="44.744999999999997"/>
        <n v="29.545000000000002"/>
        <n v="23.54"/>
        <n v="40.47"/>
        <n v="40.659999999999997"/>
        <n v="36.6"/>
        <n v="35.4"/>
        <n v="27.074999999999999"/>
        <n v="28.405000000000001"/>
        <n v="21.754999999999999"/>
        <n v="40.28"/>
        <n v="30.1"/>
        <n v="32.1"/>
        <n v="23.7"/>
        <n v="35.5"/>
        <n v="29.15"/>
        <n v="27"/>
        <n v="37.905000000000001"/>
        <n v="22.77"/>
        <n v="22.8"/>
        <n v="34.58"/>
        <n v="27.1"/>
        <n v="19.475000000000001"/>
        <n v="26.7"/>
        <n v="34.32"/>
        <n v="24.4"/>
        <n v="41.14"/>
        <n v="22.515000000000001"/>
        <n v="41.8"/>
        <n v="26.18"/>
        <n v="42.24"/>
        <n v="26.51"/>
        <n v="35.814999999999998"/>
        <n v="41.42"/>
        <n v="36.575000000000003"/>
        <n v="42.94"/>
        <n v="21.01"/>
        <n v="24.225000000000001"/>
        <n v="17.670000000000002"/>
        <n v="31.5"/>
        <n v="31.1"/>
        <n v="32.78"/>
        <n v="32.450000000000003"/>
        <n v="50.38"/>
        <n v="47.6"/>
        <n v="25.4"/>
        <n v="29.9"/>
        <n v="43.7"/>
        <n v="24.86"/>
        <n v="28.8"/>
        <n v="29.5"/>
        <n v="29.04"/>
        <n v="38.94"/>
        <n v="44"/>
        <n v="20.045000000000002"/>
        <n v="40.92"/>
        <n v="35.1"/>
        <n v="29.355"/>
        <n v="32.585000000000001"/>
        <n v="32.340000000000003"/>
        <n v="39.799999999999997"/>
        <n v="24.605"/>
        <n v="33.99"/>
        <n v="28.2"/>
        <n v="25"/>
        <n v="33.200000000000003"/>
        <n v="23.2"/>
        <n v="20.100000000000001"/>
        <n v="32.5"/>
        <n v="37.18"/>
        <n v="46.09"/>
        <n v="39.93"/>
        <n v="35.799999999999997"/>
        <n v="31.254999999999999"/>
        <n v="18.335000000000001"/>
        <n v="42.9"/>
        <n v="26.79"/>
        <n v="39.615000000000002"/>
        <n v="25.9"/>
        <n v="25.745000000000001"/>
        <n v="28.16"/>
        <n v="23.56"/>
        <n v="40.5"/>
        <n v="35.42"/>
        <n v="39.994999999999997"/>
        <n v="34.674999999999997"/>
        <n v="20.52"/>
        <n v="23.274999999999999"/>
        <n v="36.29"/>
        <n v="32.700000000000003"/>
        <n v="19.190000000000001"/>
        <n v="20.13"/>
        <n v="23.32"/>
        <n v="45.32"/>
        <n v="34.6"/>
        <n v="18.715"/>
        <n v="21.565000000000001"/>
        <n v="23"/>
        <n v="37.07"/>
        <n v="52.58"/>
        <n v="42.655000000000001"/>
        <n v="21.66"/>
        <n v="32"/>
        <n v="18.3"/>
        <n v="47.74"/>
        <n v="22.1"/>
        <n v="19.094999999999999"/>
        <n v="31.24"/>
        <n v="29.925000000000001"/>
        <n v="20.350000000000001"/>
        <n v="25.85"/>
        <n v="42.75"/>
        <n v="18.600000000000001"/>
        <n v="23.87"/>
        <n v="45.9"/>
        <n v="21.5"/>
        <n v="30.305"/>
        <n v="44.88"/>
        <n v="41.1"/>
        <n v="40.369999999999997"/>
        <n v="28.49"/>
        <n v="33.549999999999997"/>
        <n v="40.375"/>
        <n v="27.28"/>
        <n v="17.86"/>
        <n v="33.299999999999997"/>
        <n v="39.14"/>
        <n v="21.945"/>
        <n v="24.97"/>
        <n v="23.94"/>
        <n v="34.484999999999999"/>
        <n v="21.8"/>
        <n v="23.3"/>
        <n v="36.96"/>
        <n v="21.28"/>
        <n v="29.4"/>
        <n v="27.3"/>
        <n v="37.9"/>
        <n v="37.715000000000003"/>
        <n v="23.76"/>
        <n v="25.52"/>
        <n v="27.61"/>
        <n v="27.06"/>
        <n v="39.4"/>
        <n v="34.9"/>
        <n v="22"/>
        <n v="30.36"/>
        <n v="27.8"/>
        <n v="53.13"/>
        <n v="39.71"/>
        <n v="32.869999999999997"/>
        <n v="44.7"/>
        <n v="30.97"/>
      </sharedItems>
      <fieldGroup base="8">
        <rangePr autoStart="0" autoEnd="0" startNum="15" endNum="55" groupInterval="10"/>
        <groupItems count="6">
          <s v="&lt;15"/>
          <s v="15-25"/>
          <s v="25-35"/>
          <s v="35-45"/>
          <s v="45-55"/>
          <s v="&gt;55"/>
        </groupItems>
      </fieldGroup>
    </cacheField>
    <cacheField name="children" numFmtId="0">
      <sharedItems containsSemiMixedTypes="0" containsString="0" containsNumber="1" containsInteger="1" minValue="0" maxValue="5" count="6">
        <n v="0"/>
        <n v="1"/>
        <n v="3"/>
        <n v="2"/>
        <n v="5"/>
        <n v="4"/>
      </sharedItems>
    </cacheField>
    <cacheField name="charges" numFmtId="0">
      <sharedItems containsSemiMixedTypes="0" containsString="0" containsNumber="1" minValue="1121.8739" maxValue="63770.428"/>
    </cacheField>
  </cacheFields>
  <extLst>
    <ext xmlns:x14="http://schemas.microsoft.com/office/spreadsheetml/2009/9/main" uri="{725AE2AE-9491-48be-B2B4-4EB974FC3084}">
      <x14:pivotCacheDefinition pivotCacheId="4111807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8">
  <r>
    <x v="0"/>
    <n v="27.9"/>
    <x v="0"/>
    <x v="0"/>
    <x v="0"/>
    <x v="0"/>
    <x v="0"/>
    <n v="1"/>
    <x v="0"/>
    <x v="0"/>
    <n v="16884.923999999999"/>
  </r>
  <r>
    <x v="1"/>
    <n v="33.799999999999997"/>
    <x v="1"/>
    <x v="1"/>
    <x v="1"/>
    <x v="1"/>
    <x v="1"/>
    <n v="0"/>
    <x v="1"/>
    <x v="1"/>
    <n v="1725.5523000000001"/>
  </r>
  <r>
    <x v="1"/>
    <n v="33"/>
    <x v="1"/>
    <x v="1"/>
    <x v="1"/>
    <x v="1"/>
    <x v="2"/>
    <n v="0"/>
    <x v="2"/>
    <x v="2"/>
    <n v="4449.4620000000004"/>
  </r>
  <r>
    <x v="1"/>
    <n v="22.7"/>
    <x v="2"/>
    <x v="1"/>
    <x v="1"/>
    <x v="2"/>
    <x v="3"/>
    <n v="0"/>
    <x v="3"/>
    <x v="0"/>
    <n v="21984.470600000001"/>
  </r>
  <r>
    <x v="1"/>
    <n v="28.9"/>
    <x v="0"/>
    <x v="1"/>
    <x v="1"/>
    <x v="2"/>
    <x v="4"/>
    <n v="0"/>
    <x v="4"/>
    <x v="0"/>
    <n v="3866.8552"/>
  </r>
  <r>
    <x v="0"/>
    <n v="25.7"/>
    <x v="0"/>
    <x v="1"/>
    <x v="1"/>
    <x v="1"/>
    <x v="5"/>
    <n v="0"/>
    <x v="5"/>
    <x v="0"/>
    <n v="3756.6215999999999"/>
  </r>
  <r>
    <x v="0"/>
    <n v="33.4"/>
    <x v="1"/>
    <x v="1"/>
    <x v="1"/>
    <x v="1"/>
    <x v="6"/>
    <n v="0"/>
    <x v="6"/>
    <x v="1"/>
    <n v="8240.5895999999993"/>
  </r>
  <r>
    <x v="0"/>
    <n v="27.7"/>
    <x v="0"/>
    <x v="1"/>
    <x v="1"/>
    <x v="2"/>
    <x v="7"/>
    <n v="0"/>
    <x v="7"/>
    <x v="2"/>
    <n v="7281.5056000000004"/>
  </r>
  <r>
    <x v="1"/>
    <n v="29.8"/>
    <x v="0"/>
    <x v="1"/>
    <x v="1"/>
    <x v="3"/>
    <x v="7"/>
    <n v="0"/>
    <x v="8"/>
    <x v="3"/>
    <n v="6406.4107000000004"/>
  </r>
  <r>
    <x v="0"/>
    <n v="25.8"/>
    <x v="0"/>
    <x v="1"/>
    <x v="1"/>
    <x v="2"/>
    <x v="8"/>
    <n v="0"/>
    <x v="9"/>
    <x v="0"/>
    <n v="28923.136900000001"/>
  </r>
  <r>
    <x v="1"/>
    <n v="26.2"/>
    <x v="0"/>
    <x v="1"/>
    <x v="1"/>
    <x v="3"/>
    <x v="9"/>
    <n v="0"/>
    <x v="10"/>
    <x v="0"/>
    <n v="2721.3208"/>
  </r>
  <r>
    <x v="0"/>
    <n v="26.3"/>
    <x v="0"/>
    <x v="0"/>
    <x v="0"/>
    <x v="1"/>
    <x v="10"/>
    <n v="1"/>
    <x v="11"/>
    <x v="0"/>
    <n v="27808.7251"/>
  </r>
  <r>
    <x v="1"/>
    <n v="34.4"/>
    <x v="1"/>
    <x v="1"/>
    <x v="1"/>
    <x v="0"/>
    <x v="11"/>
    <n v="0"/>
    <x v="12"/>
    <x v="0"/>
    <n v="1826.8430000000001"/>
  </r>
  <r>
    <x v="0"/>
    <n v="39.799999999999997"/>
    <x v="1"/>
    <x v="1"/>
    <x v="1"/>
    <x v="1"/>
    <x v="12"/>
    <n v="0"/>
    <x v="13"/>
    <x v="0"/>
    <n v="11090.7178"/>
  </r>
  <r>
    <x v="1"/>
    <n v="42.1"/>
    <x v="1"/>
    <x v="0"/>
    <x v="0"/>
    <x v="1"/>
    <x v="13"/>
    <n v="1"/>
    <x v="14"/>
    <x v="0"/>
    <n v="39611.757700000002"/>
  </r>
  <r>
    <x v="1"/>
    <n v="24.6"/>
    <x v="2"/>
    <x v="1"/>
    <x v="1"/>
    <x v="0"/>
    <x v="0"/>
    <n v="0"/>
    <x v="15"/>
    <x v="1"/>
    <n v="1837.2370000000001"/>
  </r>
  <r>
    <x v="0"/>
    <n v="30.8"/>
    <x v="1"/>
    <x v="1"/>
    <x v="1"/>
    <x v="3"/>
    <x v="14"/>
    <n v="0"/>
    <x v="16"/>
    <x v="1"/>
    <n v="10797.3362"/>
  </r>
  <r>
    <x v="1"/>
    <n v="23.8"/>
    <x v="2"/>
    <x v="1"/>
    <x v="1"/>
    <x v="3"/>
    <x v="11"/>
    <n v="0"/>
    <x v="17"/>
    <x v="0"/>
    <n v="2395.1716000000001"/>
  </r>
  <r>
    <x v="1"/>
    <n v="40.299999999999997"/>
    <x v="1"/>
    <x v="1"/>
    <x v="1"/>
    <x v="0"/>
    <x v="12"/>
    <n v="0"/>
    <x v="18"/>
    <x v="0"/>
    <n v="10602.385"/>
  </r>
  <r>
    <x v="1"/>
    <n v="35.299999999999997"/>
    <x v="1"/>
    <x v="0"/>
    <x v="0"/>
    <x v="0"/>
    <x v="15"/>
    <n v="1"/>
    <x v="19"/>
    <x v="0"/>
    <n v="36837.466999999997"/>
  </r>
  <r>
    <x v="0"/>
    <n v="36"/>
    <x v="1"/>
    <x v="1"/>
    <x v="1"/>
    <x v="3"/>
    <x v="8"/>
    <n v="0"/>
    <x v="20"/>
    <x v="0"/>
    <n v="13228.847"/>
  </r>
  <r>
    <x v="0"/>
    <n v="32.4"/>
    <x v="1"/>
    <x v="1"/>
    <x v="1"/>
    <x v="0"/>
    <x v="15"/>
    <n v="0"/>
    <x v="21"/>
    <x v="1"/>
    <n v="4149.7359999999999"/>
  </r>
  <r>
    <x v="1"/>
    <n v="34.1"/>
    <x v="1"/>
    <x v="1"/>
    <x v="1"/>
    <x v="1"/>
    <x v="1"/>
    <n v="0"/>
    <x v="22"/>
    <x v="0"/>
    <n v="1137.011"/>
  </r>
  <r>
    <x v="0"/>
    <n v="31.9"/>
    <x v="1"/>
    <x v="0"/>
    <x v="0"/>
    <x v="3"/>
    <x v="16"/>
    <n v="1"/>
    <x v="23"/>
    <x v="1"/>
    <n v="37701.876799999998"/>
  </r>
  <r>
    <x v="1"/>
    <n v="28"/>
    <x v="0"/>
    <x v="1"/>
    <x v="1"/>
    <x v="2"/>
    <x v="7"/>
    <n v="0"/>
    <x v="24"/>
    <x v="3"/>
    <n v="6203.9017999999996"/>
  </r>
  <r>
    <x v="0"/>
    <n v="27.7"/>
    <x v="0"/>
    <x v="1"/>
    <x v="1"/>
    <x v="1"/>
    <x v="17"/>
    <n v="0"/>
    <x v="25"/>
    <x v="2"/>
    <n v="14001.1338"/>
  </r>
  <r>
    <x v="0"/>
    <n v="23.1"/>
    <x v="2"/>
    <x v="1"/>
    <x v="1"/>
    <x v="3"/>
    <x v="18"/>
    <n v="0"/>
    <x v="26"/>
    <x v="0"/>
    <n v="14451.8352"/>
  </r>
  <r>
    <x v="0"/>
    <n v="32.799999999999997"/>
    <x v="1"/>
    <x v="1"/>
    <x v="1"/>
    <x v="2"/>
    <x v="19"/>
    <n v="0"/>
    <x v="27"/>
    <x v="3"/>
    <n v="12268.6322"/>
  </r>
  <r>
    <x v="1"/>
    <n v="17.399999999999999"/>
    <x v="3"/>
    <x v="1"/>
    <x v="1"/>
    <x v="2"/>
    <x v="11"/>
    <n v="0"/>
    <x v="28"/>
    <x v="1"/>
    <n v="2775.1922"/>
  </r>
  <r>
    <x v="1"/>
    <n v="36.299999999999997"/>
    <x v="1"/>
    <x v="0"/>
    <x v="0"/>
    <x v="0"/>
    <x v="5"/>
    <n v="1"/>
    <x v="29"/>
    <x v="3"/>
    <n v="38711"/>
  </r>
  <r>
    <x v="1"/>
    <n v="35.6"/>
    <x v="1"/>
    <x v="0"/>
    <x v="0"/>
    <x v="0"/>
    <x v="20"/>
    <n v="1"/>
    <x v="30"/>
    <x v="0"/>
    <n v="35585.576000000001"/>
  </r>
  <r>
    <x v="0"/>
    <n v="26.3"/>
    <x v="0"/>
    <x v="1"/>
    <x v="1"/>
    <x v="3"/>
    <x v="1"/>
    <n v="0"/>
    <x v="31"/>
    <x v="0"/>
    <n v="2198.1898000000001"/>
  </r>
  <r>
    <x v="0"/>
    <n v="28.6"/>
    <x v="0"/>
    <x v="1"/>
    <x v="1"/>
    <x v="0"/>
    <x v="0"/>
    <n v="0"/>
    <x v="32"/>
    <x v="4"/>
    <n v="4687.7969999999996"/>
  </r>
  <r>
    <x v="1"/>
    <n v="28.3"/>
    <x v="0"/>
    <x v="1"/>
    <x v="1"/>
    <x v="2"/>
    <x v="18"/>
    <n v="0"/>
    <x v="33"/>
    <x v="0"/>
    <n v="13770.097900000001"/>
  </r>
  <r>
    <x v="1"/>
    <n v="36.4"/>
    <x v="1"/>
    <x v="0"/>
    <x v="0"/>
    <x v="0"/>
    <x v="2"/>
    <n v="1"/>
    <x v="34"/>
    <x v="1"/>
    <n v="51194.559099999999"/>
  </r>
  <r>
    <x v="1"/>
    <n v="20.399999999999999"/>
    <x v="2"/>
    <x v="1"/>
    <x v="1"/>
    <x v="2"/>
    <x v="0"/>
    <n v="0"/>
    <x v="35"/>
    <x v="0"/>
    <n v="1625.4338"/>
  </r>
  <r>
    <x v="0"/>
    <n v="33"/>
    <x v="1"/>
    <x v="1"/>
    <x v="1"/>
    <x v="2"/>
    <x v="10"/>
    <n v="0"/>
    <x v="36"/>
    <x v="2"/>
    <n v="15612.1934"/>
  </r>
  <r>
    <x v="1"/>
    <n v="20.8"/>
    <x v="2"/>
    <x v="1"/>
    <x v="1"/>
    <x v="0"/>
    <x v="21"/>
    <n v="0"/>
    <x v="37"/>
    <x v="0"/>
    <n v="2302.3000000000002"/>
  </r>
  <r>
    <x v="1"/>
    <n v="36.700000000000003"/>
    <x v="1"/>
    <x v="0"/>
    <x v="0"/>
    <x v="3"/>
    <x v="22"/>
    <n v="1"/>
    <x v="38"/>
    <x v="1"/>
    <n v="39774.276299999998"/>
  </r>
  <r>
    <x v="1"/>
    <n v="39.9"/>
    <x v="1"/>
    <x v="0"/>
    <x v="0"/>
    <x v="0"/>
    <x v="8"/>
    <n v="1"/>
    <x v="39"/>
    <x v="0"/>
    <n v="48173.360999999997"/>
  </r>
  <r>
    <x v="0"/>
    <n v="26.6"/>
    <x v="0"/>
    <x v="1"/>
    <x v="1"/>
    <x v="3"/>
    <x v="23"/>
    <n v="0"/>
    <x v="40"/>
    <x v="0"/>
    <n v="3046.0619999999999"/>
  </r>
  <r>
    <x v="0"/>
    <n v="36.6"/>
    <x v="1"/>
    <x v="1"/>
    <x v="1"/>
    <x v="1"/>
    <x v="5"/>
    <n v="0"/>
    <x v="41"/>
    <x v="3"/>
    <n v="4949.7587000000003"/>
  </r>
  <r>
    <x v="1"/>
    <n v="21.8"/>
    <x v="2"/>
    <x v="1"/>
    <x v="1"/>
    <x v="1"/>
    <x v="24"/>
    <n v="0"/>
    <x v="42"/>
    <x v="1"/>
    <n v="6272.4772000000003"/>
  </r>
  <r>
    <x v="0"/>
    <n v="30.8"/>
    <x v="1"/>
    <x v="1"/>
    <x v="1"/>
    <x v="1"/>
    <x v="7"/>
    <n v="0"/>
    <x v="43"/>
    <x v="3"/>
    <n v="6313.759"/>
  </r>
  <r>
    <x v="1"/>
    <n v="37.1"/>
    <x v="1"/>
    <x v="1"/>
    <x v="1"/>
    <x v="3"/>
    <x v="25"/>
    <n v="0"/>
    <x v="44"/>
    <x v="1"/>
    <n v="6079.6715000000004"/>
  </r>
  <r>
    <x v="1"/>
    <n v="37.299999999999997"/>
    <x v="1"/>
    <x v="1"/>
    <x v="1"/>
    <x v="0"/>
    <x v="19"/>
    <n v="0"/>
    <x v="45"/>
    <x v="0"/>
    <n v="20630.283500000001"/>
  </r>
  <r>
    <x v="0"/>
    <n v="38.700000000000003"/>
    <x v="1"/>
    <x v="1"/>
    <x v="1"/>
    <x v="3"/>
    <x v="1"/>
    <n v="0"/>
    <x v="46"/>
    <x v="3"/>
    <n v="3393.3564000000001"/>
  </r>
  <r>
    <x v="0"/>
    <n v="34.799999999999997"/>
    <x v="1"/>
    <x v="1"/>
    <x v="1"/>
    <x v="2"/>
    <x v="2"/>
    <n v="0"/>
    <x v="47"/>
    <x v="0"/>
    <n v="3556.9223000000002"/>
  </r>
  <r>
    <x v="0"/>
    <n v="24.5"/>
    <x v="2"/>
    <x v="1"/>
    <x v="1"/>
    <x v="1"/>
    <x v="8"/>
    <n v="0"/>
    <x v="48"/>
    <x v="0"/>
    <n v="12629.896699999999"/>
  </r>
  <r>
    <x v="1"/>
    <n v="35.200000000000003"/>
    <x v="1"/>
    <x v="0"/>
    <x v="0"/>
    <x v="1"/>
    <x v="26"/>
    <n v="1"/>
    <x v="49"/>
    <x v="1"/>
    <n v="38709.175999999999"/>
  </r>
  <r>
    <x v="0"/>
    <n v="35.6"/>
    <x v="1"/>
    <x v="1"/>
    <x v="1"/>
    <x v="3"/>
    <x v="1"/>
    <n v="0"/>
    <x v="50"/>
    <x v="0"/>
    <n v="2211.1307999999999"/>
  </r>
  <r>
    <x v="0"/>
    <n v="33.6"/>
    <x v="1"/>
    <x v="1"/>
    <x v="1"/>
    <x v="2"/>
    <x v="27"/>
    <n v="0"/>
    <x v="51"/>
    <x v="3"/>
    <n v="3579.8287"/>
  </r>
  <r>
    <x v="1"/>
    <n v="28"/>
    <x v="0"/>
    <x v="0"/>
    <x v="0"/>
    <x v="0"/>
    <x v="28"/>
    <n v="1"/>
    <x v="52"/>
    <x v="1"/>
    <n v="23568.272000000001"/>
  </r>
  <r>
    <x v="1"/>
    <n v="34.4"/>
    <x v="1"/>
    <x v="0"/>
    <x v="0"/>
    <x v="1"/>
    <x v="26"/>
    <n v="1"/>
    <x v="53"/>
    <x v="0"/>
    <n v="37742.575700000001"/>
  </r>
  <r>
    <x v="0"/>
    <n v="28.7"/>
    <x v="0"/>
    <x v="1"/>
    <x v="1"/>
    <x v="2"/>
    <x v="29"/>
    <n v="0"/>
    <x v="54"/>
    <x v="2"/>
    <n v="8059.6791000000003"/>
  </r>
  <r>
    <x v="1"/>
    <n v="37"/>
    <x v="1"/>
    <x v="0"/>
    <x v="0"/>
    <x v="2"/>
    <x v="30"/>
    <n v="1"/>
    <x v="55"/>
    <x v="3"/>
    <n v="47496.494400000003"/>
  </r>
  <r>
    <x v="0"/>
    <n v="31.8"/>
    <x v="1"/>
    <x v="1"/>
    <x v="1"/>
    <x v="3"/>
    <x v="30"/>
    <n v="0"/>
    <x v="56"/>
    <x v="3"/>
    <n v="13607.3688"/>
  </r>
  <r>
    <x v="1"/>
    <n v="31.7"/>
    <x v="1"/>
    <x v="0"/>
    <x v="0"/>
    <x v="1"/>
    <x v="1"/>
    <n v="1"/>
    <x v="57"/>
    <x v="3"/>
    <n v="34303.167200000004"/>
  </r>
  <r>
    <x v="0"/>
    <n v="22.9"/>
    <x v="2"/>
    <x v="0"/>
    <x v="0"/>
    <x v="1"/>
    <x v="31"/>
    <n v="1"/>
    <x v="58"/>
    <x v="1"/>
    <n v="23244.790199999999"/>
  </r>
  <r>
    <x v="0"/>
    <n v="37.299999999999997"/>
    <x v="1"/>
    <x v="1"/>
    <x v="1"/>
    <x v="2"/>
    <x v="16"/>
    <n v="0"/>
    <x v="59"/>
    <x v="3"/>
    <n v="5989.5236000000004"/>
  </r>
  <r>
    <x v="1"/>
    <n v="27.4"/>
    <x v="0"/>
    <x v="1"/>
    <x v="1"/>
    <x v="3"/>
    <x v="32"/>
    <n v="0"/>
    <x v="60"/>
    <x v="2"/>
    <n v="8606.2173999999995"/>
  </r>
  <r>
    <x v="1"/>
    <n v="33.700000000000003"/>
    <x v="1"/>
    <x v="1"/>
    <x v="1"/>
    <x v="1"/>
    <x v="9"/>
    <n v="0"/>
    <x v="61"/>
    <x v="5"/>
    <n v="4504.6624000000002"/>
  </r>
  <r>
    <x v="1"/>
    <n v="24.7"/>
    <x v="2"/>
    <x v="1"/>
    <x v="1"/>
    <x v="2"/>
    <x v="33"/>
    <n v="0"/>
    <x v="62"/>
    <x v="1"/>
    <n v="30166.618200000001"/>
  </r>
  <r>
    <x v="0"/>
    <n v="25.9"/>
    <x v="0"/>
    <x v="1"/>
    <x v="1"/>
    <x v="2"/>
    <x v="2"/>
    <n v="0"/>
    <x v="63"/>
    <x v="1"/>
    <n v="4133.6415999999999"/>
  </r>
  <r>
    <x v="0"/>
    <n v="22.4"/>
    <x v="2"/>
    <x v="0"/>
    <x v="0"/>
    <x v="2"/>
    <x v="34"/>
    <n v="1"/>
    <x v="64"/>
    <x v="0"/>
    <n v="14711.7438"/>
  </r>
  <r>
    <x v="0"/>
    <n v="28.9"/>
    <x v="0"/>
    <x v="1"/>
    <x v="1"/>
    <x v="0"/>
    <x v="0"/>
    <n v="0"/>
    <x v="65"/>
    <x v="0"/>
    <n v="1743.2139999999999"/>
  </r>
  <r>
    <x v="0"/>
    <n v="39.1"/>
    <x v="1"/>
    <x v="1"/>
    <x v="1"/>
    <x v="0"/>
    <x v="35"/>
    <n v="0"/>
    <x v="66"/>
    <x v="3"/>
    <n v="14235.072"/>
  </r>
  <r>
    <x v="1"/>
    <n v="26.3"/>
    <x v="0"/>
    <x v="1"/>
    <x v="1"/>
    <x v="2"/>
    <x v="29"/>
    <n v="0"/>
    <x v="31"/>
    <x v="1"/>
    <n v="6389.3778000000002"/>
  </r>
  <r>
    <x v="0"/>
    <n v="36.200000000000003"/>
    <x v="1"/>
    <x v="1"/>
    <x v="1"/>
    <x v="1"/>
    <x v="29"/>
    <n v="0"/>
    <x v="67"/>
    <x v="0"/>
    <n v="5920.1040999999996"/>
  </r>
  <r>
    <x v="1"/>
    <n v="24"/>
    <x v="2"/>
    <x v="0"/>
    <x v="0"/>
    <x v="1"/>
    <x v="2"/>
    <n v="1"/>
    <x v="68"/>
    <x v="2"/>
    <n v="17663.144199999999"/>
  </r>
  <r>
    <x v="0"/>
    <n v="24.8"/>
    <x v="2"/>
    <x v="0"/>
    <x v="0"/>
    <x v="1"/>
    <x v="13"/>
    <n v="1"/>
    <x v="69"/>
    <x v="0"/>
    <n v="16577.779500000001"/>
  </r>
  <r>
    <x v="1"/>
    <n v="28.5"/>
    <x v="0"/>
    <x v="1"/>
    <x v="1"/>
    <x v="3"/>
    <x v="5"/>
    <n v="0"/>
    <x v="70"/>
    <x v="4"/>
    <n v="6799.4579999999996"/>
  </r>
  <r>
    <x v="0"/>
    <n v="28.1"/>
    <x v="0"/>
    <x v="1"/>
    <x v="1"/>
    <x v="0"/>
    <x v="31"/>
    <n v="0"/>
    <x v="71"/>
    <x v="2"/>
    <n v="11741.726000000001"/>
  </r>
  <r>
    <x v="1"/>
    <n v="32"/>
    <x v="1"/>
    <x v="1"/>
    <x v="1"/>
    <x v="1"/>
    <x v="30"/>
    <n v="0"/>
    <x v="72"/>
    <x v="1"/>
    <n v="11946.625899999999"/>
  </r>
  <r>
    <x v="1"/>
    <n v="27.4"/>
    <x v="0"/>
    <x v="1"/>
    <x v="1"/>
    <x v="0"/>
    <x v="36"/>
    <n v="0"/>
    <x v="73"/>
    <x v="3"/>
    <n v="7726.8540000000003"/>
  </r>
  <r>
    <x v="1"/>
    <n v="34"/>
    <x v="1"/>
    <x v="1"/>
    <x v="1"/>
    <x v="2"/>
    <x v="37"/>
    <n v="0"/>
    <x v="74"/>
    <x v="0"/>
    <n v="11356.660900000001"/>
  </r>
  <r>
    <x v="0"/>
    <n v="29.6"/>
    <x v="0"/>
    <x v="1"/>
    <x v="1"/>
    <x v="1"/>
    <x v="38"/>
    <n v="0"/>
    <x v="75"/>
    <x v="1"/>
    <n v="3947.4131000000002"/>
  </r>
  <r>
    <x v="1"/>
    <n v="35.5"/>
    <x v="1"/>
    <x v="1"/>
    <x v="1"/>
    <x v="1"/>
    <x v="27"/>
    <n v="0"/>
    <x v="76"/>
    <x v="0"/>
    <n v="1532.4697000000001"/>
  </r>
  <r>
    <x v="0"/>
    <n v="39.799999999999997"/>
    <x v="1"/>
    <x v="1"/>
    <x v="1"/>
    <x v="3"/>
    <x v="20"/>
    <n v="0"/>
    <x v="77"/>
    <x v="0"/>
    <n v="2755.0210000000002"/>
  </r>
  <r>
    <x v="0"/>
    <n v="33"/>
    <x v="1"/>
    <x v="1"/>
    <x v="1"/>
    <x v="2"/>
    <x v="24"/>
    <n v="0"/>
    <x v="36"/>
    <x v="0"/>
    <n v="6571.0244000000002"/>
  </r>
  <r>
    <x v="1"/>
    <n v="26.9"/>
    <x v="0"/>
    <x v="1"/>
    <x v="1"/>
    <x v="3"/>
    <x v="5"/>
    <n v="0"/>
    <x v="78"/>
    <x v="1"/>
    <n v="4441.2132000000001"/>
  </r>
  <r>
    <x v="0"/>
    <n v="38.299999999999997"/>
    <x v="1"/>
    <x v="1"/>
    <x v="1"/>
    <x v="3"/>
    <x v="39"/>
    <n v="0"/>
    <x v="79"/>
    <x v="0"/>
    <n v="7935.2911999999997"/>
  </r>
  <r>
    <x v="1"/>
    <n v="37.6"/>
    <x v="1"/>
    <x v="0"/>
    <x v="0"/>
    <x v="1"/>
    <x v="20"/>
    <n v="1"/>
    <x v="80"/>
    <x v="1"/>
    <n v="37165.163800000002"/>
  </r>
  <r>
    <x v="0"/>
    <n v="41.2"/>
    <x v="1"/>
    <x v="1"/>
    <x v="1"/>
    <x v="2"/>
    <x v="28"/>
    <n v="0"/>
    <x v="81"/>
    <x v="5"/>
    <n v="11033.661700000001"/>
  </r>
  <r>
    <x v="0"/>
    <n v="34.799999999999997"/>
    <x v="1"/>
    <x v="0"/>
    <x v="0"/>
    <x v="0"/>
    <x v="7"/>
    <n v="1"/>
    <x v="82"/>
    <x v="3"/>
    <n v="39836.519"/>
  </r>
  <r>
    <x v="1"/>
    <n v="22.9"/>
    <x v="2"/>
    <x v="0"/>
    <x v="0"/>
    <x v="2"/>
    <x v="39"/>
    <n v="1"/>
    <x v="83"/>
    <x v="3"/>
    <n v="21098.554"/>
  </r>
  <r>
    <x v="0"/>
    <n v="31.2"/>
    <x v="1"/>
    <x v="0"/>
    <x v="0"/>
    <x v="2"/>
    <x v="37"/>
    <n v="1"/>
    <x v="84"/>
    <x v="0"/>
    <n v="43578.939400000003"/>
  </r>
  <r>
    <x v="0"/>
    <n v="27.2"/>
    <x v="0"/>
    <x v="1"/>
    <x v="1"/>
    <x v="0"/>
    <x v="12"/>
    <n v="0"/>
    <x v="85"/>
    <x v="0"/>
    <n v="11073.175999999999"/>
  </r>
  <r>
    <x v="0"/>
    <n v="27.7"/>
    <x v="0"/>
    <x v="1"/>
    <x v="1"/>
    <x v="2"/>
    <x v="6"/>
    <n v="0"/>
    <x v="7"/>
    <x v="0"/>
    <n v="8026.6665999999996"/>
  </r>
  <r>
    <x v="0"/>
    <n v="27"/>
    <x v="0"/>
    <x v="1"/>
    <x v="1"/>
    <x v="2"/>
    <x v="19"/>
    <n v="0"/>
    <x v="86"/>
    <x v="0"/>
    <n v="11082.5772"/>
  </r>
  <r>
    <x v="0"/>
    <n v="39.5"/>
    <x v="1"/>
    <x v="1"/>
    <x v="1"/>
    <x v="1"/>
    <x v="27"/>
    <n v="0"/>
    <x v="87"/>
    <x v="0"/>
    <n v="2026.9740999999999"/>
  </r>
  <r>
    <x v="0"/>
    <n v="24.8"/>
    <x v="2"/>
    <x v="1"/>
    <x v="1"/>
    <x v="2"/>
    <x v="31"/>
    <n v="0"/>
    <x v="88"/>
    <x v="1"/>
    <n v="10942.132"/>
  </r>
  <r>
    <x v="1"/>
    <n v="29.8"/>
    <x v="0"/>
    <x v="0"/>
    <x v="0"/>
    <x v="3"/>
    <x v="17"/>
    <n v="1"/>
    <x v="8"/>
    <x v="2"/>
    <n v="30184.936699999998"/>
  </r>
  <r>
    <x v="1"/>
    <n v="34.799999999999997"/>
    <x v="1"/>
    <x v="1"/>
    <x v="1"/>
    <x v="2"/>
    <x v="22"/>
    <n v="0"/>
    <x v="47"/>
    <x v="3"/>
    <n v="5729.0052999999998"/>
  </r>
  <r>
    <x v="0"/>
    <n v="31.3"/>
    <x v="1"/>
    <x v="0"/>
    <x v="0"/>
    <x v="0"/>
    <x v="33"/>
    <n v="1"/>
    <x v="89"/>
    <x v="3"/>
    <n v="47291.055"/>
  </r>
  <r>
    <x v="0"/>
    <n v="37.6"/>
    <x v="1"/>
    <x v="1"/>
    <x v="1"/>
    <x v="1"/>
    <x v="2"/>
    <n v="0"/>
    <x v="80"/>
    <x v="1"/>
    <n v="3766.8838000000001"/>
  </r>
  <r>
    <x v="0"/>
    <n v="30.8"/>
    <x v="1"/>
    <x v="1"/>
    <x v="1"/>
    <x v="0"/>
    <x v="40"/>
    <n v="0"/>
    <x v="43"/>
    <x v="2"/>
    <n v="12105.32"/>
  </r>
  <r>
    <x v="1"/>
    <n v="38.299999999999997"/>
    <x v="1"/>
    <x v="1"/>
    <x v="1"/>
    <x v="1"/>
    <x v="19"/>
    <n v="0"/>
    <x v="90"/>
    <x v="0"/>
    <n v="10226.2842"/>
  </r>
  <r>
    <x v="1"/>
    <n v="20"/>
    <x v="2"/>
    <x v="0"/>
    <x v="0"/>
    <x v="3"/>
    <x v="12"/>
    <n v="1"/>
    <x v="91"/>
    <x v="0"/>
    <n v="22412.648499999999"/>
  </r>
  <r>
    <x v="1"/>
    <n v="19.3"/>
    <x v="2"/>
    <x v="0"/>
    <x v="0"/>
    <x v="0"/>
    <x v="25"/>
    <n v="1"/>
    <x v="92"/>
    <x v="0"/>
    <n v="15820.699000000001"/>
  </r>
  <r>
    <x v="0"/>
    <n v="31.6"/>
    <x v="1"/>
    <x v="1"/>
    <x v="1"/>
    <x v="0"/>
    <x v="24"/>
    <n v="0"/>
    <x v="93"/>
    <x v="0"/>
    <n v="6186.1270000000004"/>
  </r>
  <r>
    <x v="1"/>
    <n v="25.5"/>
    <x v="0"/>
    <x v="1"/>
    <x v="1"/>
    <x v="3"/>
    <x v="15"/>
    <n v="0"/>
    <x v="94"/>
    <x v="0"/>
    <n v="3645.0893999999998"/>
  </r>
  <r>
    <x v="0"/>
    <n v="30.1"/>
    <x v="1"/>
    <x v="1"/>
    <x v="1"/>
    <x v="3"/>
    <x v="1"/>
    <n v="0"/>
    <x v="95"/>
    <x v="0"/>
    <n v="21344.846699999998"/>
  </r>
  <r>
    <x v="0"/>
    <n v="29.9"/>
    <x v="0"/>
    <x v="0"/>
    <x v="0"/>
    <x v="1"/>
    <x v="35"/>
    <n v="1"/>
    <x v="96"/>
    <x v="2"/>
    <n v="30942.191800000001"/>
  </r>
  <r>
    <x v="0"/>
    <n v="27.5"/>
    <x v="0"/>
    <x v="1"/>
    <x v="1"/>
    <x v="0"/>
    <x v="16"/>
    <n v="0"/>
    <x v="97"/>
    <x v="1"/>
    <n v="5003.8530000000001"/>
  </r>
  <r>
    <x v="1"/>
    <n v="28"/>
    <x v="0"/>
    <x v="0"/>
    <x v="0"/>
    <x v="2"/>
    <x v="34"/>
    <n v="1"/>
    <x v="24"/>
    <x v="1"/>
    <n v="17560.379799999999"/>
  </r>
  <r>
    <x v="0"/>
    <n v="28.4"/>
    <x v="0"/>
    <x v="1"/>
    <x v="1"/>
    <x v="0"/>
    <x v="0"/>
    <n v="0"/>
    <x v="98"/>
    <x v="1"/>
    <n v="2331.5189999999998"/>
  </r>
  <r>
    <x v="1"/>
    <n v="30.9"/>
    <x v="1"/>
    <x v="1"/>
    <x v="1"/>
    <x v="2"/>
    <x v="21"/>
    <n v="0"/>
    <x v="99"/>
    <x v="3"/>
    <n v="3877.3042"/>
  </r>
  <r>
    <x v="1"/>
    <n v="27.9"/>
    <x v="0"/>
    <x v="1"/>
    <x v="1"/>
    <x v="1"/>
    <x v="38"/>
    <n v="0"/>
    <x v="100"/>
    <x v="0"/>
    <n v="2867.1196"/>
  </r>
  <r>
    <x v="1"/>
    <n v="35.1"/>
    <x v="1"/>
    <x v="0"/>
    <x v="0"/>
    <x v="1"/>
    <x v="18"/>
    <n v="1"/>
    <x v="101"/>
    <x v="0"/>
    <n v="47055.532099999997"/>
  </r>
  <r>
    <x v="1"/>
    <n v="33.6"/>
    <x v="1"/>
    <x v="1"/>
    <x v="1"/>
    <x v="2"/>
    <x v="40"/>
    <n v="0"/>
    <x v="51"/>
    <x v="1"/>
    <n v="10825.253699999999"/>
  </r>
  <r>
    <x v="0"/>
    <n v="29.7"/>
    <x v="0"/>
    <x v="1"/>
    <x v="1"/>
    <x v="0"/>
    <x v="19"/>
    <n v="0"/>
    <x v="102"/>
    <x v="3"/>
    <n v="11881.358"/>
  </r>
  <r>
    <x v="1"/>
    <n v="30.8"/>
    <x v="1"/>
    <x v="1"/>
    <x v="1"/>
    <x v="0"/>
    <x v="7"/>
    <n v="0"/>
    <x v="43"/>
    <x v="0"/>
    <n v="4646.759"/>
  </r>
  <r>
    <x v="0"/>
    <n v="35.700000000000003"/>
    <x v="1"/>
    <x v="1"/>
    <x v="1"/>
    <x v="2"/>
    <x v="27"/>
    <n v="0"/>
    <x v="103"/>
    <x v="0"/>
    <n v="2404.7338"/>
  </r>
  <r>
    <x v="1"/>
    <n v="32.200000000000003"/>
    <x v="1"/>
    <x v="1"/>
    <x v="1"/>
    <x v="3"/>
    <x v="14"/>
    <n v="0"/>
    <x v="104"/>
    <x v="2"/>
    <n v="11488.316999999999"/>
  </r>
  <r>
    <x v="1"/>
    <n v="28.6"/>
    <x v="0"/>
    <x v="1"/>
    <x v="1"/>
    <x v="3"/>
    <x v="8"/>
    <n v="0"/>
    <x v="105"/>
    <x v="0"/>
    <n v="30259.995599999998"/>
  </r>
  <r>
    <x v="1"/>
    <n v="49.1"/>
    <x v="1"/>
    <x v="1"/>
    <x v="1"/>
    <x v="1"/>
    <x v="30"/>
    <n v="0"/>
    <x v="106"/>
    <x v="0"/>
    <n v="11381.3254"/>
  </r>
  <r>
    <x v="0"/>
    <n v="27.9"/>
    <x v="0"/>
    <x v="0"/>
    <x v="0"/>
    <x v="1"/>
    <x v="38"/>
    <n v="1"/>
    <x v="100"/>
    <x v="1"/>
    <n v="19107.779600000002"/>
  </r>
  <r>
    <x v="0"/>
    <n v="27.2"/>
    <x v="0"/>
    <x v="1"/>
    <x v="1"/>
    <x v="1"/>
    <x v="41"/>
    <n v="0"/>
    <x v="107"/>
    <x v="0"/>
    <n v="8601.3292999999994"/>
  </r>
  <r>
    <x v="0"/>
    <n v="23.4"/>
    <x v="2"/>
    <x v="1"/>
    <x v="1"/>
    <x v="2"/>
    <x v="7"/>
    <n v="0"/>
    <x v="108"/>
    <x v="3"/>
    <n v="6686.4313000000002"/>
  </r>
  <r>
    <x v="1"/>
    <n v="37.1"/>
    <x v="1"/>
    <x v="1"/>
    <x v="1"/>
    <x v="0"/>
    <x v="36"/>
    <n v="0"/>
    <x v="109"/>
    <x v="3"/>
    <n v="7740.3370000000004"/>
  </r>
  <r>
    <x v="1"/>
    <n v="23.8"/>
    <x v="2"/>
    <x v="1"/>
    <x v="1"/>
    <x v="3"/>
    <x v="1"/>
    <n v="0"/>
    <x v="110"/>
    <x v="0"/>
    <n v="1705.6244999999999"/>
  </r>
  <r>
    <x v="0"/>
    <n v="29"/>
    <x v="0"/>
    <x v="1"/>
    <x v="1"/>
    <x v="2"/>
    <x v="34"/>
    <n v="0"/>
    <x v="111"/>
    <x v="0"/>
    <n v="2257.4751999999999"/>
  </r>
  <r>
    <x v="1"/>
    <n v="31.4"/>
    <x v="1"/>
    <x v="0"/>
    <x v="0"/>
    <x v="3"/>
    <x v="36"/>
    <n v="1"/>
    <x v="112"/>
    <x v="1"/>
    <n v="39556.494500000001"/>
  </r>
  <r>
    <x v="0"/>
    <n v="33.9"/>
    <x v="1"/>
    <x v="1"/>
    <x v="1"/>
    <x v="2"/>
    <x v="42"/>
    <n v="0"/>
    <x v="113"/>
    <x v="2"/>
    <n v="10115.0088"/>
  </r>
  <r>
    <x v="0"/>
    <n v="28.8"/>
    <x v="0"/>
    <x v="1"/>
    <x v="1"/>
    <x v="3"/>
    <x v="21"/>
    <n v="0"/>
    <x v="114"/>
    <x v="0"/>
    <n v="3385.3991999999998"/>
  </r>
  <r>
    <x v="0"/>
    <n v="28.3"/>
    <x v="0"/>
    <x v="0"/>
    <x v="0"/>
    <x v="0"/>
    <x v="0"/>
    <n v="1"/>
    <x v="115"/>
    <x v="0"/>
    <n v="17081.080000000002"/>
  </r>
  <r>
    <x v="0"/>
    <n v="37.4"/>
    <x v="1"/>
    <x v="1"/>
    <x v="1"/>
    <x v="0"/>
    <x v="14"/>
    <n v="0"/>
    <x v="116"/>
    <x v="0"/>
    <n v="9634.5380000000005"/>
  </r>
  <r>
    <x v="0"/>
    <n v="17.8"/>
    <x v="3"/>
    <x v="0"/>
    <x v="0"/>
    <x v="2"/>
    <x v="4"/>
    <n v="1"/>
    <x v="117"/>
    <x v="3"/>
    <n v="32734.186300000001"/>
  </r>
  <r>
    <x v="1"/>
    <n v="34.700000000000003"/>
    <x v="1"/>
    <x v="1"/>
    <x v="1"/>
    <x v="0"/>
    <x v="25"/>
    <n v="0"/>
    <x v="118"/>
    <x v="3"/>
    <n v="6082.4049999999997"/>
  </r>
  <r>
    <x v="0"/>
    <n v="26.5"/>
    <x v="0"/>
    <x v="1"/>
    <x v="1"/>
    <x v="3"/>
    <x v="17"/>
    <n v="0"/>
    <x v="119"/>
    <x v="0"/>
    <n v="12815.445"/>
  </r>
  <r>
    <x v="0"/>
    <n v="22"/>
    <x v="2"/>
    <x v="1"/>
    <x v="1"/>
    <x v="3"/>
    <x v="35"/>
    <n v="0"/>
    <x v="120"/>
    <x v="0"/>
    <n v="13616.3586"/>
  </r>
  <r>
    <x v="0"/>
    <n v="35.9"/>
    <x v="1"/>
    <x v="1"/>
    <x v="1"/>
    <x v="0"/>
    <x v="31"/>
    <n v="0"/>
    <x v="121"/>
    <x v="3"/>
    <n v="11163.567999999999"/>
  </r>
  <r>
    <x v="1"/>
    <n v="25.6"/>
    <x v="0"/>
    <x v="1"/>
    <x v="1"/>
    <x v="2"/>
    <x v="0"/>
    <n v="0"/>
    <x v="122"/>
    <x v="0"/>
    <n v="1632.5644"/>
  </r>
  <r>
    <x v="0"/>
    <n v="28.8"/>
    <x v="0"/>
    <x v="1"/>
    <x v="1"/>
    <x v="3"/>
    <x v="34"/>
    <n v="0"/>
    <x v="114"/>
    <x v="0"/>
    <n v="2457.2112000000002"/>
  </r>
  <r>
    <x v="0"/>
    <n v="28.1"/>
    <x v="0"/>
    <x v="1"/>
    <x v="1"/>
    <x v="1"/>
    <x v="20"/>
    <n v="0"/>
    <x v="123"/>
    <x v="0"/>
    <n v="2155.6815000000001"/>
  </r>
  <r>
    <x v="1"/>
    <n v="34.1"/>
    <x v="1"/>
    <x v="1"/>
    <x v="1"/>
    <x v="0"/>
    <x v="0"/>
    <n v="0"/>
    <x v="22"/>
    <x v="0"/>
    <n v="1261.442"/>
  </r>
  <r>
    <x v="1"/>
    <n v="25.2"/>
    <x v="0"/>
    <x v="1"/>
    <x v="1"/>
    <x v="2"/>
    <x v="20"/>
    <n v="0"/>
    <x v="124"/>
    <x v="0"/>
    <n v="2045.6851999999999"/>
  </r>
  <r>
    <x v="0"/>
    <n v="31.9"/>
    <x v="1"/>
    <x v="1"/>
    <x v="1"/>
    <x v="1"/>
    <x v="40"/>
    <n v="0"/>
    <x v="125"/>
    <x v="2"/>
    <n v="27322.733899999999"/>
  </r>
  <r>
    <x v="0"/>
    <n v="36"/>
    <x v="1"/>
    <x v="1"/>
    <x v="1"/>
    <x v="0"/>
    <x v="20"/>
    <n v="0"/>
    <x v="126"/>
    <x v="0"/>
    <n v="2166.732"/>
  </r>
  <r>
    <x v="1"/>
    <n v="22.4"/>
    <x v="2"/>
    <x v="1"/>
    <x v="1"/>
    <x v="3"/>
    <x v="16"/>
    <n v="0"/>
    <x v="64"/>
    <x v="3"/>
    <n v="27375.9048"/>
  </r>
  <r>
    <x v="1"/>
    <n v="32.5"/>
    <x v="1"/>
    <x v="1"/>
    <x v="1"/>
    <x v="3"/>
    <x v="21"/>
    <n v="0"/>
    <x v="127"/>
    <x v="1"/>
    <n v="3490.5491000000002"/>
  </r>
  <r>
    <x v="1"/>
    <n v="25.3"/>
    <x v="0"/>
    <x v="0"/>
    <x v="0"/>
    <x v="1"/>
    <x v="16"/>
    <n v="1"/>
    <x v="128"/>
    <x v="3"/>
    <n v="18972.494999999999"/>
  </r>
  <r>
    <x v="1"/>
    <n v="29.7"/>
    <x v="0"/>
    <x v="1"/>
    <x v="1"/>
    <x v="2"/>
    <x v="38"/>
    <n v="0"/>
    <x v="129"/>
    <x v="3"/>
    <n v="18157.876"/>
  </r>
  <r>
    <x v="1"/>
    <n v="28.7"/>
    <x v="0"/>
    <x v="0"/>
    <x v="0"/>
    <x v="2"/>
    <x v="15"/>
    <n v="1"/>
    <x v="54"/>
    <x v="2"/>
    <n v="20745.989099999999"/>
  </r>
  <r>
    <x v="0"/>
    <n v="38.799999999999997"/>
    <x v="1"/>
    <x v="1"/>
    <x v="1"/>
    <x v="1"/>
    <x v="38"/>
    <n v="0"/>
    <x v="130"/>
    <x v="2"/>
    <n v="5138.2566999999999"/>
  </r>
  <r>
    <x v="1"/>
    <n v="30.5"/>
    <x v="1"/>
    <x v="0"/>
    <x v="0"/>
    <x v="2"/>
    <x v="6"/>
    <n v="1"/>
    <x v="131"/>
    <x v="2"/>
    <n v="40720.550999999999"/>
  </r>
  <r>
    <x v="0"/>
    <n v="37.700000000000003"/>
    <x v="1"/>
    <x v="1"/>
    <x v="1"/>
    <x v="1"/>
    <x v="43"/>
    <n v="0"/>
    <x v="132"/>
    <x v="1"/>
    <n v="9877.6077000000005"/>
  </r>
  <r>
    <x v="0"/>
    <n v="37.4"/>
    <x v="1"/>
    <x v="1"/>
    <x v="1"/>
    <x v="2"/>
    <x v="31"/>
    <n v="0"/>
    <x v="133"/>
    <x v="1"/>
    <n v="10959.6947"/>
  </r>
  <r>
    <x v="1"/>
    <n v="28.4"/>
    <x v="0"/>
    <x v="1"/>
    <x v="1"/>
    <x v="0"/>
    <x v="0"/>
    <n v="0"/>
    <x v="98"/>
    <x v="1"/>
    <n v="1842.519"/>
  </r>
  <r>
    <x v="1"/>
    <n v="24.1"/>
    <x v="2"/>
    <x v="1"/>
    <x v="1"/>
    <x v="2"/>
    <x v="22"/>
    <n v="0"/>
    <x v="134"/>
    <x v="1"/>
    <n v="5125.2156999999997"/>
  </r>
  <r>
    <x v="1"/>
    <n v="29.7"/>
    <x v="0"/>
    <x v="1"/>
    <x v="1"/>
    <x v="1"/>
    <x v="28"/>
    <n v="0"/>
    <x v="102"/>
    <x v="0"/>
    <n v="7789.6350000000002"/>
  </r>
  <r>
    <x v="0"/>
    <n v="37.1"/>
    <x v="1"/>
    <x v="1"/>
    <x v="1"/>
    <x v="3"/>
    <x v="4"/>
    <n v="0"/>
    <x v="135"/>
    <x v="2"/>
    <n v="6334.3436000000002"/>
  </r>
  <r>
    <x v="0"/>
    <n v="23.4"/>
    <x v="2"/>
    <x v="0"/>
    <x v="0"/>
    <x v="3"/>
    <x v="44"/>
    <n v="1"/>
    <x v="108"/>
    <x v="0"/>
    <n v="19964.746299999999"/>
  </r>
  <r>
    <x v="0"/>
    <n v="25.5"/>
    <x v="0"/>
    <x v="1"/>
    <x v="1"/>
    <x v="3"/>
    <x v="29"/>
    <n v="0"/>
    <x v="94"/>
    <x v="1"/>
    <n v="7077.1894000000002"/>
  </r>
  <r>
    <x v="1"/>
    <n v="39.5"/>
    <x v="1"/>
    <x v="1"/>
    <x v="1"/>
    <x v="2"/>
    <x v="36"/>
    <n v="0"/>
    <x v="136"/>
    <x v="0"/>
    <n v="6948.7007999999996"/>
  </r>
  <r>
    <x v="1"/>
    <n v="24.4"/>
    <x v="2"/>
    <x v="0"/>
    <x v="0"/>
    <x v="1"/>
    <x v="28"/>
    <n v="1"/>
    <x v="137"/>
    <x v="0"/>
    <n v="21223.675800000001"/>
  </r>
  <r>
    <x v="1"/>
    <n v="25.2"/>
    <x v="0"/>
    <x v="0"/>
    <x v="0"/>
    <x v="3"/>
    <x v="1"/>
    <n v="1"/>
    <x v="124"/>
    <x v="0"/>
    <n v="15518.180200000001"/>
  </r>
  <r>
    <x v="1"/>
    <n v="35.5"/>
    <x v="1"/>
    <x v="0"/>
    <x v="0"/>
    <x v="1"/>
    <x v="15"/>
    <n v="1"/>
    <x v="76"/>
    <x v="0"/>
    <n v="36950.256699999998"/>
  </r>
  <r>
    <x v="0"/>
    <n v="27.8"/>
    <x v="0"/>
    <x v="1"/>
    <x v="1"/>
    <x v="1"/>
    <x v="45"/>
    <n v="0"/>
    <x v="138"/>
    <x v="2"/>
    <n v="19749.383399999999"/>
  </r>
  <r>
    <x v="0"/>
    <n v="26.6"/>
    <x v="0"/>
    <x v="0"/>
    <x v="0"/>
    <x v="2"/>
    <x v="44"/>
    <n v="1"/>
    <x v="40"/>
    <x v="0"/>
    <n v="21348.705999999998"/>
  </r>
  <r>
    <x v="0"/>
    <n v="36.9"/>
    <x v="1"/>
    <x v="0"/>
    <x v="0"/>
    <x v="1"/>
    <x v="1"/>
    <n v="1"/>
    <x v="139"/>
    <x v="0"/>
    <n v="36149.483500000002"/>
  </r>
  <r>
    <x v="1"/>
    <n v="39.6"/>
    <x v="1"/>
    <x v="1"/>
    <x v="1"/>
    <x v="0"/>
    <x v="40"/>
    <n v="0"/>
    <x v="140"/>
    <x v="1"/>
    <n v="10450.552"/>
  </r>
  <r>
    <x v="0"/>
    <n v="29.8"/>
    <x v="0"/>
    <x v="1"/>
    <x v="1"/>
    <x v="0"/>
    <x v="4"/>
    <n v="0"/>
    <x v="141"/>
    <x v="3"/>
    <n v="5152.134"/>
  </r>
  <r>
    <x v="1"/>
    <n v="29.6"/>
    <x v="0"/>
    <x v="1"/>
    <x v="1"/>
    <x v="2"/>
    <x v="7"/>
    <n v="0"/>
    <x v="142"/>
    <x v="0"/>
    <n v="5028.1466"/>
  </r>
  <r>
    <x v="1"/>
    <n v="28.2"/>
    <x v="0"/>
    <x v="1"/>
    <x v="1"/>
    <x v="3"/>
    <x v="42"/>
    <n v="0"/>
    <x v="143"/>
    <x v="5"/>
    <n v="10407.085800000001"/>
  </r>
  <r>
    <x v="0"/>
    <n v="37"/>
    <x v="1"/>
    <x v="1"/>
    <x v="1"/>
    <x v="0"/>
    <x v="34"/>
    <n v="0"/>
    <x v="144"/>
    <x v="4"/>
    <n v="4830.63"/>
  </r>
  <r>
    <x v="0"/>
    <n v="33.200000000000003"/>
    <x v="1"/>
    <x v="1"/>
    <x v="1"/>
    <x v="2"/>
    <x v="4"/>
    <n v="0"/>
    <x v="145"/>
    <x v="2"/>
    <n v="6128.7974000000004"/>
  </r>
  <r>
    <x v="0"/>
    <n v="31.8"/>
    <x v="1"/>
    <x v="1"/>
    <x v="1"/>
    <x v="2"/>
    <x v="0"/>
    <n v="0"/>
    <x v="56"/>
    <x v="1"/>
    <n v="2719.2797999999998"/>
  </r>
  <r>
    <x v="1"/>
    <n v="18.899999999999999"/>
    <x v="2"/>
    <x v="1"/>
    <x v="1"/>
    <x v="3"/>
    <x v="13"/>
    <n v="0"/>
    <x v="146"/>
    <x v="2"/>
    <n v="4827.9049999999997"/>
  </r>
  <r>
    <x v="1"/>
    <n v="41.5"/>
    <x v="1"/>
    <x v="1"/>
    <x v="1"/>
    <x v="1"/>
    <x v="18"/>
    <n v="0"/>
    <x v="147"/>
    <x v="0"/>
    <n v="13405.390299999999"/>
  </r>
  <r>
    <x v="1"/>
    <n v="30.3"/>
    <x v="1"/>
    <x v="1"/>
    <x v="1"/>
    <x v="0"/>
    <x v="41"/>
    <n v="0"/>
    <x v="148"/>
    <x v="0"/>
    <n v="8116.68"/>
  </r>
  <r>
    <x v="1"/>
    <n v="16"/>
    <x v="3"/>
    <x v="1"/>
    <x v="1"/>
    <x v="3"/>
    <x v="1"/>
    <n v="0"/>
    <x v="149"/>
    <x v="0"/>
    <n v="1694.7963999999999"/>
  </r>
  <r>
    <x v="0"/>
    <n v="34.799999999999997"/>
    <x v="1"/>
    <x v="1"/>
    <x v="1"/>
    <x v="0"/>
    <x v="22"/>
    <n v="0"/>
    <x v="82"/>
    <x v="1"/>
    <n v="5246.0469999999996"/>
  </r>
  <r>
    <x v="0"/>
    <n v="33.299999999999997"/>
    <x v="1"/>
    <x v="1"/>
    <x v="1"/>
    <x v="2"/>
    <x v="23"/>
    <n v="0"/>
    <x v="150"/>
    <x v="0"/>
    <n v="2855.4376000000002"/>
  </r>
  <r>
    <x v="0"/>
    <n v="37.700000000000003"/>
    <x v="1"/>
    <x v="0"/>
    <x v="0"/>
    <x v="0"/>
    <x v="18"/>
    <n v="1"/>
    <x v="151"/>
    <x v="0"/>
    <n v="48824.45"/>
  </r>
  <r>
    <x v="1"/>
    <n v="27.8"/>
    <x v="0"/>
    <x v="1"/>
    <x v="1"/>
    <x v="2"/>
    <x v="25"/>
    <n v="0"/>
    <x v="152"/>
    <x v="3"/>
    <n v="6455.8626000000004"/>
  </r>
  <r>
    <x v="1"/>
    <n v="29.2"/>
    <x v="0"/>
    <x v="1"/>
    <x v="1"/>
    <x v="0"/>
    <x v="40"/>
    <n v="0"/>
    <x v="153"/>
    <x v="1"/>
    <n v="10436.096"/>
  </r>
  <r>
    <x v="0"/>
    <n v="28.9"/>
    <x v="0"/>
    <x v="1"/>
    <x v="1"/>
    <x v="0"/>
    <x v="6"/>
    <n v="0"/>
    <x v="65"/>
    <x v="3"/>
    <n v="8823.2790000000005"/>
  </r>
  <r>
    <x v="0"/>
    <n v="33.200000000000003"/>
    <x v="1"/>
    <x v="1"/>
    <x v="1"/>
    <x v="3"/>
    <x v="24"/>
    <n v="0"/>
    <x v="145"/>
    <x v="2"/>
    <n v="8538.2883999999995"/>
  </r>
  <r>
    <x v="1"/>
    <n v="28.6"/>
    <x v="0"/>
    <x v="1"/>
    <x v="1"/>
    <x v="2"/>
    <x v="30"/>
    <n v="0"/>
    <x v="105"/>
    <x v="0"/>
    <n v="11735.879000000001"/>
  </r>
  <r>
    <x v="0"/>
    <n v="38.299999999999997"/>
    <x v="1"/>
    <x v="1"/>
    <x v="1"/>
    <x v="1"/>
    <x v="1"/>
    <n v="0"/>
    <x v="90"/>
    <x v="0"/>
    <n v="1631.8212000000001"/>
  </r>
  <r>
    <x v="1"/>
    <n v="20"/>
    <x v="2"/>
    <x v="1"/>
    <x v="1"/>
    <x v="3"/>
    <x v="20"/>
    <n v="0"/>
    <x v="91"/>
    <x v="2"/>
    <n v="4005.4225000000001"/>
  </r>
  <r>
    <x v="0"/>
    <n v="26.4"/>
    <x v="0"/>
    <x v="1"/>
    <x v="1"/>
    <x v="2"/>
    <x v="36"/>
    <n v="0"/>
    <x v="154"/>
    <x v="0"/>
    <n v="7419.4778999999999"/>
  </r>
  <r>
    <x v="1"/>
    <n v="30.7"/>
    <x v="1"/>
    <x v="1"/>
    <x v="1"/>
    <x v="1"/>
    <x v="36"/>
    <n v="0"/>
    <x v="155"/>
    <x v="3"/>
    <n v="7731.4270999999999"/>
  </r>
  <r>
    <x v="1"/>
    <n v="41.9"/>
    <x v="1"/>
    <x v="0"/>
    <x v="0"/>
    <x v="3"/>
    <x v="26"/>
    <n v="1"/>
    <x v="156"/>
    <x v="2"/>
    <n v="43753.337"/>
  </r>
  <r>
    <x v="0"/>
    <n v="29.9"/>
    <x v="0"/>
    <x v="1"/>
    <x v="1"/>
    <x v="1"/>
    <x v="21"/>
    <n v="0"/>
    <x v="96"/>
    <x v="3"/>
    <n v="3981.9767999999999"/>
  </r>
  <r>
    <x v="0"/>
    <n v="30.9"/>
    <x v="1"/>
    <x v="1"/>
    <x v="1"/>
    <x v="0"/>
    <x v="15"/>
    <n v="0"/>
    <x v="157"/>
    <x v="2"/>
    <n v="5325.6509999999998"/>
  </r>
  <r>
    <x v="0"/>
    <n v="32.200000000000003"/>
    <x v="1"/>
    <x v="1"/>
    <x v="1"/>
    <x v="0"/>
    <x v="24"/>
    <n v="0"/>
    <x v="158"/>
    <x v="1"/>
    <n v="6775.9610000000002"/>
  </r>
  <r>
    <x v="0"/>
    <n v="32.1"/>
    <x v="1"/>
    <x v="1"/>
    <x v="1"/>
    <x v="2"/>
    <x v="38"/>
    <n v="0"/>
    <x v="159"/>
    <x v="3"/>
    <n v="4922.9159"/>
  </r>
  <r>
    <x v="1"/>
    <n v="31.6"/>
    <x v="1"/>
    <x v="1"/>
    <x v="1"/>
    <x v="1"/>
    <x v="35"/>
    <n v="0"/>
    <x v="160"/>
    <x v="0"/>
    <n v="12557.605299999999"/>
  </r>
  <r>
    <x v="0"/>
    <n v="26.2"/>
    <x v="0"/>
    <x v="1"/>
    <x v="1"/>
    <x v="0"/>
    <x v="26"/>
    <n v="0"/>
    <x v="161"/>
    <x v="0"/>
    <n v="4883.866"/>
  </r>
  <r>
    <x v="1"/>
    <n v="25.7"/>
    <x v="0"/>
    <x v="1"/>
    <x v="1"/>
    <x v="1"/>
    <x v="9"/>
    <n v="0"/>
    <x v="5"/>
    <x v="0"/>
    <n v="2137.6536000000001"/>
  </r>
  <r>
    <x v="0"/>
    <n v="26.6"/>
    <x v="0"/>
    <x v="1"/>
    <x v="1"/>
    <x v="2"/>
    <x v="12"/>
    <n v="0"/>
    <x v="40"/>
    <x v="1"/>
    <n v="12044.342000000001"/>
  </r>
  <r>
    <x v="1"/>
    <n v="34.4"/>
    <x v="1"/>
    <x v="1"/>
    <x v="1"/>
    <x v="1"/>
    <x v="1"/>
    <n v="0"/>
    <x v="53"/>
    <x v="0"/>
    <n v="1137.4697000000001"/>
  </r>
  <r>
    <x v="1"/>
    <n v="30.6"/>
    <x v="1"/>
    <x v="1"/>
    <x v="1"/>
    <x v="2"/>
    <x v="0"/>
    <n v="0"/>
    <x v="162"/>
    <x v="0"/>
    <n v="1639.5631000000001"/>
  </r>
  <r>
    <x v="0"/>
    <n v="32.799999999999997"/>
    <x v="1"/>
    <x v="1"/>
    <x v="1"/>
    <x v="0"/>
    <x v="46"/>
    <n v="0"/>
    <x v="163"/>
    <x v="0"/>
    <n v="5649.7150000000001"/>
  </r>
  <r>
    <x v="0"/>
    <n v="28.6"/>
    <x v="0"/>
    <x v="1"/>
    <x v="1"/>
    <x v="1"/>
    <x v="39"/>
    <n v="0"/>
    <x v="32"/>
    <x v="3"/>
    <n v="8516.8289999999997"/>
  </r>
  <r>
    <x v="0"/>
    <n v="18.100000000000001"/>
    <x v="3"/>
    <x v="1"/>
    <x v="1"/>
    <x v="2"/>
    <x v="43"/>
    <n v="0"/>
    <x v="164"/>
    <x v="0"/>
    <n v="9644.2525000000005"/>
  </r>
  <r>
    <x v="0"/>
    <n v="39.299999999999997"/>
    <x v="1"/>
    <x v="1"/>
    <x v="1"/>
    <x v="3"/>
    <x v="33"/>
    <n v="0"/>
    <x v="165"/>
    <x v="0"/>
    <n v="14901.5167"/>
  </r>
  <r>
    <x v="0"/>
    <n v="32.1"/>
    <x v="1"/>
    <x v="1"/>
    <x v="1"/>
    <x v="2"/>
    <x v="0"/>
    <n v="0"/>
    <x v="159"/>
    <x v="0"/>
    <n v="2130.6759000000002"/>
  </r>
  <r>
    <x v="0"/>
    <n v="32.200000000000003"/>
    <x v="1"/>
    <x v="1"/>
    <x v="1"/>
    <x v="1"/>
    <x v="28"/>
    <n v="0"/>
    <x v="166"/>
    <x v="1"/>
    <n v="8871.1517000000003"/>
  </r>
  <r>
    <x v="0"/>
    <n v="24"/>
    <x v="2"/>
    <x v="1"/>
    <x v="1"/>
    <x v="2"/>
    <x v="8"/>
    <n v="0"/>
    <x v="167"/>
    <x v="0"/>
    <n v="13012.2086"/>
  </r>
  <r>
    <x v="0"/>
    <n v="36.1"/>
    <x v="1"/>
    <x v="0"/>
    <x v="0"/>
    <x v="1"/>
    <x v="13"/>
    <n v="1"/>
    <x v="168"/>
    <x v="0"/>
    <n v="37133.898200000003"/>
  </r>
  <r>
    <x v="1"/>
    <n v="22.3"/>
    <x v="2"/>
    <x v="1"/>
    <x v="1"/>
    <x v="0"/>
    <x v="6"/>
    <n v="0"/>
    <x v="169"/>
    <x v="0"/>
    <n v="7147.1049999999996"/>
  </r>
  <r>
    <x v="0"/>
    <n v="28.9"/>
    <x v="0"/>
    <x v="1"/>
    <x v="1"/>
    <x v="3"/>
    <x v="2"/>
    <n v="0"/>
    <x v="4"/>
    <x v="1"/>
    <n v="4337.7352000000001"/>
  </r>
  <r>
    <x v="1"/>
    <n v="26.4"/>
    <x v="0"/>
    <x v="1"/>
    <x v="1"/>
    <x v="1"/>
    <x v="17"/>
    <n v="0"/>
    <x v="170"/>
    <x v="0"/>
    <n v="11743.299000000001"/>
  </r>
  <r>
    <x v="1"/>
    <n v="27.7"/>
    <x v="0"/>
    <x v="0"/>
    <x v="0"/>
    <x v="3"/>
    <x v="22"/>
    <n v="1"/>
    <x v="7"/>
    <x v="3"/>
    <n v="20984.0936"/>
  </r>
  <r>
    <x v="0"/>
    <n v="31.8"/>
    <x v="1"/>
    <x v="1"/>
    <x v="1"/>
    <x v="0"/>
    <x v="18"/>
    <n v="0"/>
    <x v="171"/>
    <x v="0"/>
    <n v="13880.949000000001"/>
  </r>
  <r>
    <x v="1"/>
    <n v="41.2"/>
    <x v="1"/>
    <x v="1"/>
    <x v="1"/>
    <x v="3"/>
    <x v="29"/>
    <n v="0"/>
    <x v="81"/>
    <x v="1"/>
    <n v="6610.1097"/>
  </r>
  <r>
    <x v="1"/>
    <n v="33"/>
    <x v="1"/>
    <x v="1"/>
    <x v="1"/>
    <x v="0"/>
    <x v="34"/>
    <n v="0"/>
    <x v="2"/>
    <x v="1"/>
    <n v="1980.07"/>
  </r>
  <r>
    <x v="1"/>
    <n v="30.9"/>
    <x v="1"/>
    <x v="1"/>
    <x v="1"/>
    <x v="2"/>
    <x v="29"/>
    <n v="0"/>
    <x v="99"/>
    <x v="5"/>
    <n v="8162.7161999999998"/>
  </r>
  <r>
    <x v="1"/>
    <n v="28.5"/>
    <x v="0"/>
    <x v="1"/>
    <x v="1"/>
    <x v="2"/>
    <x v="23"/>
    <n v="0"/>
    <x v="70"/>
    <x v="3"/>
    <n v="3537.703"/>
  </r>
  <r>
    <x v="0"/>
    <n v="26.7"/>
    <x v="0"/>
    <x v="1"/>
    <x v="1"/>
    <x v="1"/>
    <x v="16"/>
    <n v="0"/>
    <x v="172"/>
    <x v="1"/>
    <n v="5002.7826999999997"/>
  </r>
  <r>
    <x v="0"/>
    <n v="30.9"/>
    <x v="1"/>
    <x v="1"/>
    <x v="1"/>
    <x v="0"/>
    <x v="39"/>
    <n v="0"/>
    <x v="157"/>
    <x v="3"/>
    <n v="8520.0259999999998"/>
  </r>
  <r>
    <x v="0"/>
    <n v="37.1"/>
    <x v="1"/>
    <x v="1"/>
    <x v="1"/>
    <x v="0"/>
    <x v="24"/>
    <n v="0"/>
    <x v="109"/>
    <x v="3"/>
    <n v="7371.7719999999999"/>
  </r>
  <r>
    <x v="0"/>
    <n v="26.6"/>
    <x v="0"/>
    <x v="1"/>
    <x v="1"/>
    <x v="2"/>
    <x v="31"/>
    <n v="0"/>
    <x v="40"/>
    <x v="0"/>
    <n v="10355.641"/>
  </r>
  <r>
    <x v="1"/>
    <n v="23.1"/>
    <x v="2"/>
    <x v="1"/>
    <x v="1"/>
    <x v="1"/>
    <x v="13"/>
    <n v="0"/>
    <x v="173"/>
    <x v="0"/>
    <n v="2483.7359999999999"/>
  </r>
  <r>
    <x v="0"/>
    <n v="29.9"/>
    <x v="0"/>
    <x v="1"/>
    <x v="1"/>
    <x v="1"/>
    <x v="21"/>
    <n v="0"/>
    <x v="96"/>
    <x v="1"/>
    <n v="3392.9767999999999"/>
  </r>
  <r>
    <x v="0"/>
    <n v="23.2"/>
    <x v="2"/>
    <x v="1"/>
    <x v="1"/>
    <x v="1"/>
    <x v="23"/>
    <n v="0"/>
    <x v="174"/>
    <x v="0"/>
    <n v="25081.767800000001"/>
  </r>
  <r>
    <x v="0"/>
    <n v="33.700000000000003"/>
    <x v="1"/>
    <x v="1"/>
    <x v="1"/>
    <x v="0"/>
    <x v="16"/>
    <n v="0"/>
    <x v="175"/>
    <x v="1"/>
    <n v="5012.4709999999995"/>
  </r>
  <r>
    <x v="0"/>
    <n v="33.299999999999997"/>
    <x v="1"/>
    <x v="1"/>
    <x v="1"/>
    <x v="3"/>
    <x v="31"/>
    <n v="0"/>
    <x v="176"/>
    <x v="0"/>
    <n v="10564.8845"/>
  </r>
  <r>
    <x v="1"/>
    <n v="30.8"/>
    <x v="1"/>
    <x v="1"/>
    <x v="1"/>
    <x v="0"/>
    <x v="4"/>
    <n v="0"/>
    <x v="43"/>
    <x v="2"/>
    <n v="5253.5240000000003"/>
  </r>
  <r>
    <x v="1"/>
    <n v="34.799999999999997"/>
    <x v="1"/>
    <x v="0"/>
    <x v="0"/>
    <x v="0"/>
    <x v="0"/>
    <n v="1"/>
    <x v="82"/>
    <x v="0"/>
    <n v="34779.614999999998"/>
  </r>
  <r>
    <x v="1"/>
    <n v="24.6"/>
    <x v="2"/>
    <x v="0"/>
    <x v="0"/>
    <x v="1"/>
    <x v="44"/>
    <n v="1"/>
    <x v="177"/>
    <x v="0"/>
    <n v="19515.5416"/>
  </r>
  <r>
    <x v="1"/>
    <n v="33.9"/>
    <x v="1"/>
    <x v="1"/>
    <x v="1"/>
    <x v="1"/>
    <x v="19"/>
    <n v="0"/>
    <x v="178"/>
    <x v="2"/>
    <n v="11987.1682"/>
  </r>
  <r>
    <x v="1"/>
    <n v="38.1"/>
    <x v="1"/>
    <x v="1"/>
    <x v="1"/>
    <x v="1"/>
    <x v="2"/>
    <n v="0"/>
    <x v="179"/>
    <x v="0"/>
    <n v="2689.4953999999998"/>
  </r>
  <r>
    <x v="0"/>
    <n v="41.9"/>
    <x v="1"/>
    <x v="1"/>
    <x v="1"/>
    <x v="1"/>
    <x v="30"/>
    <n v="0"/>
    <x v="180"/>
    <x v="0"/>
    <n v="24227.337200000002"/>
  </r>
  <r>
    <x v="0"/>
    <n v="31.6"/>
    <x v="1"/>
    <x v="1"/>
    <x v="1"/>
    <x v="3"/>
    <x v="24"/>
    <n v="0"/>
    <x v="181"/>
    <x v="1"/>
    <n v="7358.1755999999996"/>
  </r>
  <r>
    <x v="1"/>
    <n v="25.5"/>
    <x v="0"/>
    <x v="1"/>
    <x v="1"/>
    <x v="3"/>
    <x v="42"/>
    <n v="0"/>
    <x v="94"/>
    <x v="3"/>
    <n v="9225.2564000000002"/>
  </r>
  <r>
    <x v="0"/>
    <n v="36.200000000000003"/>
    <x v="1"/>
    <x v="1"/>
    <x v="1"/>
    <x v="2"/>
    <x v="44"/>
    <n v="0"/>
    <x v="182"/>
    <x v="1"/>
    <n v="7443.643"/>
  </r>
  <r>
    <x v="0"/>
    <n v="27.8"/>
    <x v="0"/>
    <x v="1"/>
    <x v="1"/>
    <x v="1"/>
    <x v="17"/>
    <n v="0"/>
    <x v="138"/>
    <x v="2"/>
    <n v="14001.286700000001"/>
  </r>
  <r>
    <x v="0"/>
    <n v="17.8"/>
    <x v="3"/>
    <x v="1"/>
    <x v="1"/>
    <x v="0"/>
    <x v="0"/>
    <n v="0"/>
    <x v="183"/>
    <x v="0"/>
    <n v="1727.7850000000001"/>
  </r>
  <r>
    <x v="1"/>
    <n v="27.5"/>
    <x v="0"/>
    <x v="1"/>
    <x v="1"/>
    <x v="0"/>
    <x v="17"/>
    <n v="0"/>
    <x v="97"/>
    <x v="1"/>
    <n v="12333.828"/>
  </r>
  <r>
    <x v="1"/>
    <n v="24.5"/>
    <x v="2"/>
    <x v="1"/>
    <x v="1"/>
    <x v="2"/>
    <x v="46"/>
    <n v="0"/>
    <x v="184"/>
    <x v="3"/>
    <n v="6710.1918999999998"/>
  </r>
  <r>
    <x v="0"/>
    <n v="22.2"/>
    <x v="2"/>
    <x v="0"/>
    <x v="0"/>
    <x v="1"/>
    <x v="29"/>
    <n v="1"/>
    <x v="185"/>
    <x v="3"/>
    <n v="19444.265800000001"/>
  </r>
  <r>
    <x v="0"/>
    <n v="26.7"/>
    <x v="0"/>
    <x v="1"/>
    <x v="1"/>
    <x v="1"/>
    <x v="1"/>
    <n v="0"/>
    <x v="172"/>
    <x v="0"/>
    <n v="1615.7666999999999"/>
  </r>
  <r>
    <x v="1"/>
    <n v="38.4"/>
    <x v="1"/>
    <x v="1"/>
    <x v="1"/>
    <x v="1"/>
    <x v="5"/>
    <n v="0"/>
    <x v="186"/>
    <x v="3"/>
    <n v="4463.2051000000001"/>
  </r>
  <r>
    <x v="1"/>
    <n v="29.1"/>
    <x v="0"/>
    <x v="0"/>
    <x v="0"/>
    <x v="2"/>
    <x v="0"/>
    <n v="1"/>
    <x v="187"/>
    <x v="0"/>
    <n v="17352.6803"/>
  </r>
  <r>
    <x v="1"/>
    <n v="38.1"/>
    <x v="1"/>
    <x v="1"/>
    <x v="1"/>
    <x v="1"/>
    <x v="36"/>
    <n v="0"/>
    <x v="179"/>
    <x v="1"/>
    <n v="7152.6714000000002"/>
  </r>
  <r>
    <x v="0"/>
    <n v="36.700000000000003"/>
    <x v="1"/>
    <x v="0"/>
    <x v="0"/>
    <x v="3"/>
    <x v="11"/>
    <n v="1"/>
    <x v="38"/>
    <x v="3"/>
    <n v="38511.628299999997"/>
  </r>
  <r>
    <x v="0"/>
    <n v="22.1"/>
    <x v="2"/>
    <x v="1"/>
    <x v="1"/>
    <x v="3"/>
    <x v="3"/>
    <n v="0"/>
    <x v="188"/>
    <x v="1"/>
    <n v="5354.0745999999999"/>
  </r>
  <r>
    <x v="0"/>
    <n v="26.8"/>
    <x v="0"/>
    <x v="1"/>
    <x v="1"/>
    <x v="0"/>
    <x v="19"/>
    <n v="0"/>
    <x v="189"/>
    <x v="1"/>
    <n v="35160.134599999998"/>
  </r>
  <r>
    <x v="1"/>
    <n v="35.299999999999997"/>
    <x v="1"/>
    <x v="1"/>
    <x v="1"/>
    <x v="0"/>
    <x v="29"/>
    <n v="0"/>
    <x v="19"/>
    <x v="2"/>
    <n v="7196.8670000000002"/>
  </r>
  <r>
    <x v="0"/>
    <n v="27.7"/>
    <x v="0"/>
    <x v="0"/>
    <x v="0"/>
    <x v="3"/>
    <x v="18"/>
    <n v="1"/>
    <x v="7"/>
    <x v="0"/>
    <n v="29523.1656"/>
  </r>
  <r>
    <x v="1"/>
    <n v="30"/>
    <x v="1"/>
    <x v="1"/>
    <x v="1"/>
    <x v="2"/>
    <x v="40"/>
    <n v="0"/>
    <x v="190"/>
    <x v="0"/>
    <n v="24476.478500000001"/>
  </r>
  <r>
    <x v="0"/>
    <n v="38.1"/>
    <x v="1"/>
    <x v="1"/>
    <x v="1"/>
    <x v="1"/>
    <x v="8"/>
    <n v="0"/>
    <x v="179"/>
    <x v="0"/>
    <n v="12648.7034"/>
  </r>
  <r>
    <x v="1"/>
    <n v="35.9"/>
    <x v="1"/>
    <x v="1"/>
    <x v="1"/>
    <x v="1"/>
    <x v="23"/>
    <n v="0"/>
    <x v="191"/>
    <x v="0"/>
    <n v="1986.9333999999999"/>
  </r>
  <r>
    <x v="1"/>
    <n v="20.9"/>
    <x v="2"/>
    <x v="1"/>
    <x v="1"/>
    <x v="0"/>
    <x v="0"/>
    <n v="0"/>
    <x v="192"/>
    <x v="1"/>
    <n v="1832.0940000000001"/>
  </r>
  <r>
    <x v="1"/>
    <n v="29"/>
    <x v="0"/>
    <x v="1"/>
    <x v="1"/>
    <x v="3"/>
    <x v="38"/>
    <n v="0"/>
    <x v="111"/>
    <x v="1"/>
    <n v="4040.5581999999999"/>
  </r>
  <r>
    <x v="1"/>
    <n v="17.3"/>
    <x v="3"/>
    <x v="0"/>
    <x v="0"/>
    <x v="3"/>
    <x v="1"/>
    <n v="1"/>
    <x v="193"/>
    <x v="3"/>
    <n v="12829.455099999999"/>
  </r>
  <r>
    <x v="0"/>
    <n v="32.200000000000003"/>
    <x v="1"/>
    <x v="0"/>
    <x v="0"/>
    <x v="0"/>
    <x v="18"/>
    <n v="1"/>
    <x v="158"/>
    <x v="3"/>
    <n v="47305.305"/>
  </r>
  <r>
    <x v="1"/>
    <n v="34.200000000000003"/>
    <x v="1"/>
    <x v="0"/>
    <x v="0"/>
    <x v="1"/>
    <x v="40"/>
    <n v="1"/>
    <x v="194"/>
    <x v="3"/>
    <n v="44260.749900000003"/>
  </r>
  <r>
    <x v="1"/>
    <n v="30.3"/>
    <x v="1"/>
    <x v="1"/>
    <x v="1"/>
    <x v="0"/>
    <x v="13"/>
    <n v="0"/>
    <x v="148"/>
    <x v="2"/>
    <n v="4260.7439999999997"/>
  </r>
  <r>
    <x v="1"/>
    <n v="31.8"/>
    <x v="1"/>
    <x v="0"/>
    <x v="0"/>
    <x v="3"/>
    <x v="45"/>
    <n v="1"/>
    <x v="56"/>
    <x v="0"/>
    <n v="41097.161800000002"/>
  </r>
  <r>
    <x v="0"/>
    <n v="25.4"/>
    <x v="0"/>
    <x v="1"/>
    <x v="1"/>
    <x v="3"/>
    <x v="19"/>
    <n v="0"/>
    <x v="195"/>
    <x v="2"/>
    <n v="13047.332399999999"/>
  </r>
  <r>
    <x v="1"/>
    <n v="33.6"/>
    <x v="1"/>
    <x v="0"/>
    <x v="0"/>
    <x v="2"/>
    <x v="12"/>
    <n v="1"/>
    <x v="51"/>
    <x v="0"/>
    <n v="43921.183700000001"/>
  </r>
  <r>
    <x v="0"/>
    <n v="40.200000000000003"/>
    <x v="1"/>
    <x v="1"/>
    <x v="1"/>
    <x v="1"/>
    <x v="25"/>
    <n v="0"/>
    <x v="196"/>
    <x v="0"/>
    <n v="5400.9804999999997"/>
  </r>
  <r>
    <x v="1"/>
    <n v="24.4"/>
    <x v="2"/>
    <x v="1"/>
    <x v="1"/>
    <x v="2"/>
    <x v="43"/>
    <n v="0"/>
    <x v="197"/>
    <x v="5"/>
    <n v="11520.0998"/>
  </r>
  <r>
    <x v="1"/>
    <n v="31.9"/>
    <x v="1"/>
    <x v="0"/>
    <x v="0"/>
    <x v="2"/>
    <x v="0"/>
    <n v="1"/>
    <x v="23"/>
    <x v="0"/>
    <n v="33750.291799999999"/>
  </r>
  <r>
    <x v="0"/>
    <n v="25.2"/>
    <x v="0"/>
    <x v="1"/>
    <x v="1"/>
    <x v="0"/>
    <x v="30"/>
    <n v="0"/>
    <x v="198"/>
    <x v="0"/>
    <n v="11837.16"/>
  </r>
  <r>
    <x v="0"/>
    <n v="26.8"/>
    <x v="0"/>
    <x v="0"/>
    <x v="0"/>
    <x v="1"/>
    <x v="34"/>
    <n v="1"/>
    <x v="199"/>
    <x v="1"/>
    <n v="17085.267599999999"/>
  </r>
  <r>
    <x v="1"/>
    <n v="24.3"/>
    <x v="2"/>
    <x v="0"/>
    <x v="0"/>
    <x v="3"/>
    <x v="14"/>
    <n v="1"/>
    <x v="200"/>
    <x v="2"/>
    <n v="24869.836800000001"/>
  </r>
  <r>
    <x v="1"/>
    <n v="37"/>
    <x v="1"/>
    <x v="0"/>
    <x v="0"/>
    <x v="2"/>
    <x v="0"/>
    <n v="1"/>
    <x v="55"/>
    <x v="0"/>
    <n v="36219.405400000003"/>
  </r>
  <r>
    <x v="0"/>
    <n v="38.1"/>
    <x v="1"/>
    <x v="1"/>
    <x v="1"/>
    <x v="1"/>
    <x v="31"/>
    <n v="0"/>
    <x v="179"/>
    <x v="2"/>
    <n v="20462.9977"/>
  </r>
  <r>
    <x v="1"/>
    <n v="42.4"/>
    <x v="1"/>
    <x v="0"/>
    <x v="0"/>
    <x v="1"/>
    <x v="6"/>
    <n v="1"/>
    <x v="201"/>
    <x v="2"/>
    <n v="46151.124499999998"/>
  </r>
  <r>
    <x v="1"/>
    <n v="19.8"/>
    <x v="2"/>
    <x v="0"/>
    <x v="0"/>
    <x v="1"/>
    <x v="29"/>
    <n v="1"/>
    <x v="202"/>
    <x v="1"/>
    <n v="17179.522000000001"/>
  </r>
  <r>
    <x v="0"/>
    <n v="32.4"/>
    <x v="1"/>
    <x v="1"/>
    <x v="1"/>
    <x v="3"/>
    <x v="17"/>
    <n v="0"/>
    <x v="203"/>
    <x v="2"/>
    <n v="14590.632"/>
  </r>
  <r>
    <x v="1"/>
    <n v="30.2"/>
    <x v="1"/>
    <x v="1"/>
    <x v="1"/>
    <x v="0"/>
    <x v="39"/>
    <n v="0"/>
    <x v="204"/>
    <x v="1"/>
    <n v="7441.0529999999999"/>
  </r>
  <r>
    <x v="1"/>
    <n v="25.8"/>
    <x v="0"/>
    <x v="1"/>
    <x v="1"/>
    <x v="3"/>
    <x v="41"/>
    <n v="0"/>
    <x v="9"/>
    <x v="1"/>
    <n v="9282.4806000000008"/>
  </r>
  <r>
    <x v="1"/>
    <n v="29.4"/>
    <x v="0"/>
    <x v="1"/>
    <x v="1"/>
    <x v="1"/>
    <x v="1"/>
    <n v="0"/>
    <x v="205"/>
    <x v="1"/>
    <n v="1719.4363000000001"/>
  </r>
  <r>
    <x v="1"/>
    <n v="34.200000000000003"/>
    <x v="1"/>
    <x v="0"/>
    <x v="0"/>
    <x v="0"/>
    <x v="45"/>
    <n v="1"/>
    <x v="206"/>
    <x v="3"/>
    <n v="42856.838000000003"/>
  </r>
  <r>
    <x v="1"/>
    <n v="37.1"/>
    <x v="1"/>
    <x v="1"/>
    <x v="1"/>
    <x v="2"/>
    <x v="24"/>
    <n v="0"/>
    <x v="44"/>
    <x v="3"/>
    <n v="7265.7025000000003"/>
  </r>
  <r>
    <x v="1"/>
    <n v="27.5"/>
    <x v="0"/>
    <x v="1"/>
    <x v="1"/>
    <x v="3"/>
    <x v="45"/>
    <n v="0"/>
    <x v="207"/>
    <x v="1"/>
    <n v="9617.6623999999993"/>
  </r>
  <r>
    <x v="1"/>
    <n v="27.6"/>
    <x v="0"/>
    <x v="1"/>
    <x v="1"/>
    <x v="2"/>
    <x v="9"/>
    <n v="0"/>
    <x v="208"/>
    <x v="0"/>
    <n v="2523.1695"/>
  </r>
  <r>
    <x v="0"/>
    <n v="26.6"/>
    <x v="0"/>
    <x v="1"/>
    <x v="1"/>
    <x v="3"/>
    <x v="42"/>
    <n v="0"/>
    <x v="40"/>
    <x v="3"/>
    <n v="9715.8410000000003"/>
  </r>
  <r>
    <x v="1"/>
    <n v="20.6"/>
    <x v="2"/>
    <x v="1"/>
    <x v="1"/>
    <x v="2"/>
    <x v="0"/>
    <n v="0"/>
    <x v="209"/>
    <x v="3"/>
    <n v="2803.6977999999999"/>
  </r>
  <r>
    <x v="0"/>
    <n v="24.3"/>
    <x v="2"/>
    <x v="1"/>
    <x v="1"/>
    <x v="0"/>
    <x v="20"/>
    <n v="0"/>
    <x v="210"/>
    <x v="0"/>
    <n v="2150.4690000000001"/>
  </r>
  <r>
    <x v="1"/>
    <n v="31.8"/>
    <x v="1"/>
    <x v="1"/>
    <x v="1"/>
    <x v="1"/>
    <x v="17"/>
    <n v="0"/>
    <x v="211"/>
    <x v="3"/>
    <n v="12928.7911"/>
  </r>
  <r>
    <x v="0"/>
    <n v="21.6"/>
    <x v="2"/>
    <x v="1"/>
    <x v="1"/>
    <x v="1"/>
    <x v="43"/>
    <n v="0"/>
    <x v="212"/>
    <x v="1"/>
    <n v="9855.1314000000002"/>
  </r>
  <r>
    <x v="0"/>
    <n v="28.1"/>
    <x v="0"/>
    <x v="0"/>
    <x v="0"/>
    <x v="3"/>
    <x v="29"/>
    <n v="1"/>
    <x v="213"/>
    <x v="1"/>
    <n v="22331.566800000001"/>
  </r>
  <r>
    <x v="1"/>
    <n v="40.6"/>
    <x v="1"/>
    <x v="0"/>
    <x v="0"/>
    <x v="3"/>
    <x v="40"/>
    <n v="1"/>
    <x v="214"/>
    <x v="2"/>
    <n v="48549.178399999997"/>
  </r>
  <r>
    <x v="1"/>
    <n v="27.6"/>
    <x v="0"/>
    <x v="1"/>
    <x v="1"/>
    <x v="3"/>
    <x v="15"/>
    <n v="0"/>
    <x v="215"/>
    <x v="1"/>
    <n v="4237.1265999999996"/>
  </r>
  <r>
    <x v="0"/>
    <n v="32.4"/>
    <x v="1"/>
    <x v="1"/>
    <x v="1"/>
    <x v="3"/>
    <x v="19"/>
    <n v="0"/>
    <x v="203"/>
    <x v="1"/>
    <n v="11879.103999999999"/>
  </r>
  <r>
    <x v="0"/>
    <n v="31.2"/>
    <x v="1"/>
    <x v="1"/>
    <x v="1"/>
    <x v="0"/>
    <x v="14"/>
    <n v="0"/>
    <x v="216"/>
    <x v="0"/>
    <n v="9625.92"/>
  </r>
  <r>
    <x v="1"/>
    <n v="26.6"/>
    <x v="0"/>
    <x v="1"/>
    <x v="1"/>
    <x v="1"/>
    <x v="6"/>
    <n v="0"/>
    <x v="217"/>
    <x v="1"/>
    <n v="7742.1098000000002"/>
  </r>
  <r>
    <x v="0"/>
    <n v="48.1"/>
    <x v="1"/>
    <x v="1"/>
    <x v="1"/>
    <x v="3"/>
    <x v="6"/>
    <n v="0"/>
    <x v="218"/>
    <x v="3"/>
    <n v="9432.9253000000008"/>
  </r>
  <r>
    <x v="0"/>
    <n v="26.2"/>
    <x v="0"/>
    <x v="1"/>
    <x v="1"/>
    <x v="2"/>
    <x v="18"/>
    <n v="0"/>
    <x v="10"/>
    <x v="0"/>
    <n v="14256.192800000001"/>
  </r>
  <r>
    <x v="0"/>
    <n v="36.799999999999997"/>
    <x v="1"/>
    <x v="0"/>
    <x v="0"/>
    <x v="3"/>
    <x v="17"/>
    <n v="1"/>
    <x v="219"/>
    <x v="1"/>
    <n v="47896.791400000002"/>
  </r>
  <r>
    <x v="1"/>
    <n v="26.4"/>
    <x v="0"/>
    <x v="1"/>
    <x v="1"/>
    <x v="1"/>
    <x v="14"/>
    <n v="0"/>
    <x v="170"/>
    <x v="2"/>
    <n v="25992.821"/>
  </r>
  <r>
    <x v="0"/>
    <n v="33.4"/>
    <x v="1"/>
    <x v="1"/>
    <x v="1"/>
    <x v="0"/>
    <x v="2"/>
    <n v="0"/>
    <x v="220"/>
    <x v="0"/>
    <n v="3172.018"/>
  </r>
  <r>
    <x v="1"/>
    <n v="29.6"/>
    <x v="0"/>
    <x v="1"/>
    <x v="1"/>
    <x v="3"/>
    <x v="38"/>
    <n v="0"/>
    <x v="142"/>
    <x v="1"/>
    <n v="20277.807499999999"/>
  </r>
  <r>
    <x v="1"/>
    <n v="45.5"/>
    <x v="1"/>
    <x v="0"/>
    <x v="0"/>
    <x v="1"/>
    <x v="9"/>
    <n v="1"/>
    <x v="221"/>
    <x v="3"/>
    <n v="42112.2356"/>
  </r>
  <r>
    <x v="0"/>
    <n v="28.8"/>
    <x v="0"/>
    <x v="1"/>
    <x v="1"/>
    <x v="1"/>
    <x v="20"/>
    <n v="0"/>
    <x v="222"/>
    <x v="0"/>
    <n v="2156.7518"/>
  </r>
  <r>
    <x v="1"/>
    <n v="26.8"/>
    <x v="0"/>
    <x v="1"/>
    <x v="1"/>
    <x v="0"/>
    <x v="9"/>
    <n v="0"/>
    <x v="189"/>
    <x v="2"/>
    <n v="3906.127"/>
  </r>
  <r>
    <x v="1"/>
    <n v="23"/>
    <x v="2"/>
    <x v="1"/>
    <x v="1"/>
    <x v="3"/>
    <x v="1"/>
    <n v="0"/>
    <x v="223"/>
    <x v="0"/>
    <n v="1704.5681"/>
  </r>
  <r>
    <x v="1"/>
    <n v="27.7"/>
    <x v="0"/>
    <x v="0"/>
    <x v="0"/>
    <x v="0"/>
    <x v="0"/>
    <n v="1"/>
    <x v="224"/>
    <x v="0"/>
    <n v="16297.846"/>
  </r>
  <r>
    <x v="1"/>
    <n v="25.4"/>
    <x v="0"/>
    <x v="0"/>
    <x v="0"/>
    <x v="1"/>
    <x v="42"/>
    <n v="1"/>
    <x v="225"/>
    <x v="1"/>
    <n v="21978.676899999999"/>
  </r>
  <r>
    <x v="1"/>
    <n v="34.4"/>
    <x v="1"/>
    <x v="0"/>
    <x v="0"/>
    <x v="2"/>
    <x v="5"/>
    <n v="1"/>
    <x v="226"/>
    <x v="2"/>
    <n v="38746.355100000001"/>
  </r>
  <r>
    <x v="0"/>
    <n v="28.9"/>
    <x v="0"/>
    <x v="1"/>
    <x v="1"/>
    <x v="2"/>
    <x v="28"/>
    <n v="0"/>
    <x v="4"/>
    <x v="1"/>
    <n v="9249.4951999999994"/>
  </r>
  <r>
    <x v="1"/>
    <n v="27.6"/>
    <x v="0"/>
    <x v="1"/>
    <x v="1"/>
    <x v="3"/>
    <x v="26"/>
    <n v="0"/>
    <x v="208"/>
    <x v="2"/>
    <n v="6746.7425000000003"/>
  </r>
  <r>
    <x v="0"/>
    <n v="22.6"/>
    <x v="2"/>
    <x v="0"/>
    <x v="0"/>
    <x v="3"/>
    <x v="31"/>
    <n v="1"/>
    <x v="227"/>
    <x v="2"/>
    <n v="24873.384900000001"/>
  </r>
  <r>
    <x v="0"/>
    <n v="37.5"/>
    <x v="1"/>
    <x v="1"/>
    <x v="1"/>
    <x v="1"/>
    <x v="12"/>
    <n v="0"/>
    <x v="228"/>
    <x v="3"/>
    <n v="12265.5069"/>
  </r>
  <r>
    <x v="0"/>
    <n v="33"/>
    <x v="1"/>
    <x v="1"/>
    <x v="1"/>
    <x v="1"/>
    <x v="2"/>
    <n v="0"/>
    <x v="2"/>
    <x v="3"/>
    <n v="4349.4620000000004"/>
  </r>
  <r>
    <x v="0"/>
    <n v="38"/>
    <x v="1"/>
    <x v="1"/>
    <x v="1"/>
    <x v="0"/>
    <x v="37"/>
    <n v="0"/>
    <x v="229"/>
    <x v="3"/>
    <n v="12646.207"/>
  </r>
  <r>
    <x v="1"/>
    <n v="33.299999999999997"/>
    <x v="1"/>
    <x v="1"/>
    <x v="1"/>
    <x v="2"/>
    <x v="38"/>
    <n v="0"/>
    <x v="150"/>
    <x v="3"/>
    <n v="19442.353500000001"/>
  </r>
  <r>
    <x v="0"/>
    <n v="27.5"/>
    <x v="0"/>
    <x v="1"/>
    <x v="1"/>
    <x v="0"/>
    <x v="2"/>
    <n v="0"/>
    <x v="97"/>
    <x v="3"/>
    <n v="20177.6711"/>
  </r>
  <r>
    <x v="0"/>
    <n v="33.299999999999997"/>
    <x v="1"/>
    <x v="1"/>
    <x v="1"/>
    <x v="1"/>
    <x v="15"/>
    <n v="0"/>
    <x v="230"/>
    <x v="1"/>
    <n v="4151.0286999999998"/>
  </r>
  <r>
    <x v="1"/>
    <n v="34.9"/>
    <x v="1"/>
    <x v="1"/>
    <x v="1"/>
    <x v="3"/>
    <x v="30"/>
    <n v="0"/>
    <x v="231"/>
    <x v="0"/>
    <n v="11944.5944"/>
  </r>
  <r>
    <x v="0"/>
    <n v="33.1"/>
    <x v="1"/>
    <x v="1"/>
    <x v="1"/>
    <x v="2"/>
    <x v="24"/>
    <n v="0"/>
    <x v="232"/>
    <x v="3"/>
    <n v="7749.1563999999998"/>
  </r>
  <r>
    <x v="1"/>
    <n v="26.6"/>
    <x v="0"/>
    <x v="1"/>
    <x v="1"/>
    <x v="0"/>
    <x v="45"/>
    <n v="0"/>
    <x v="40"/>
    <x v="0"/>
    <n v="8444.4740000000002"/>
  </r>
  <r>
    <x v="0"/>
    <n v="24.7"/>
    <x v="2"/>
    <x v="1"/>
    <x v="1"/>
    <x v="0"/>
    <x v="0"/>
    <n v="0"/>
    <x v="62"/>
    <x v="0"/>
    <n v="1737.376"/>
  </r>
  <r>
    <x v="1"/>
    <n v="36"/>
    <x v="1"/>
    <x v="0"/>
    <x v="0"/>
    <x v="1"/>
    <x v="32"/>
    <n v="1"/>
    <x v="233"/>
    <x v="2"/>
    <n v="42124.515299999999"/>
  </r>
  <r>
    <x v="1"/>
    <n v="35.9"/>
    <x v="1"/>
    <x v="1"/>
    <x v="1"/>
    <x v="1"/>
    <x v="41"/>
    <n v="0"/>
    <x v="191"/>
    <x v="0"/>
    <n v="8124.4084000000003"/>
  </r>
  <r>
    <x v="0"/>
    <n v="31.4"/>
    <x v="1"/>
    <x v="0"/>
    <x v="0"/>
    <x v="0"/>
    <x v="13"/>
    <n v="1"/>
    <x v="234"/>
    <x v="0"/>
    <n v="34838.873"/>
  </r>
  <r>
    <x v="1"/>
    <n v="33.299999999999997"/>
    <x v="1"/>
    <x v="1"/>
    <x v="1"/>
    <x v="3"/>
    <x v="14"/>
    <n v="0"/>
    <x v="176"/>
    <x v="0"/>
    <n v="9722.7695000000003"/>
  </r>
  <r>
    <x v="1"/>
    <n v="32.200000000000003"/>
    <x v="1"/>
    <x v="1"/>
    <x v="1"/>
    <x v="2"/>
    <x v="45"/>
    <n v="0"/>
    <x v="104"/>
    <x v="0"/>
    <n v="8835.2649999999994"/>
  </r>
  <r>
    <x v="1"/>
    <n v="32.799999999999997"/>
    <x v="1"/>
    <x v="1"/>
    <x v="1"/>
    <x v="3"/>
    <x v="40"/>
    <n v="0"/>
    <x v="27"/>
    <x v="0"/>
    <n v="10435.065199999999"/>
  </r>
  <r>
    <x v="0"/>
    <n v="27.6"/>
    <x v="0"/>
    <x v="1"/>
    <x v="1"/>
    <x v="2"/>
    <x v="36"/>
    <n v="0"/>
    <x v="215"/>
    <x v="0"/>
    <n v="7421.1945999999998"/>
  </r>
  <r>
    <x v="1"/>
    <n v="37.299999999999997"/>
    <x v="1"/>
    <x v="1"/>
    <x v="1"/>
    <x v="3"/>
    <x v="4"/>
    <n v="0"/>
    <x v="59"/>
    <x v="1"/>
    <n v="4667.6076000000003"/>
  </r>
  <r>
    <x v="1"/>
    <n v="25.3"/>
    <x v="0"/>
    <x v="1"/>
    <x v="1"/>
    <x v="2"/>
    <x v="16"/>
    <n v="0"/>
    <x v="235"/>
    <x v="1"/>
    <n v="4894.7533000000003"/>
  </r>
  <r>
    <x v="0"/>
    <n v="29.6"/>
    <x v="0"/>
    <x v="1"/>
    <x v="1"/>
    <x v="3"/>
    <x v="21"/>
    <n v="0"/>
    <x v="142"/>
    <x v="5"/>
    <n v="24671.6633"/>
  </r>
  <r>
    <x v="1"/>
    <n v="30.8"/>
    <x v="1"/>
    <x v="0"/>
    <x v="0"/>
    <x v="0"/>
    <x v="16"/>
    <n v="1"/>
    <x v="43"/>
    <x v="0"/>
    <n v="35491.64"/>
  </r>
  <r>
    <x v="1"/>
    <n v="40.9"/>
    <x v="1"/>
    <x v="1"/>
    <x v="1"/>
    <x v="3"/>
    <x v="37"/>
    <n v="0"/>
    <x v="236"/>
    <x v="0"/>
    <n v="11566.3006"/>
  </r>
  <r>
    <x v="1"/>
    <n v="27.2"/>
    <x v="0"/>
    <x v="1"/>
    <x v="1"/>
    <x v="0"/>
    <x v="38"/>
    <n v="0"/>
    <x v="85"/>
    <x v="0"/>
    <n v="2866.0909999999999"/>
  </r>
  <r>
    <x v="1"/>
    <n v="34.1"/>
    <x v="1"/>
    <x v="1"/>
    <x v="1"/>
    <x v="3"/>
    <x v="29"/>
    <n v="0"/>
    <x v="237"/>
    <x v="1"/>
    <n v="6600.2060000000001"/>
  </r>
  <r>
    <x v="0"/>
    <n v="23.2"/>
    <x v="2"/>
    <x v="1"/>
    <x v="1"/>
    <x v="1"/>
    <x v="13"/>
    <n v="0"/>
    <x v="174"/>
    <x v="1"/>
    <n v="3561.8888999999999"/>
  </r>
  <r>
    <x v="1"/>
    <n v="36.5"/>
    <x v="1"/>
    <x v="0"/>
    <x v="0"/>
    <x v="2"/>
    <x v="39"/>
    <n v="1"/>
    <x v="238"/>
    <x v="3"/>
    <n v="42760.502200000003"/>
  </r>
  <r>
    <x v="0"/>
    <n v="33.799999999999997"/>
    <x v="1"/>
    <x v="0"/>
    <x v="0"/>
    <x v="0"/>
    <x v="33"/>
    <n v="1"/>
    <x v="239"/>
    <x v="1"/>
    <n v="47928.03"/>
  </r>
  <r>
    <x v="1"/>
    <n v="36.700000000000003"/>
    <x v="1"/>
    <x v="1"/>
    <x v="1"/>
    <x v="0"/>
    <x v="14"/>
    <n v="0"/>
    <x v="240"/>
    <x v="0"/>
    <n v="9144.5650000000005"/>
  </r>
  <r>
    <x v="0"/>
    <n v="36.4"/>
    <x v="1"/>
    <x v="0"/>
    <x v="0"/>
    <x v="3"/>
    <x v="35"/>
    <n v="1"/>
    <x v="241"/>
    <x v="1"/>
    <n v="48517.563199999997"/>
  </r>
  <r>
    <x v="1"/>
    <n v="27.4"/>
    <x v="0"/>
    <x v="0"/>
    <x v="0"/>
    <x v="2"/>
    <x v="14"/>
    <n v="1"/>
    <x v="60"/>
    <x v="0"/>
    <n v="24393.6224"/>
  </r>
  <r>
    <x v="0"/>
    <n v="31.2"/>
    <x v="1"/>
    <x v="1"/>
    <x v="1"/>
    <x v="2"/>
    <x v="35"/>
    <n v="0"/>
    <x v="84"/>
    <x v="0"/>
    <n v="13429.035400000001"/>
  </r>
  <r>
    <x v="0"/>
    <n v="28.8"/>
    <x v="0"/>
    <x v="1"/>
    <x v="1"/>
    <x v="3"/>
    <x v="12"/>
    <n v="0"/>
    <x v="114"/>
    <x v="0"/>
    <n v="11658.379199999999"/>
  </r>
  <r>
    <x v="0"/>
    <n v="35.700000000000003"/>
    <x v="1"/>
    <x v="1"/>
    <x v="1"/>
    <x v="3"/>
    <x v="32"/>
    <n v="0"/>
    <x v="103"/>
    <x v="3"/>
    <n v="19144.576499999999"/>
  </r>
  <r>
    <x v="1"/>
    <n v="34.5"/>
    <x v="1"/>
    <x v="1"/>
    <x v="1"/>
    <x v="0"/>
    <x v="33"/>
    <n v="0"/>
    <x v="242"/>
    <x v="0"/>
    <n v="13822.803"/>
  </r>
  <r>
    <x v="1"/>
    <n v="25.7"/>
    <x v="0"/>
    <x v="1"/>
    <x v="1"/>
    <x v="1"/>
    <x v="8"/>
    <n v="0"/>
    <x v="5"/>
    <x v="0"/>
    <n v="12142.578600000001"/>
  </r>
  <r>
    <x v="1"/>
    <n v="27.6"/>
    <x v="0"/>
    <x v="1"/>
    <x v="1"/>
    <x v="2"/>
    <x v="10"/>
    <n v="0"/>
    <x v="208"/>
    <x v="1"/>
    <n v="13937.666499999999"/>
  </r>
  <r>
    <x v="1"/>
    <n v="32.299999999999997"/>
    <x v="1"/>
    <x v="0"/>
    <x v="0"/>
    <x v="3"/>
    <x v="45"/>
    <n v="1"/>
    <x v="243"/>
    <x v="1"/>
    <n v="41919.097000000002"/>
  </r>
  <r>
    <x v="0"/>
    <n v="27.7"/>
    <x v="0"/>
    <x v="1"/>
    <x v="1"/>
    <x v="1"/>
    <x v="6"/>
    <n v="0"/>
    <x v="25"/>
    <x v="1"/>
    <n v="8232.6388000000006"/>
  </r>
  <r>
    <x v="0"/>
    <n v="27.6"/>
    <x v="0"/>
    <x v="1"/>
    <x v="1"/>
    <x v="0"/>
    <x v="23"/>
    <n v="0"/>
    <x v="244"/>
    <x v="0"/>
    <n v="18955.2202"/>
  </r>
  <r>
    <x v="1"/>
    <n v="30"/>
    <x v="1"/>
    <x v="1"/>
    <x v="1"/>
    <x v="2"/>
    <x v="10"/>
    <n v="0"/>
    <x v="190"/>
    <x v="0"/>
    <n v="13352.0998"/>
  </r>
  <r>
    <x v="0"/>
    <n v="27.6"/>
    <x v="0"/>
    <x v="1"/>
    <x v="1"/>
    <x v="3"/>
    <x v="8"/>
    <n v="0"/>
    <x v="208"/>
    <x v="0"/>
    <n v="13217.094499999999"/>
  </r>
  <r>
    <x v="1"/>
    <n v="36.799999999999997"/>
    <x v="1"/>
    <x v="1"/>
    <x v="1"/>
    <x v="3"/>
    <x v="18"/>
    <n v="0"/>
    <x v="219"/>
    <x v="0"/>
    <n v="13981.850399999999"/>
  </r>
  <r>
    <x v="0"/>
    <n v="41.5"/>
    <x v="1"/>
    <x v="1"/>
    <x v="1"/>
    <x v="1"/>
    <x v="41"/>
    <n v="0"/>
    <x v="147"/>
    <x v="5"/>
    <n v="10977.2063"/>
  </r>
  <r>
    <x v="0"/>
    <n v="29.3"/>
    <x v="0"/>
    <x v="1"/>
    <x v="1"/>
    <x v="1"/>
    <x v="16"/>
    <n v="0"/>
    <x v="245"/>
    <x v="2"/>
    <n v="6184.2993999999999"/>
  </r>
  <r>
    <x v="1"/>
    <n v="35.799999999999997"/>
    <x v="1"/>
    <x v="1"/>
    <x v="1"/>
    <x v="1"/>
    <x v="3"/>
    <n v="0"/>
    <x v="246"/>
    <x v="3"/>
    <n v="4889.9994999999999"/>
  </r>
  <r>
    <x v="1"/>
    <n v="33.299999999999997"/>
    <x v="1"/>
    <x v="1"/>
    <x v="1"/>
    <x v="3"/>
    <x v="6"/>
    <n v="0"/>
    <x v="150"/>
    <x v="1"/>
    <n v="8334.4575999999997"/>
  </r>
  <r>
    <x v="0"/>
    <n v="29.9"/>
    <x v="0"/>
    <x v="1"/>
    <x v="1"/>
    <x v="1"/>
    <x v="26"/>
    <n v="0"/>
    <x v="96"/>
    <x v="1"/>
    <n v="5478.0367999999999"/>
  </r>
  <r>
    <x v="1"/>
    <n v="27.8"/>
    <x v="0"/>
    <x v="1"/>
    <x v="1"/>
    <x v="2"/>
    <x v="0"/>
    <n v="0"/>
    <x v="152"/>
    <x v="0"/>
    <n v="1635.7336"/>
  </r>
  <r>
    <x v="0"/>
    <n v="23.2"/>
    <x v="2"/>
    <x v="1"/>
    <x v="1"/>
    <x v="2"/>
    <x v="37"/>
    <n v="0"/>
    <x v="247"/>
    <x v="0"/>
    <n v="11830.6072"/>
  </r>
  <r>
    <x v="0"/>
    <n v="25.6"/>
    <x v="0"/>
    <x v="1"/>
    <x v="1"/>
    <x v="0"/>
    <x v="45"/>
    <n v="0"/>
    <x v="248"/>
    <x v="0"/>
    <n v="8932.0840000000007"/>
  </r>
  <r>
    <x v="0"/>
    <n v="27.7"/>
    <x v="0"/>
    <x v="1"/>
    <x v="1"/>
    <x v="0"/>
    <x v="15"/>
    <n v="0"/>
    <x v="224"/>
    <x v="0"/>
    <n v="3554.203"/>
  </r>
  <r>
    <x v="1"/>
    <n v="35.200000000000003"/>
    <x v="1"/>
    <x v="1"/>
    <x v="1"/>
    <x v="3"/>
    <x v="3"/>
    <n v="0"/>
    <x v="249"/>
    <x v="0"/>
    <n v="12404.8791"/>
  </r>
  <r>
    <x v="0"/>
    <n v="38.299999999999997"/>
    <x v="1"/>
    <x v="1"/>
    <x v="1"/>
    <x v="1"/>
    <x v="1"/>
    <n v="0"/>
    <x v="90"/>
    <x v="0"/>
    <n v="14133.0378"/>
  </r>
  <r>
    <x v="1"/>
    <n v="27.6"/>
    <x v="0"/>
    <x v="1"/>
    <x v="1"/>
    <x v="0"/>
    <x v="6"/>
    <n v="0"/>
    <x v="244"/>
    <x v="0"/>
    <n v="24603.0484"/>
  </r>
  <r>
    <x v="1"/>
    <n v="43.9"/>
    <x v="1"/>
    <x v="1"/>
    <x v="1"/>
    <x v="1"/>
    <x v="6"/>
    <n v="0"/>
    <x v="250"/>
    <x v="2"/>
    <n v="8944.1151000000009"/>
  </r>
  <r>
    <x v="1"/>
    <n v="29.8"/>
    <x v="0"/>
    <x v="1"/>
    <x v="1"/>
    <x v="2"/>
    <x v="42"/>
    <n v="0"/>
    <x v="8"/>
    <x v="2"/>
    <n v="9620.3307000000004"/>
  </r>
  <r>
    <x v="1"/>
    <n v="41.9"/>
    <x v="1"/>
    <x v="1"/>
    <x v="1"/>
    <x v="1"/>
    <x v="11"/>
    <n v="0"/>
    <x v="180"/>
    <x v="0"/>
    <n v="1837.2819"/>
  </r>
  <r>
    <x v="0"/>
    <n v="20.8"/>
    <x v="2"/>
    <x v="1"/>
    <x v="1"/>
    <x v="1"/>
    <x v="1"/>
    <n v="0"/>
    <x v="251"/>
    <x v="0"/>
    <n v="1607.5101"/>
  </r>
  <r>
    <x v="0"/>
    <n v="32.299999999999997"/>
    <x v="1"/>
    <x v="1"/>
    <x v="1"/>
    <x v="3"/>
    <x v="28"/>
    <n v="0"/>
    <x v="243"/>
    <x v="3"/>
    <n v="10043.249"/>
  </r>
  <r>
    <x v="1"/>
    <n v="30.5"/>
    <x v="1"/>
    <x v="1"/>
    <x v="1"/>
    <x v="0"/>
    <x v="22"/>
    <n v="0"/>
    <x v="252"/>
    <x v="1"/>
    <n v="4751.07"/>
  </r>
  <r>
    <x v="0"/>
    <n v="21.7"/>
    <x v="2"/>
    <x v="0"/>
    <x v="0"/>
    <x v="0"/>
    <x v="0"/>
    <n v="1"/>
    <x v="253"/>
    <x v="0"/>
    <n v="13844.505999999999"/>
  </r>
  <r>
    <x v="0"/>
    <n v="26.4"/>
    <x v="0"/>
    <x v="1"/>
    <x v="1"/>
    <x v="0"/>
    <x v="27"/>
    <n v="0"/>
    <x v="170"/>
    <x v="1"/>
    <n v="2597.779"/>
  </r>
  <r>
    <x v="0"/>
    <n v="21.9"/>
    <x v="2"/>
    <x v="1"/>
    <x v="1"/>
    <x v="1"/>
    <x v="27"/>
    <n v="0"/>
    <x v="254"/>
    <x v="3"/>
    <n v="3180.5101"/>
  </r>
  <r>
    <x v="0"/>
    <n v="30.8"/>
    <x v="1"/>
    <x v="1"/>
    <x v="1"/>
    <x v="3"/>
    <x v="41"/>
    <n v="0"/>
    <x v="16"/>
    <x v="1"/>
    <n v="9778.3472000000002"/>
  </r>
  <r>
    <x v="0"/>
    <n v="32.299999999999997"/>
    <x v="1"/>
    <x v="1"/>
    <x v="1"/>
    <x v="3"/>
    <x v="12"/>
    <n v="0"/>
    <x v="243"/>
    <x v="2"/>
    <n v="13430.264999999999"/>
  </r>
  <r>
    <x v="0"/>
    <n v="25"/>
    <x v="0"/>
    <x v="1"/>
    <x v="1"/>
    <x v="2"/>
    <x v="44"/>
    <n v="0"/>
    <x v="255"/>
    <x v="3"/>
    <n v="8017.0612000000001"/>
  </r>
  <r>
    <x v="1"/>
    <n v="32"/>
    <x v="1"/>
    <x v="1"/>
    <x v="1"/>
    <x v="2"/>
    <x v="36"/>
    <n v="0"/>
    <x v="256"/>
    <x v="3"/>
    <n v="8116.2687999999998"/>
  </r>
  <r>
    <x v="1"/>
    <n v="30.4"/>
    <x v="1"/>
    <x v="1"/>
    <x v="1"/>
    <x v="3"/>
    <x v="1"/>
    <n v="0"/>
    <x v="257"/>
    <x v="2"/>
    <n v="3481.8679999999999"/>
  </r>
  <r>
    <x v="0"/>
    <n v="21.1"/>
    <x v="2"/>
    <x v="1"/>
    <x v="1"/>
    <x v="2"/>
    <x v="35"/>
    <n v="0"/>
    <x v="258"/>
    <x v="0"/>
    <n v="13415.0381"/>
  </r>
  <r>
    <x v="0"/>
    <n v="22.2"/>
    <x v="2"/>
    <x v="1"/>
    <x v="1"/>
    <x v="3"/>
    <x v="37"/>
    <n v="0"/>
    <x v="259"/>
    <x v="0"/>
    <n v="12029.286700000001"/>
  </r>
  <r>
    <x v="0"/>
    <n v="33.200000000000003"/>
    <x v="1"/>
    <x v="1"/>
    <x v="1"/>
    <x v="3"/>
    <x v="44"/>
    <n v="0"/>
    <x v="145"/>
    <x v="1"/>
    <n v="7639.4174000000003"/>
  </r>
  <r>
    <x v="1"/>
    <n v="32.9"/>
    <x v="1"/>
    <x v="0"/>
    <x v="0"/>
    <x v="0"/>
    <x v="21"/>
    <n v="1"/>
    <x v="260"/>
    <x v="3"/>
    <n v="36085.218999999997"/>
  </r>
  <r>
    <x v="1"/>
    <n v="33.299999999999997"/>
    <x v="1"/>
    <x v="1"/>
    <x v="1"/>
    <x v="1"/>
    <x v="34"/>
    <n v="0"/>
    <x v="230"/>
    <x v="0"/>
    <n v="1391.5287000000001"/>
  </r>
  <r>
    <x v="0"/>
    <n v="28.3"/>
    <x v="0"/>
    <x v="0"/>
    <x v="0"/>
    <x v="2"/>
    <x v="11"/>
    <n v="1"/>
    <x v="33"/>
    <x v="0"/>
    <n v="18033.9679"/>
  </r>
  <r>
    <x v="0"/>
    <n v="24.9"/>
    <x v="2"/>
    <x v="0"/>
    <x v="0"/>
    <x v="3"/>
    <x v="46"/>
    <n v="1"/>
    <x v="261"/>
    <x v="2"/>
    <n v="21659.930100000001"/>
  </r>
  <r>
    <x v="1"/>
    <n v="40.200000000000003"/>
    <x v="1"/>
    <x v="0"/>
    <x v="0"/>
    <x v="1"/>
    <x v="23"/>
    <n v="1"/>
    <x v="196"/>
    <x v="0"/>
    <n v="38126.246500000001"/>
  </r>
  <r>
    <x v="0"/>
    <n v="30.1"/>
    <x v="1"/>
    <x v="1"/>
    <x v="1"/>
    <x v="2"/>
    <x v="33"/>
    <n v="0"/>
    <x v="95"/>
    <x v="2"/>
    <n v="16455.7078"/>
  </r>
  <r>
    <x v="1"/>
    <n v="31.5"/>
    <x v="1"/>
    <x v="1"/>
    <x v="1"/>
    <x v="1"/>
    <x v="10"/>
    <n v="0"/>
    <x v="262"/>
    <x v="1"/>
    <n v="27000.984700000001"/>
  </r>
  <r>
    <x v="0"/>
    <n v="18"/>
    <x v="3"/>
    <x v="0"/>
    <x v="0"/>
    <x v="3"/>
    <x v="13"/>
    <n v="1"/>
    <x v="263"/>
    <x v="3"/>
    <n v="15006.579400000001"/>
  </r>
  <r>
    <x v="1"/>
    <n v="30.7"/>
    <x v="1"/>
    <x v="0"/>
    <x v="0"/>
    <x v="3"/>
    <x v="19"/>
    <n v="1"/>
    <x v="264"/>
    <x v="0"/>
    <n v="42303.692199999998"/>
  </r>
  <r>
    <x v="1"/>
    <n v="33"/>
    <x v="1"/>
    <x v="1"/>
    <x v="1"/>
    <x v="1"/>
    <x v="19"/>
    <n v="0"/>
    <x v="2"/>
    <x v="0"/>
    <n v="20781.4889"/>
  </r>
  <r>
    <x v="0"/>
    <n v="43.3"/>
    <x v="1"/>
    <x v="1"/>
    <x v="1"/>
    <x v="1"/>
    <x v="22"/>
    <n v="0"/>
    <x v="265"/>
    <x v="3"/>
    <n v="5846.9175999999998"/>
  </r>
  <r>
    <x v="1"/>
    <n v="22.1"/>
    <x v="2"/>
    <x v="1"/>
    <x v="1"/>
    <x v="3"/>
    <x v="36"/>
    <n v="0"/>
    <x v="188"/>
    <x v="3"/>
    <n v="8302.5355999999992"/>
  </r>
  <r>
    <x v="1"/>
    <n v="34.4"/>
    <x v="1"/>
    <x v="1"/>
    <x v="1"/>
    <x v="0"/>
    <x v="0"/>
    <n v="0"/>
    <x v="12"/>
    <x v="0"/>
    <n v="1261.8589999999999"/>
  </r>
  <r>
    <x v="0"/>
    <n v="39.1"/>
    <x v="1"/>
    <x v="1"/>
    <x v="1"/>
    <x v="1"/>
    <x v="30"/>
    <n v="0"/>
    <x v="266"/>
    <x v="0"/>
    <n v="11856.4115"/>
  </r>
  <r>
    <x v="1"/>
    <n v="25.4"/>
    <x v="0"/>
    <x v="1"/>
    <x v="1"/>
    <x v="2"/>
    <x v="45"/>
    <n v="0"/>
    <x v="195"/>
    <x v="3"/>
    <n v="30284.642899999999"/>
  </r>
  <r>
    <x v="0"/>
    <n v="22.6"/>
    <x v="2"/>
    <x v="1"/>
    <x v="1"/>
    <x v="2"/>
    <x v="21"/>
    <n v="0"/>
    <x v="227"/>
    <x v="0"/>
    <n v="3176.8159000000001"/>
  </r>
  <r>
    <x v="0"/>
    <n v="30.2"/>
    <x v="1"/>
    <x v="1"/>
    <x v="1"/>
    <x v="2"/>
    <x v="23"/>
    <n v="0"/>
    <x v="267"/>
    <x v="2"/>
    <n v="4618.0798999999997"/>
  </r>
  <r>
    <x v="1"/>
    <n v="35.6"/>
    <x v="1"/>
    <x v="1"/>
    <x v="1"/>
    <x v="3"/>
    <x v="28"/>
    <n v="0"/>
    <x v="50"/>
    <x v="5"/>
    <n v="10736.870800000001"/>
  </r>
  <r>
    <x v="0"/>
    <n v="37.4"/>
    <x v="1"/>
    <x v="1"/>
    <x v="1"/>
    <x v="2"/>
    <x v="0"/>
    <n v="0"/>
    <x v="133"/>
    <x v="0"/>
    <n v="2138.0707000000002"/>
  </r>
  <r>
    <x v="1"/>
    <n v="31.4"/>
    <x v="1"/>
    <x v="1"/>
    <x v="1"/>
    <x v="3"/>
    <x v="28"/>
    <n v="0"/>
    <x v="268"/>
    <x v="1"/>
    <n v="8964.0606000000007"/>
  </r>
  <r>
    <x v="1"/>
    <n v="31.4"/>
    <x v="1"/>
    <x v="1"/>
    <x v="1"/>
    <x v="3"/>
    <x v="41"/>
    <n v="0"/>
    <x v="112"/>
    <x v="1"/>
    <n v="9290.1394999999993"/>
  </r>
  <r>
    <x v="0"/>
    <n v="32.299999999999997"/>
    <x v="1"/>
    <x v="1"/>
    <x v="1"/>
    <x v="3"/>
    <x v="6"/>
    <n v="0"/>
    <x v="243"/>
    <x v="3"/>
    <n v="9411.0049999999992"/>
  </r>
  <r>
    <x v="1"/>
    <n v="19.899999999999999"/>
    <x v="2"/>
    <x v="1"/>
    <x v="1"/>
    <x v="2"/>
    <x v="6"/>
    <n v="0"/>
    <x v="269"/>
    <x v="0"/>
    <n v="7526.7064"/>
  </r>
  <r>
    <x v="0"/>
    <n v="34.4"/>
    <x v="1"/>
    <x v="1"/>
    <x v="1"/>
    <x v="0"/>
    <x v="32"/>
    <n v="0"/>
    <x v="12"/>
    <x v="2"/>
    <n v="8522.0030000000006"/>
  </r>
  <r>
    <x v="1"/>
    <n v="31"/>
    <x v="1"/>
    <x v="1"/>
    <x v="1"/>
    <x v="1"/>
    <x v="27"/>
    <n v="0"/>
    <x v="270"/>
    <x v="0"/>
    <n v="16586.4977"/>
  </r>
  <r>
    <x v="1"/>
    <n v="25.6"/>
    <x v="0"/>
    <x v="1"/>
    <x v="1"/>
    <x v="0"/>
    <x v="33"/>
    <n v="0"/>
    <x v="248"/>
    <x v="3"/>
    <n v="14988.432000000001"/>
  </r>
  <r>
    <x v="0"/>
    <n v="38.200000000000003"/>
    <x v="1"/>
    <x v="1"/>
    <x v="1"/>
    <x v="1"/>
    <x v="1"/>
    <n v="0"/>
    <x v="271"/>
    <x v="0"/>
    <n v="1631.6683"/>
  </r>
  <r>
    <x v="0"/>
    <n v="20.6"/>
    <x v="2"/>
    <x v="1"/>
    <x v="1"/>
    <x v="0"/>
    <x v="43"/>
    <n v="0"/>
    <x v="272"/>
    <x v="0"/>
    <n v="9264.7970000000005"/>
  </r>
  <r>
    <x v="1"/>
    <n v="47.5"/>
    <x v="1"/>
    <x v="1"/>
    <x v="1"/>
    <x v="1"/>
    <x v="42"/>
    <n v="0"/>
    <x v="273"/>
    <x v="1"/>
    <n v="8083.9197999999997"/>
  </r>
  <r>
    <x v="0"/>
    <n v="33"/>
    <x v="1"/>
    <x v="1"/>
    <x v="1"/>
    <x v="2"/>
    <x v="33"/>
    <n v="0"/>
    <x v="36"/>
    <x v="0"/>
    <n v="14692.669400000001"/>
  </r>
  <r>
    <x v="1"/>
    <n v="32.299999999999997"/>
    <x v="1"/>
    <x v="1"/>
    <x v="1"/>
    <x v="2"/>
    <x v="41"/>
    <n v="0"/>
    <x v="243"/>
    <x v="2"/>
    <n v="10269.459999999999"/>
  </r>
  <r>
    <x v="1"/>
    <n v="20.399999999999999"/>
    <x v="2"/>
    <x v="1"/>
    <x v="1"/>
    <x v="0"/>
    <x v="5"/>
    <n v="0"/>
    <x v="274"/>
    <x v="0"/>
    <n v="3260.1990000000001"/>
  </r>
  <r>
    <x v="0"/>
    <n v="38.4"/>
    <x v="1"/>
    <x v="1"/>
    <x v="1"/>
    <x v="3"/>
    <x v="14"/>
    <n v="0"/>
    <x v="275"/>
    <x v="3"/>
    <n v="11396.9002"/>
  </r>
  <r>
    <x v="0"/>
    <n v="24.3"/>
    <x v="2"/>
    <x v="1"/>
    <x v="1"/>
    <x v="1"/>
    <x v="3"/>
    <n v="0"/>
    <x v="276"/>
    <x v="0"/>
    <n v="4185.0978999999998"/>
  </r>
  <r>
    <x v="0"/>
    <n v="23.6"/>
    <x v="2"/>
    <x v="1"/>
    <x v="1"/>
    <x v="0"/>
    <x v="42"/>
    <n v="0"/>
    <x v="277"/>
    <x v="1"/>
    <n v="8539.6710000000003"/>
  </r>
  <r>
    <x v="1"/>
    <n v="21.1"/>
    <x v="2"/>
    <x v="1"/>
    <x v="1"/>
    <x v="1"/>
    <x v="25"/>
    <n v="0"/>
    <x v="278"/>
    <x v="2"/>
    <n v="6652.5288"/>
  </r>
  <r>
    <x v="1"/>
    <n v="30"/>
    <x v="1"/>
    <x v="1"/>
    <x v="1"/>
    <x v="1"/>
    <x v="4"/>
    <n v="0"/>
    <x v="279"/>
    <x v="1"/>
    <n v="4074.4537"/>
  </r>
  <r>
    <x v="1"/>
    <n v="17.5"/>
    <x v="3"/>
    <x v="1"/>
    <x v="1"/>
    <x v="2"/>
    <x v="0"/>
    <n v="0"/>
    <x v="280"/>
    <x v="0"/>
    <n v="1621.3402000000001"/>
  </r>
  <r>
    <x v="0"/>
    <n v="20.2"/>
    <x v="2"/>
    <x v="0"/>
    <x v="0"/>
    <x v="3"/>
    <x v="36"/>
    <n v="1"/>
    <x v="281"/>
    <x v="1"/>
    <n v="19594.809600000001"/>
  </r>
  <r>
    <x v="0"/>
    <n v="17.2"/>
    <x v="3"/>
    <x v="0"/>
    <x v="0"/>
    <x v="3"/>
    <x v="21"/>
    <n v="1"/>
    <x v="282"/>
    <x v="3"/>
    <n v="14455.644"/>
  </r>
  <r>
    <x v="1"/>
    <n v="23.9"/>
    <x v="2"/>
    <x v="1"/>
    <x v="1"/>
    <x v="0"/>
    <x v="9"/>
    <n v="0"/>
    <x v="283"/>
    <x v="4"/>
    <n v="5080.0959999999995"/>
  </r>
  <r>
    <x v="0"/>
    <n v="35.200000000000003"/>
    <x v="1"/>
    <x v="1"/>
    <x v="1"/>
    <x v="2"/>
    <x v="0"/>
    <n v="0"/>
    <x v="284"/>
    <x v="0"/>
    <n v="2134.9014999999999"/>
  </r>
  <r>
    <x v="0"/>
    <n v="35.6"/>
    <x v="1"/>
    <x v="1"/>
    <x v="1"/>
    <x v="1"/>
    <x v="32"/>
    <n v="0"/>
    <x v="285"/>
    <x v="1"/>
    <n v="7345.7266"/>
  </r>
  <r>
    <x v="1"/>
    <n v="34.1"/>
    <x v="1"/>
    <x v="1"/>
    <x v="1"/>
    <x v="1"/>
    <x v="14"/>
    <n v="0"/>
    <x v="22"/>
    <x v="0"/>
    <n v="9140.9509999999991"/>
  </r>
  <r>
    <x v="0"/>
    <n v="22.6"/>
    <x v="2"/>
    <x v="0"/>
    <x v="0"/>
    <x v="0"/>
    <x v="26"/>
    <n v="1"/>
    <x v="286"/>
    <x v="3"/>
    <n v="18608.261999999999"/>
  </r>
  <r>
    <x v="1"/>
    <n v="39.200000000000003"/>
    <x v="1"/>
    <x v="1"/>
    <x v="1"/>
    <x v="1"/>
    <x v="33"/>
    <n v="0"/>
    <x v="287"/>
    <x v="1"/>
    <n v="14418.2804"/>
  </r>
  <r>
    <x v="0"/>
    <n v="27"/>
    <x v="0"/>
    <x v="0"/>
    <x v="0"/>
    <x v="2"/>
    <x v="18"/>
    <n v="1"/>
    <x v="86"/>
    <x v="0"/>
    <n v="28950.4692"/>
  </r>
  <r>
    <x v="1"/>
    <n v="33.9"/>
    <x v="1"/>
    <x v="0"/>
    <x v="0"/>
    <x v="1"/>
    <x v="33"/>
    <n v="1"/>
    <x v="178"/>
    <x v="0"/>
    <n v="46889.261200000001"/>
  </r>
  <r>
    <x v="1"/>
    <n v="35.9"/>
    <x v="1"/>
    <x v="0"/>
    <x v="0"/>
    <x v="1"/>
    <x v="35"/>
    <n v="1"/>
    <x v="191"/>
    <x v="0"/>
    <n v="46599.108399999997"/>
  </r>
  <r>
    <x v="1"/>
    <n v="32.799999999999997"/>
    <x v="1"/>
    <x v="0"/>
    <x v="0"/>
    <x v="3"/>
    <x v="29"/>
    <n v="1"/>
    <x v="27"/>
    <x v="1"/>
    <n v="39125.332199999997"/>
  </r>
  <r>
    <x v="1"/>
    <n v="30.6"/>
    <x v="1"/>
    <x v="1"/>
    <x v="1"/>
    <x v="3"/>
    <x v="9"/>
    <n v="0"/>
    <x v="162"/>
    <x v="0"/>
    <n v="2727.3951000000002"/>
  </r>
  <r>
    <x v="1"/>
    <n v="30.2"/>
    <x v="1"/>
    <x v="1"/>
    <x v="1"/>
    <x v="0"/>
    <x v="28"/>
    <n v="0"/>
    <x v="204"/>
    <x v="3"/>
    <n v="8968.33"/>
  </r>
  <r>
    <x v="1"/>
    <n v="24.3"/>
    <x v="2"/>
    <x v="1"/>
    <x v="1"/>
    <x v="1"/>
    <x v="39"/>
    <n v="0"/>
    <x v="276"/>
    <x v="4"/>
    <n v="9788.8659000000007"/>
  </r>
  <r>
    <x v="0"/>
    <n v="27.3"/>
    <x v="0"/>
    <x v="1"/>
    <x v="1"/>
    <x v="3"/>
    <x v="25"/>
    <n v="0"/>
    <x v="288"/>
    <x v="1"/>
    <n v="6555.0703999999996"/>
  </r>
  <r>
    <x v="0"/>
    <n v="29.2"/>
    <x v="0"/>
    <x v="1"/>
    <x v="1"/>
    <x v="3"/>
    <x v="1"/>
    <n v="0"/>
    <x v="289"/>
    <x v="0"/>
    <n v="7323.7348000000002"/>
  </r>
  <r>
    <x v="0"/>
    <n v="16.8"/>
    <x v="3"/>
    <x v="1"/>
    <x v="1"/>
    <x v="3"/>
    <x v="27"/>
    <n v="0"/>
    <x v="290"/>
    <x v="1"/>
    <n v="3167.4558000000002"/>
  </r>
  <r>
    <x v="0"/>
    <n v="30.4"/>
    <x v="1"/>
    <x v="1"/>
    <x v="1"/>
    <x v="2"/>
    <x v="13"/>
    <n v="0"/>
    <x v="257"/>
    <x v="2"/>
    <n v="18804.752400000001"/>
  </r>
  <r>
    <x v="1"/>
    <n v="33.1"/>
    <x v="1"/>
    <x v="1"/>
    <x v="1"/>
    <x v="0"/>
    <x v="0"/>
    <n v="0"/>
    <x v="291"/>
    <x v="0"/>
    <n v="23082.955300000001"/>
  </r>
  <r>
    <x v="0"/>
    <n v="20.2"/>
    <x v="2"/>
    <x v="1"/>
    <x v="1"/>
    <x v="2"/>
    <x v="38"/>
    <n v="0"/>
    <x v="281"/>
    <x v="3"/>
    <n v="4906.4096"/>
  </r>
  <r>
    <x v="1"/>
    <n v="26.9"/>
    <x v="0"/>
    <x v="1"/>
    <x v="1"/>
    <x v="0"/>
    <x v="44"/>
    <n v="0"/>
    <x v="292"/>
    <x v="0"/>
    <n v="5969.723"/>
  </r>
  <r>
    <x v="0"/>
    <n v="30.5"/>
    <x v="1"/>
    <x v="1"/>
    <x v="1"/>
    <x v="0"/>
    <x v="8"/>
    <n v="0"/>
    <x v="252"/>
    <x v="0"/>
    <n v="12638.195"/>
  </r>
  <r>
    <x v="1"/>
    <n v="28.6"/>
    <x v="0"/>
    <x v="1"/>
    <x v="1"/>
    <x v="2"/>
    <x v="5"/>
    <n v="0"/>
    <x v="105"/>
    <x v="1"/>
    <n v="4243.59"/>
  </r>
  <r>
    <x v="1"/>
    <n v="33.1"/>
    <x v="1"/>
    <x v="1"/>
    <x v="1"/>
    <x v="1"/>
    <x v="8"/>
    <n v="0"/>
    <x v="293"/>
    <x v="2"/>
    <n v="13919.822899999999"/>
  </r>
  <r>
    <x v="1"/>
    <n v="31.7"/>
    <x v="1"/>
    <x v="1"/>
    <x v="1"/>
    <x v="3"/>
    <x v="20"/>
    <n v="0"/>
    <x v="294"/>
    <x v="0"/>
    <n v="2254.7966999999999"/>
  </r>
  <r>
    <x v="1"/>
    <n v="28.9"/>
    <x v="0"/>
    <x v="1"/>
    <x v="1"/>
    <x v="0"/>
    <x v="22"/>
    <n v="0"/>
    <x v="65"/>
    <x v="2"/>
    <n v="5926.8459999999995"/>
  </r>
  <r>
    <x v="0"/>
    <n v="46.8"/>
    <x v="1"/>
    <x v="1"/>
    <x v="1"/>
    <x v="1"/>
    <x v="14"/>
    <n v="0"/>
    <x v="295"/>
    <x v="4"/>
    <n v="12592.5345"/>
  </r>
  <r>
    <x v="1"/>
    <n v="29.5"/>
    <x v="0"/>
    <x v="1"/>
    <x v="1"/>
    <x v="3"/>
    <x v="21"/>
    <n v="0"/>
    <x v="296"/>
    <x v="0"/>
    <n v="2897.3235"/>
  </r>
  <r>
    <x v="0"/>
    <n v="32.700000000000003"/>
    <x v="1"/>
    <x v="1"/>
    <x v="1"/>
    <x v="2"/>
    <x v="5"/>
    <n v="0"/>
    <x v="297"/>
    <x v="1"/>
    <n v="4738.2682000000004"/>
  </r>
  <r>
    <x v="0"/>
    <n v="33.5"/>
    <x v="1"/>
    <x v="0"/>
    <x v="0"/>
    <x v="0"/>
    <x v="3"/>
    <n v="1"/>
    <x v="298"/>
    <x v="0"/>
    <n v="37079.372000000003"/>
  </r>
  <r>
    <x v="1"/>
    <n v="43"/>
    <x v="1"/>
    <x v="1"/>
    <x v="1"/>
    <x v="1"/>
    <x v="1"/>
    <n v="0"/>
    <x v="299"/>
    <x v="0"/>
    <n v="1149.3959"/>
  </r>
  <r>
    <x v="0"/>
    <n v="36.5"/>
    <x v="1"/>
    <x v="1"/>
    <x v="1"/>
    <x v="1"/>
    <x v="17"/>
    <n v="0"/>
    <x v="300"/>
    <x v="1"/>
    <n v="28287.897700000001"/>
  </r>
  <r>
    <x v="1"/>
    <n v="26.7"/>
    <x v="0"/>
    <x v="0"/>
    <x v="0"/>
    <x v="2"/>
    <x v="12"/>
    <n v="1"/>
    <x v="301"/>
    <x v="1"/>
    <n v="26109.329000000002"/>
  </r>
  <r>
    <x v="0"/>
    <n v="33.1"/>
    <x v="1"/>
    <x v="1"/>
    <x v="1"/>
    <x v="0"/>
    <x v="39"/>
    <n v="0"/>
    <x v="291"/>
    <x v="0"/>
    <n v="7345.0839999999998"/>
  </r>
  <r>
    <x v="1"/>
    <n v="29.6"/>
    <x v="0"/>
    <x v="1"/>
    <x v="1"/>
    <x v="3"/>
    <x v="8"/>
    <n v="0"/>
    <x v="142"/>
    <x v="0"/>
    <n v="12730.999599999999"/>
  </r>
  <r>
    <x v="0"/>
    <n v="25.7"/>
    <x v="0"/>
    <x v="1"/>
    <x v="1"/>
    <x v="2"/>
    <x v="12"/>
    <n v="0"/>
    <x v="302"/>
    <x v="0"/>
    <n v="11454.021500000001"/>
  </r>
  <r>
    <x v="0"/>
    <n v="29.6"/>
    <x v="0"/>
    <x v="1"/>
    <x v="1"/>
    <x v="0"/>
    <x v="29"/>
    <n v="0"/>
    <x v="303"/>
    <x v="0"/>
    <n v="5910.9440000000004"/>
  </r>
  <r>
    <x v="1"/>
    <n v="38.6"/>
    <x v="1"/>
    <x v="1"/>
    <x v="1"/>
    <x v="0"/>
    <x v="22"/>
    <n v="0"/>
    <x v="304"/>
    <x v="1"/>
    <n v="4762.3289999999997"/>
  </r>
  <r>
    <x v="1"/>
    <n v="29.6"/>
    <x v="0"/>
    <x v="1"/>
    <x v="1"/>
    <x v="0"/>
    <x v="46"/>
    <n v="0"/>
    <x v="303"/>
    <x v="5"/>
    <n v="7512.2669999999998"/>
  </r>
  <r>
    <x v="1"/>
    <n v="24.1"/>
    <x v="2"/>
    <x v="1"/>
    <x v="1"/>
    <x v="2"/>
    <x v="15"/>
    <n v="0"/>
    <x v="134"/>
    <x v="1"/>
    <n v="4032.2406999999998"/>
  </r>
  <r>
    <x v="1"/>
    <n v="23.4"/>
    <x v="2"/>
    <x v="1"/>
    <x v="1"/>
    <x v="0"/>
    <x v="23"/>
    <n v="0"/>
    <x v="305"/>
    <x v="0"/>
    <n v="1969.614"/>
  </r>
  <r>
    <x v="1"/>
    <n v="29.7"/>
    <x v="0"/>
    <x v="1"/>
    <x v="1"/>
    <x v="2"/>
    <x v="34"/>
    <n v="0"/>
    <x v="129"/>
    <x v="0"/>
    <n v="1769.5316"/>
  </r>
  <r>
    <x v="1"/>
    <n v="46.5"/>
    <x v="1"/>
    <x v="1"/>
    <x v="1"/>
    <x v="1"/>
    <x v="4"/>
    <n v="0"/>
    <x v="306"/>
    <x v="3"/>
    <n v="4686.3887000000004"/>
  </r>
  <r>
    <x v="1"/>
    <n v="37.4"/>
    <x v="1"/>
    <x v="1"/>
    <x v="1"/>
    <x v="0"/>
    <x v="17"/>
    <n v="0"/>
    <x v="116"/>
    <x v="0"/>
    <n v="21797.000400000001"/>
  </r>
  <r>
    <x v="0"/>
    <n v="30.1"/>
    <x v="1"/>
    <x v="1"/>
    <x v="1"/>
    <x v="1"/>
    <x v="19"/>
    <n v="0"/>
    <x v="307"/>
    <x v="3"/>
    <n v="11881.9696"/>
  </r>
  <r>
    <x v="0"/>
    <n v="30.5"/>
    <x v="1"/>
    <x v="1"/>
    <x v="1"/>
    <x v="2"/>
    <x v="37"/>
    <n v="0"/>
    <x v="131"/>
    <x v="0"/>
    <n v="11840.775"/>
  </r>
  <r>
    <x v="1"/>
    <n v="39.6"/>
    <x v="1"/>
    <x v="1"/>
    <x v="1"/>
    <x v="0"/>
    <x v="12"/>
    <n v="0"/>
    <x v="140"/>
    <x v="0"/>
    <n v="10601.412"/>
  </r>
  <r>
    <x v="0"/>
    <n v="33"/>
    <x v="1"/>
    <x v="1"/>
    <x v="1"/>
    <x v="1"/>
    <x v="29"/>
    <n v="0"/>
    <x v="2"/>
    <x v="2"/>
    <n v="7682.67"/>
  </r>
  <r>
    <x v="0"/>
    <n v="36.6"/>
    <x v="1"/>
    <x v="1"/>
    <x v="1"/>
    <x v="1"/>
    <x v="41"/>
    <n v="0"/>
    <x v="41"/>
    <x v="2"/>
    <n v="10381.4787"/>
  </r>
  <r>
    <x v="1"/>
    <n v="30"/>
    <x v="1"/>
    <x v="0"/>
    <x v="0"/>
    <x v="0"/>
    <x v="44"/>
    <n v="1"/>
    <x v="308"/>
    <x v="0"/>
    <n v="22144.031999999999"/>
  </r>
  <r>
    <x v="0"/>
    <n v="38.1"/>
    <x v="1"/>
    <x v="1"/>
    <x v="1"/>
    <x v="3"/>
    <x v="10"/>
    <n v="0"/>
    <x v="309"/>
    <x v="3"/>
    <n v="15230.324000000001"/>
  </r>
  <r>
    <x v="1"/>
    <n v="25.9"/>
    <x v="0"/>
    <x v="1"/>
    <x v="1"/>
    <x v="3"/>
    <x v="12"/>
    <n v="0"/>
    <x v="63"/>
    <x v="0"/>
    <n v="11165.417600000001"/>
  </r>
  <r>
    <x v="1"/>
    <n v="25.2"/>
    <x v="0"/>
    <x v="1"/>
    <x v="1"/>
    <x v="2"/>
    <x v="0"/>
    <n v="0"/>
    <x v="124"/>
    <x v="0"/>
    <n v="1632.0362"/>
  </r>
  <r>
    <x v="0"/>
    <n v="28.4"/>
    <x v="0"/>
    <x v="0"/>
    <x v="0"/>
    <x v="1"/>
    <x v="15"/>
    <n v="1"/>
    <x v="310"/>
    <x v="1"/>
    <n v="19521.968199999999"/>
  </r>
  <r>
    <x v="0"/>
    <n v="28.7"/>
    <x v="0"/>
    <x v="1"/>
    <x v="1"/>
    <x v="0"/>
    <x v="8"/>
    <n v="0"/>
    <x v="311"/>
    <x v="1"/>
    <n v="13224.692999999999"/>
  </r>
  <r>
    <x v="0"/>
    <n v="33.799999999999997"/>
    <x v="1"/>
    <x v="1"/>
    <x v="1"/>
    <x v="2"/>
    <x v="12"/>
    <n v="0"/>
    <x v="312"/>
    <x v="3"/>
    <n v="12643.3778"/>
  </r>
  <r>
    <x v="0"/>
    <n v="24.3"/>
    <x v="2"/>
    <x v="1"/>
    <x v="1"/>
    <x v="3"/>
    <x v="2"/>
    <n v="0"/>
    <x v="200"/>
    <x v="1"/>
    <n v="23288.928400000001"/>
  </r>
  <r>
    <x v="0"/>
    <n v="24.1"/>
    <x v="2"/>
    <x v="1"/>
    <x v="1"/>
    <x v="1"/>
    <x v="1"/>
    <n v="0"/>
    <x v="313"/>
    <x v="1"/>
    <n v="2201.0971"/>
  </r>
  <r>
    <x v="1"/>
    <n v="32.700000000000003"/>
    <x v="1"/>
    <x v="1"/>
    <x v="1"/>
    <x v="1"/>
    <x v="13"/>
    <n v="0"/>
    <x v="314"/>
    <x v="0"/>
    <n v="2497.0383000000002"/>
  </r>
  <r>
    <x v="0"/>
    <n v="30.1"/>
    <x v="1"/>
    <x v="1"/>
    <x v="1"/>
    <x v="3"/>
    <x v="1"/>
    <n v="0"/>
    <x v="95"/>
    <x v="0"/>
    <n v="2203.4717999999998"/>
  </r>
  <r>
    <x v="0"/>
    <n v="29.8"/>
    <x v="0"/>
    <x v="1"/>
    <x v="1"/>
    <x v="0"/>
    <x v="0"/>
    <n v="0"/>
    <x v="141"/>
    <x v="0"/>
    <n v="1744.4649999999999"/>
  </r>
  <r>
    <x v="0"/>
    <n v="33.299999999999997"/>
    <x v="1"/>
    <x v="1"/>
    <x v="1"/>
    <x v="3"/>
    <x v="42"/>
    <n v="0"/>
    <x v="150"/>
    <x v="0"/>
    <n v="20878.7844"/>
  </r>
  <r>
    <x v="1"/>
    <n v="25.1"/>
    <x v="0"/>
    <x v="0"/>
    <x v="0"/>
    <x v="0"/>
    <x v="40"/>
    <n v="1"/>
    <x v="315"/>
    <x v="2"/>
    <n v="25382.296999999999"/>
  </r>
  <r>
    <x v="1"/>
    <n v="28.3"/>
    <x v="0"/>
    <x v="0"/>
    <x v="0"/>
    <x v="2"/>
    <x v="35"/>
    <n v="1"/>
    <x v="33"/>
    <x v="1"/>
    <n v="28868.6639"/>
  </r>
  <r>
    <x v="1"/>
    <n v="28.5"/>
    <x v="0"/>
    <x v="0"/>
    <x v="0"/>
    <x v="3"/>
    <x v="23"/>
    <n v="1"/>
    <x v="70"/>
    <x v="0"/>
    <n v="35147.5285"/>
  </r>
  <r>
    <x v="1"/>
    <n v="35.6"/>
    <x v="1"/>
    <x v="1"/>
    <x v="1"/>
    <x v="2"/>
    <x v="9"/>
    <n v="0"/>
    <x v="50"/>
    <x v="0"/>
    <n v="2534.3937999999998"/>
  </r>
  <r>
    <x v="1"/>
    <n v="36.9"/>
    <x v="1"/>
    <x v="1"/>
    <x v="1"/>
    <x v="1"/>
    <x v="27"/>
    <n v="0"/>
    <x v="139"/>
    <x v="0"/>
    <n v="1534.3045"/>
  </r>
  <r>
    <x v="1"/>
    <n v="32.6"/>
    <x v="1"/>
    <x v="1"/>
    <x v="1"/>
    <x v="1"/>
    <x v="11"/>
    <n v="0"/>
    <x v="316"/>
    <x v="0"/>
    <n v="1824.2854"/>
  </r>
  <r>
    <x v="1"/>
    <n v="41.3"/>
    <x v="1"/>
    <x v="1"/>
    <x v="1"/>
    <x v="2"/>
    <x v="18"/>
    <n v="0"/>
    <x v="317"/>
    <x v="2"/>
    <n v="15555.1888"/>
  </r>
  <r>
    <x v="1"/>
    <n v="37.5"/>
    <x v="1"/>
    <x v="1"/>
    <x v="1"/>
    <x v="1"/>
    <x v="41"/>
    <n v="0"/>
    <x v="228"/>
    <x v="3"/>
    <n v="9304.7019"/>
  </r>
  <r>
    <x v="0"/>
    <n v="31.4"/>
    <x v="1"/>
    <x v="1"/>
    <x v="1"/>
    <x v="1"/>
    <x v="1"/>
    <n v="0"/>
    <x v="112"/>
    <x v="0"/>
    <n v="1622.1885"/>
  </r>
  <r>
    <x v="0"/>
    <n v="39.5"/>
    <x v="1"/>
    <x v="1"/>
    <x v="1"/>
    <x v="0"/>
    <x v="43"/>
    <n v="0"/>
    <x v="318"/>
    <x v="1"/>
    <n v="9880.0679999999993"/>
  </r>
  <r>
    <x v="1"/>
    <n v="34.299999999999997"/>
    <x v="1"/>
    <x v="1"/>
    <x v="1"/>
    <x v="0"/>
    <x v="28"/>
    <n v="0"/>
    <x v="319"/>
    <x v="2"/>
    <n v="9563.0290000000005"/>
  </r>
  <r>
    <x v="0"/>
    <n v="31.1"/>
    <x v="1"/>
    <x v="1"/>
    <x v="1"/>
    <x v="3"/>
    <x v="5"/>
    <n v="0"/>
    <x v="320"/>
    <x v="0"/>
    <n v="4347.0234"/>
  </r>
  <r>
    <x v="0"/>
    <n v="21.5"/>
    <x v="2"/>
    <x v="1"/>
    <x v="1"/>
    <x v="2"/>
    <x v="40"/>
    <n v="0"/>
    <x v="321"/>
    <x v="2"/>
    <n v="12475.3513"/>
  </r>
  <r>
    <x v="1"/>
    <n v="28.7"/>
    <x v="0"/>
    <x v="1"/>
    <x v="1"/>
    <x v="0"/>
    <x v="0"/>
    <n v="0"/>
    <x v="311"/>
    <x v="0"/>
    <n v="1253.9359999999999"/>
  </r>
  <r>
    <x v="0"/>
    <n v="38.1"/>
    <x v="1"/>
    <x v="0"/>
    <x v="0"/>
    <x v="1"/>
    <x v="36"/>
    <n v="1"/>
    <x v="179"/>
    <x v="0"/>
    <n v="48885.135600000001"/>
  </r>
  <r>
    <x v="1"/>
    <n v="31.2"/>
    <x v="1"/>
    <x v="1"/>
    <x v="1"/>
    <x v="2"/>
    <x v="31"/>
    <n v="0"/>
    <x v="84"/>
    <x v="1"/>
    <n v="10461.9794"/>
  </r>
  <r>
    <x v="0"/>
    <n v="32.9"/>
    <x v="1"/>
    <x v="1"/>
    <x v="1"/>
    <x v="0"/>
    <x v="0"/>
    <n v="0"/>
    <x v="260"/>
    <x v="0"/>
    <n v="1748.7739999999999"/>
  </r>
  <r>
    <x v="0"/>
    <n v="25.1"/>
    <x v="0"/>
    <x v="1"/>
    <x v="1"/>
    <x v="1"/>
    <x v="35"/>
    <n v="0"/>
    <x v="322"/>
    <x v="0"/>
    <n v="24513.0913"/>
  </r>
  <r>
    <x v="0"/>
    <n v="25.1"/>
    <x v="0"/>
    <x v="1"/>
    <x v="1"/>
    <x v="3"/>
    <x v="1"/>
    <n v="0"/>
    <x v="322"/>
    <x v="0"/>
    <n v="2196.4731999999999"/>
  </r>
  <r>
    <x v="1"/>
    <n v="43.4"/>
    <x v="1"/>
    <x v="1"/>
    <x v="1"/>
    <x v="0"/>
    <x v="35"/>
    <n v="0"/>
    <x v="323"/>
    <x v="0"/>
    <n v="12574.049000000001"/>
  </r>
  <r>
    <x v="1"/>
    <n v="25.7"/>
    <x v="0"/>
    <x v="0"/>
    <x v="0"/>
    <x v="0"/>
    <x v="27"/>
    <n v="1"/>
    <x v="324"/>
    <x v="5"/>
    <n v="17942.106"/>
  </r>
  <r>
    <x v="1"/>
    <n v="27.9"/>
    <x v="0"/>
    <x v="1"/>
    <x v="1"/>
    <x v="3"/>
    <x v="34"/>
    <n v="0"/>
    <x v="325"/>
    <x v="0"/>
    <n v="1967.0227"/>
  </r>
  <r>
    <x v="0"/>
    <n v="23.6"/>
    <x v="2"/>
    <x v="1"/>
    <x v="1"/>
    <x v="0"/>
    <x v="5"/>
    <n v="0"/>
    <x v="277"/>
    <x v="3"/>
    <n v="4931.6469999999999"/>
  </r>
  <r>
    <x v="1"/>
    <n v="28.7"/>
    <x v="0"/>
    <x v="1"/>
    <x v="1"/>
    <x v="0"/>
    <x v="39"/>
    <n v="0"/>
    <x v="311"/>
    <x v="3"/>
    <n v="8027.9679999999998"/>
  </r>
  <r>
    <x v="0"/>
    <n v="24"/>
    <x v="2"/>
    <x v="1"/>
    <x v="1"/>
    <x v="1"/>
    <x v="36"/>
    <n v="0"/>
    <x v="68"/>
    <x v="3"/>
    <n v="8211.1002000000008"/>
  </r>
  <r>
    <x v="0"/>
    <n v="39.200000000000003"/>
    <x v="1"/>
    <x v="1"/>
    <x v="1"/>
    <x v="0"/>
    <x v="10"/>
    <n v="0"/>
    <x v="326"/>
    <x v="0"/>
    <n v="13470.86"/>
  </r>
  <r>
    <x v="1"/>
    <n v="34.4"/>
    <x v="1"/>
    <x v="0"/>
    <x v="0"/>
    <x v="0"/>
    <x v="38"/>
    <n v="1"/>
    <x v="12"/>
    <x v="0"/>
    <n v="36197.699000000001"/>
  </r>
  <r>
    <x v="1"/>
    <n v="26"/>
    <x v="0"/>
    <x v="1"/>
    <x v="1"/>
    <x v="3"/>
    <x v="32"/>
    <n v="0"/>
    <x v="327"/>
    <x v="0"/>
    <n v="6837.3687"/>
  </r>
  <r>
    <x v="1"/>
    <n v="23.2"/>
    <x v="2"/>
    <x v="0"/>
    <x v="0"/>
    <x v="1"/>
    <x v="43"/>
    <n v="1"/>
    <x v="174"/>
    <x v="1"/>
    <n v="22218.1149"/>
  </r>
  <r>
    <x v="1"/>
    <n v="30.3"/>
    <x v="1"/>
    <x v="0"/>
    <x v="0"/>
    <x v="1"/>
    <x v="0"/>
    <n v="1"/>
    <x v="328"/>
    <x v="0"/>
    <n v="32548.340499999998"/>
  </r>
  <r>
    <x v="0"/>
    <n v="28.9"/>
    <x v="0"/>
    <x v="1"/>
    <x v="1"/>
    <x v="1"/>
    <x v="25"/>
    <n v="0"/>
    <x v="329"/>
    <x v="1"/>
    <n v="5974.3846999999996"/>
  </r>
  <r>
    <x v="1"/>
    <n v="30.9"/>
    <x v="1"/>
    <x v="1"/>
    <x v="1"/>
    <x v="2"/>
    <x v="7"/>
    <n v="0"/>
    <x v="99"/>
    <x v="2"/>
    <n v="6796.8631999999998"/>
  </r>
  <r>
    <x v="1"/>
    <n v="31.4"/>
    <x v="1"/>
    <x v="1"/>
    <x v="1"/>
    <x v="2"/>
    <x v="20"/>
    <n v="0"/>
    <x v="112"/>
    <x v="1"/>
    <n v="2643.2685000000001"/>
  </r>
  <r>
    <x v="1"/>
    <n v="23.8"/>
    <x v="2"/>
    <x v="1"/>
    <x v="1"/>
    <x v="2"/>
    <x v="27"/>
    <n v="0"/>
    <x v="110"/>
    <x v="3"/>
    <n v="3077.0954999999999"/>
  </r>
  <r>
    <x v="0"/>
    <n v="25.3"/>
    <x v="0"/>
    <x v="1"/>
    <x v="1"/>
    <x v="3"/>
    <x v="23"/>
    <n v="0"/>
    <x v="235"/>
    <x v="0"/>
    <n v="3044.2132999999999"/>
  </r>
  <r>
    <x v="0"/>
    <n v="28.7"/>
    <x v="0"/>
    <x v="1"/>
    <x v="1"/>
    <x v="0"/>
    <x v="37"/>
    <n v="0"/>
    <x v="311"/>
    <x v="0"/>
    <n v="11455.28"/>
  </r>
  <r>
    <x v="1"/>
    <n v="32.1"/>
    <x v="1"/>
    <x v="1"/>
    <x v="1"/>
    <x v="3"/>
    <x v="12"/>
    <n v="0"/>
    <x v="159"/>
    <x v="1"/>
    <n v="11763.000899999999"/>
  </r>
  <r>
    <x v="1"/>
    <n v="33.700000000000003"/>
    <x v="1"/>
    <x v="1"/>
    <x v="1"/>
    <x v="1"/>
    <x v="13"/>
    <n v="0"/>
    <x v="61"/>
    <x v="0"/>
    <n v="2498.4144000000001"/>
  </r>
  <r>
    <x v="1"/>
    <n v="22.4"/>
    <x v="2"/>
    <x v="1"/>
    <x v="1"/>
    <x v="3"/>
    <x v="43"/>
    <n v="0"/>
    <x v="64"/>
    <x v="0"/>
    <n v="9361.3268000000007"/>
  </r>
  <r>
    <x v="1"/>
    <n v="30.4"/>
    <x v="1"/>
    <x v="1"/>
    <x v="1"/>
    <x v="0"/>
    <x v="0"/>
    <n v="0"/>
    <x v="257"/>
    <x v="0"/>
    <n v="1256.299"/>
  </r>
  <r>
    <x v="1"/>
    <n v="28.3"/>
    <x v="0"/>
    <x v="0"/>
    <x v="0"/>
    <x v="0"/>
    <x v="46"/>
    <n v="1"/>
    <x v="115"/>
    <x v="1"/>
    <n v="21082.16"/>
  </r>
  <r>
    <x v="1"/>
    <n v="35.700000000000003"/>
    <x v="1"/>
    <x v="1"/>
    <x v="1"/>
    <x v="0"/>
    <x v="30"/>
    <n v="0"/>
    <x v="330"/>
    <x v="0"/>
    <n v="11362.754999999999"/>
  </r>
  <r>
    <x v="1"/>
    <n v="35.299999999999997"/>
    <x v="1"/>
    <x v="1"/>
    <x v="1"/>
    <x v="1"/>
    <x v="34"/>
    <n v="0"/>
    <x v="331"/>
    <x v="1"/>
    <n v="27724.288799999998"/>
  </r>
  <r>
    <x v="1"/>
    <n v="30.5"/>
    <x v="1"/>
    <x v="1"/>
    <x v="1"/>
    <x v="2"/>
    <x v="39"/>
    <n v="0"/>
    <x v="131"/>
    <x v="3"/>
    <n v="8413.4629999999997"/>
  </r>
  <r>
    <x v="0"/>
    <n v="31"/>
    <x v="1"/>
    <x v="1"/>
    <x v="1"/>
    <x v="0"/>
    <x v="22"/>
    <n v="0"/>
    <x v="332"/>
    <x v="1"/>
    <n v="5240.7650000000003"/>
  </r>
  <r>
    <x v="1"/>
    <n v="30.9"/>
    <x v="1"/>
    <x v="1"/>
    <x v="1"/>
    <x v="3"/>
    <x v="5"/>
    <n v="0"/>
    <x v="99"/>
    <x v="0"/>
    <n v="3857.7592"/>
  </r>
  <r>
    <x v="0"/>
    <n v="27.4"/>
    <x v="0"/>
    <x v="1"/>
    <x v="1"/>
    <x v="3"/>
    <x v="45"/>
    <n v="0"/>
    <x v="60"/>
    <x v="0"/>
    <n v="25656.5753"/>
  </r>
  <r>
    <x v="0"/>
    <n v="44.2"/>
    <x v="1"/>
    <x v="1"/>
    <x v="1"/>
    <x v="1"/>
    <x v="4"/>
    <n v="0"/>
    <x v="333"/>
    <x v="0"/>
    <n v="3994.1777999999999"/>
  </r>
  <r>
    <x v="0"/>
    <n v="33.9"/>
    <x v="1"/>
    <x v="1"/>
    <x v="1"/>
    <x v="3"/>
    <x v="43"/>
    <n v="0"/>
    <x v="113"/>
    <x v="0"/>
    <n v="9866.3047999999999"/>
  </r>
  <r>
    <x v="0"/>
    <n v="37.700000000000003"/>
    <x v="1"/>
    <x v="1"/>
    <x v="1"/>
    <x v="1"/>
    <x v="25"/>
    <n v="0"/>
    <x v="132"/>
    <x v="0"/>
    <n v="5397.6166999999996"/>
  </r>
  <r>
    <x v="1"/>
    <n v="26.1"/>
    <x v="0"/>
    <x v="0"/>
    <x v="0"/>
    <x v="1"/>
    <x v="44"/>
    <n v="1"/>
    <x v="334"/>
    <x v="1"/>
    <n v="38245.5933"/>
  </r>
  <r>
    <x v="0"/>
    <n v="33.9"/>
    <x v="1"/>
    <x v="1"/>
    <x v="1"/>
    <x v="1"/>
    <x v="1"/>
    <n v="0"/>
    <x v="178"/>
    <x v="0"/>
    <n v="11482.6348"/>
  </r>
  <r>
    <x v="0"/>
    <n v="30.6"/>
    <x v="1"/>
    <x v="1"/>
    <x v="1"/>
    <x v="2"/>
    <x v="0"/>
    <n v="0"/>
    <x v="162"/>
    <x v="3"/>
    <n v="24059.680199999999"/>
  </r>
  <r>
    <x v="0"/>
    <n v="25.8"/>
    <x v="0"/>
    <x v="1"/>
    <x v="1"/>
    <x v="0"/>
    <x v="43"/>
    <n v="0"/>
    <x v="335"/>
    <x v="1"/>
    <n v="9861.0249999999996"/>
  </r>
  <r>
    <x v="1"/>
    <n v="39.4"/>
    <x v="1"/>
    <x v="1"/>
    <x v="1"/>
    <x v="3"/>
    <x v="6"/>
    <n v="0"/>
    <x v="336"/>
    <x v="1"/>
    <n v="8342.9087999999992"/>
  </r>
  <r>
    <x v="1"/>
    <n v="25.5"/>
    <x v="0"/>
    <x v="1"/>
    <x v="1"/>
    <x v="3"/>
    <x v="1"/>
    <n v="0"/>
    <x v="94"/>
    <x v="0"/>
    <n v="1708.0014000000001"/>
  </r>
  <r>
    <x v="1"/>
    <n v="42.1"/>
    <x v="1"/>
    <x v="0"/>
    <x v="0"/>
    <x v="1"/>
    <x v="37"/>
    <n v="1"/>
    <x v="14"/>
    <x v="1"/>
    <n v="48675.517699999997"/>
  </r>
  <r>
    <x v="0"/>
    <n v="31.7"/>
    <x v="1"/>
    <x v="1"/>
    <x v="1"/>
    <x v="3"/>
    <x v="10"/>
    <n v="0"/>
    <x v="294"/>
    <x v="0"/>
    <n v="14043.476699999999"/>
  </r>
  <r>
    <x v="1"/>
    <n v="29.7"/>
    <x v="0"/>
    <x v="1"/>
    <x v="1"/>
    <x v="1"/>
    <x v="17"/>
    <n v="0"/>
    <x v="102"/>
    <x v="3"/>
    <n v="12925.886"/>
  </r>
  <r>
    <x v="1"/>
    <n v="36.200000000000003"/>
    <x v="1"/>
    <x v="1"/>
    <x v="1"/>
    <x v="1"/>
    <x v="7"/>
    <n v="0"/>
    <x v="67"/>
    <x v="0"/>
    <n v="19214.7055"/>
  </r>
  <r>
    <x v="1"/>
    <n v="40.5"/>
    <x v="1"/>
    <x v="1"/>
    <x v="1"/>
    <x v="1"/>
    <x v="33"/>
    <n v="0"/>
    <x v="337"/>
    <x v="0"/>
    <n v="13831.1152"/>
  </r>
  <r>
    <x v="1"/>
    <n v="28"/>
    <x v="0"/>
    <x v="1"/>
    <x v="1"/>
    <x v="3"/>
    <x v="25"/>
    <n v="0"/>
    <x v="24"/>
    <x v="1"/>
    <n v="6067.1268"/>
  </r>
  <r>
    <x v="0"/>
    <n v="38.9"/>
    <x v="1"/>
    <x v="1"/>
    <x v="1"/>
    <x v="0"/>
    <x v="3"/>
    <n v="0"/>
    <x v="338"/>
    <x v="2"/>
    <n v="5972.3779999999997"/>
  </r>
  <r>
    <x v="0"/>
    <n v="30.2"/>
    <x v="1"/>
    <x v="1"/>
    <x v="1"/>
    <x v="0"/>
    <x v="6"/>
    <n v="0"/>
    <x v="204"/>
    <x v="3"/>
    <n v="8825.0859999999993"/>
  </r>
  <r>
    <x v="0"/>
    <n v="28.1"/>
    <x v="0"/>
    <x v="1"/>
    <x v="1"/>
    <x v="1"/>
    <x v="6"/>
    <n v="0"/>
    <x v="123"/>
    <x v="1"/>
    <n v="8233.0974999999999"/>
  </r>
  <r>
    <x v="1"/>
    <n v="31.4"/>
    <x v="1"/>
    <x v="1"/>
    <x v="1"/>
    <x v="1"/>
    <x v="31"/>
    <n v="0"/>
    <x v="112"/>
    <x v="0"/>
    <n v="27346.042099999999"/>
  </r>
  <r>
    <x v="0"/>
    <n v="38"/>
    <x v="1"/>
    <x v="1"/>
    <x v="1"/>
    <x v="0"/>
    <x v="16"/>
    <n v="0"/>
    <x v="229"/>
    <x v="2"/>
    <n v="6196.4480000000003"/>
  </r>
  <r>
    <x v="0"/>
    <n v="31.8"/>
    <x v="1"/>
    <x v="1"/>
    <x v="1"/>
    <x v="1"/>
    <x v="34"/>
    <n v="0"/>
    <x v="211"/>
    <x v="3"/>
    <n v="3056.3881000000001"/>
  </r>
  <r>
    <x v="0"/>
    <n v="36.299999999999997"/>
    <x v="1"/>
    <x v="1"/>
    <x v="1"/>
    <x v="1"/>
    <x v="18"/>
    <n v="0"/>
    <x v="29"/>
    <x v="0"/>
    <n v="13887.204"/>
  </r>
  <r>
    <x v="0"/>
    <n v="47.4"/>
    <x v="1"/>
    <x v="0"/>
    <x v="0"/>
    <x v="1"/>
    <x v="40"/>
    <n v="1"/>
    <x v="339"/>
    <x v="0"/>
    <n v="63770.428"/>
  </r>
  <r>
    <x v="1"/>
    <n v="30.2"/>
    <x v="1"/>
    <x v="1"/>
    <x v="1"/>
    <x v="2"/>
    <x v="40"/>
    <n v="0"/>
    <x v="267"/>
    <x v="0"/>
    <n v="10231.499900000001"/>
  </r>
  <r>
    <x v="1"/>
    <n v="25.8"/>
    <x v="0"/>
    <x v="0"/>
    <x v="0"/>
    <x v="2"/>
    <x v="41"/>
    <n v="1"/>
    <x v="9"/>
    <x v="3"/>
    <n v="23807.240600000001"/>
  </r>
  <r>
    <x v="1"/>
    <n v="35.4"/>
    <x v="1"/>
    <x v="1"/>
    <x v="1"/>
    <x v="3"/>
    <x v="2"/>
    <n v="0"/>
    <x v="340"/>
    <x v="0"/>
    <n v="3268.8465999999999"/>
  </r>
  <r>
    <x v="0"/>
    <n v="46.7"/>
    <x v="1"/>
    <x v="1"/>
    <x v="1"/>
    <x v="0"/>
    <x v="40"/>
    <n v="0"/>
    <x v="341"/>
    <x v="3"/>
    <n v="11538.421"/>
  </r>
  <r>
    <x v="0"/>
    <n v="28.6"/>
    <x v="0"/>
    <x v="1"/>
    <x v="1"/>
    <x v="3"/>
    <x v="9"/>
    <n v="0"/>
    <x v="105"/>
    <x v="0"/>
    <n v="3213.6219999999998"/>
  </r>
  <r>
    <x v="0"/>
    <n v="46.2"/>
    <x v="1"/>
    <x v="0"/>
    <x v="0"/>
    <x v="1"/>
    <x v="32"/>
    <n v="1"/>
    <x v="342"/>
    <x v="0"/>
    <n v="45863.205000000002"/>
  </r>
  <r>
    <x v="1"/>
    <n v="30.8"/>
    <x v="1"/>
    <x v="1"/>
    <x v="1"/>
    <x v="0"/>
    <x v="18"/>
    <n v="0"/>
    <x v="43"/>
    <x v="0"/>
    <n v="13390.558999999999"/>
  </r>
  <r>
    <x v="0"/>
    <n v="28.9"/>
    <x v="0"/>
    <x v="1"/>
    <x v="1"/>
    <x v="1"/>
    <x v="4"/>
    <n v="0"/>
    <x v="329"/>
    <x v="0"/>
    <n v="3972.9247"/>
  </r>
  <r>
    <x v="1"/>
    <n v="21.4"/>
    <x v="2"/>
    <x v="1"/>
    <x v="1"/>
    <x v="0"/>
    <x v="10"/>
    <n v="0"/>
    <x v="343"/>
    <x v="0"/>
    <n v="12957.118"/>
  </r>
  <r>
    <x v="0"/>
    <n v="31.7"/>
    <x v="1"/>
    <x v="1"/>
    <x v="1"/>
    <x v="2"/>
    <x v="14"/>
    <n v="0"/>
    <x v="294"/>
    <x v="3"/>
    <n v="11187.6567"/>
  </r>
  <r>
    <x v="0"/>
    <n v="41.3"/>
    <x v="1"/>
    <x v="1"/>
    <x v="1"/>
    <x v="3"/>
    <x v="9"/>
    <n v="0"/>
    <x v="317"/>
    <x v="0"/>
    <n v="17878.900699999998"/>
  </r>
  <r>
    <x v="1"/>
    <n v="23.8"/>
    <x v="2"/>
    <x v="1"/>
    <x v="1"/>
    <x v="0"/>
    <x v="2"/>
    <n v="0"/>
    <x v="344"/>
    <x v="3"/>
    <n v="3847.674"/>
  </r>
  <r>
    <x v="1"/>
    <n v="33.4"/>
    <x v="1"/>
    <x v="1"/>
    <x v="1"/>
    <x v="3"/>
    <x v="6"/>
    <n v="0"/>
    <x v="6"/>
    <x v="1"/>
    <n v="8334.5895999999993"/>
  </r>
  <r>
    <x v="1"/>
    <n v="34.200000000000003"/>
    <x v="1"/>
    <x v="1"/>
    <x v="1"/>
    <x v="1"/>
    <x v="16"/>
    <n v="0"/>
    <x v="194"/>
    <x v="0"/>
    <n v="3935.1799000000001"/>
  </r>
  <r>
    <x v="0"/>
    <n v="34.1"/>
    <x v="1"/>
    <x v="0"/>
    <x v="0"/>
    <x v="2"/>
    <x v="22"/>
    <n v="1"/>
    <x v="237"/>
    <x v="2"/>
    <n v="39983.425999999999"/>
  </r>
  <r>
    <x v="1"/>
    <n v="35.5"/>
    <x v="1"/>
    <x v="1"/>
    <x v="1"/>
    <x v="2"/>
    <x v="0"/>
    <n v="0"/>
    <x v="76"/>
    <x v="0"/>
    <n v="1646.4296999999999"/>
  </r>
  <r>
    <x v="0"/>
    <n v="20"/>
    <x v="2"/>
    <x v="1"/>
    <x v="1"/>
    <x v="2"/>
    <x v="6"/>
    <n v="0"/>
    <x v="91"/>
    <x v="3"/>
    <n v="9193.8384999999998"/>
  </r>
  <r>
    <x v="0"/>
    <n v="32.700000000000003"/>
    <x v="1"/>
    <x v="1"/>
    <x v="1"/>
    <x v="3"/>
    <x v="40"/>
    <n v="0"/>
    <x v="297"/>
    <x v="0"/>
    <n v="10923.933199999999"/>
  </r>
  <r>
    <x v="1"/>
    <n v="30.5"/>
    <x v="1"/>
    <x v="1"/>
    <x v="1"/>
    <x v="0"/>
    <x v="13"/>
    <n v="0"/>
    <x v="252"/>
    <x v="0"/>
    <n v="2494.0219999999999"/>
  </r>
  <r>
    <x v="1"/>
    <n v="44.8"/>
    <x v="1"/>
    <x v="1"/>
    <x v="1"/>
    <x v="1"/>
    <x v="45"/>
    <n v="0"/>
    <x v="345"/>
    <x v="1"/>
    <n v="9058.7302999999993"/>
  </r>
  <r>
    <x v="0"/>
    <n v="32.1"/>
    <x v="1"/>
    <x v="1"/>
    <x v="1"/>
    <x v="1"/>
    <x v="1"/>
    <n v="0"/>
    <x v="346"/>
    <x v="3"/>
    <n v="2801.2588000000001"/>
  </r>
  <r>
    <x v="0"/>
    <n v="30.5"/>
    <x v="1"/>
    <x v="1"/>
    <x v="1"/>
    <x v="2"/>
    <x v="0"/>
    <n v="0"/>
    <x v="131"/>
    <x v="0"/>
    <n v="2128.431"/>
  </r>
  <r>
    <x v="0"/>
    <n v="40.6"/>
    <x v="1"/>
    <x v="1"/>
    <x v="1"/>
    <x v="2"/>
    <x v="25"/>
    <n v="0"/>
    <x v="214"/>
    <x v="1"/>
    <n v="6373.5573999999997"/>
  </r>
  <r>
    <x v="1"/>
    <n v="30.6"/>
    <x v="1"/>
    <x v="1"/>
    <x v="1"/>
    <x v="2"/>
    <x v="24"/>
    <n v="0"/>
    <x v="162"/>
    <x v="3"/>
    <n v="7256.7231000000002"/>
  </r>
  <r>
    <x v="0"/>
    <n v="31.9"/>
    <x v="1"/>
    <x v="1"/>
    <x v="1"/>
    <x v="0"/>
    <x v="41"/>
    <n v="0"/>
    <x v="125"/>
    <x v="4"/>
    <n v="11552.904"/>
  </r>
  <r>
    <x v="1"/>
    <n v="40.6"/>
    <x v="1"/>
    <x v="0"/>
    <x v="0"/>
    <x v="2"/>
    <x v="28"/>
    <n v="1"/>
    <x v="214"/>
    <x v="3"/>
    <n v="45702.022400000002"/>
  </r>
  <r>
    <x v="0"/>
    <n v="29.1"/>
    <x v="0"/>
    <x v="1"/>
    <x v="1"/>
    <x v="0"/>
    <x v="5"/>
    <n v="0"/>
    <x v="347"/>
    <x v="0"/>
    <n v="3761.2919999999999"/>
  </r>
  <r>
    <x v="0"/>
    <n v="37.299999999999997"/>
    <x v="1"/>
    <x v="1"/>
    <x v="1"/>
    <x v="1"/>
    <x v="1"/>
    <n v="0"/>
    <x v="348"/>
    <x v="1"/>
    <n v="2219.4450999999999"/>
  </r>
  <r>
    <x v="0"/>
    <n v="43.1"/>
    <x v="1"/>
    <x v="1"/>
    <x v="1"/>
    <x v="1"/>
    <x v="15"/>
    <n v="0"/>
    <x v="349"/>
    <x v="3"/>
    <n v="4753.6368000000002"/>
  </r>
  <r>
    <x v="0"/>
    <n v="36.9"/>
    <x v="1"/>
    <x v="1"/>
    <x v="1"/>
    <x v="3"/>
    <x v="10"/>
    <n v="0"/>
    <x v="350"/>
    <x v="1"/>
    <n v="31620.001100000001"/>
  </r>
  <r>
    <x v="0"/>
    <n v="34.299999999999997"/>
    <x v="1"/>
    <x v="1"/>
    <x v="1"/>
    <x v="3"/>
    <x v="37"/>
    <n v="0"/>
    <x v="351"/>
    <x v="3"/>
    <n v="13224.057000000001"/>
  </r>
  <r>
    <x v="0"/>
    <n v="27.2"/>
    <x v="0"/>
    <x v="1"/>
    <x v="1"/>
    <x v="2"/>
    <x v="30"/>
    <n v="0"/>
    <x v="107"/>
    <x v="0"/>
    <n v="12222.898300000001"/>
  </r>
  <r>
    <x v="1"/>
    <n v="26.8"/>
    <x v="0"/>
    <x v="1"/>
    <x v="1"/>
    <x v="1"/>
    <x v="20"/>
    <n v="0"/>
    <x v="199"/>
    <x v="0"/>
    <n v="1664.9996000000001"/>
  </r>
  <r>
    <x v="0"/>
    <n v="38.1"/>
    <x v="1"/>
    <x v="0"/>
    <x v="0"/>
    <x v="3"/>
    <x v="5"/>
    <n v="1"/>
    <x v="309"/>
    <x v="1"/>
    <n v="58571.074500000002"/>
  </r>
  <r>
    <x v="1"/>
    <n v="30.2"/>
    <x v="1"/>
    <x v="1"/>
    <x v="1"/>
    <x v="0"/>
    <x v="14"/>
    <n v="0"/>
    <x v="204"/>
    <x v="1"/>
    <n v="9724.5300000000007"/>
  </r>
  <r>
    <x v="0"/>
    <n v="23.5"/>
    <x v="2"/>
    <x v="1"/>
    <x v="1"/>
    <x v="3"/>
    <x v="9"/>
    <n v="0"/>
    <x v="352"/>
    <x v="0"/>
    <n v="3206.4913999999999"/>
  </r>
  <r>
    <x v="1"/>
    <n v="25.5"/>
    <x v="0"/>
    <x v="1"/>
    <x v="1"/>
    <x v="3"/>
    <x v="17"/>
    <n v="0"/>
    <x v="94"/>
    <x v="1"/>
    <n v="12913.992399999999"/>
  </r>
  <r>
    <x v="1"/>
    <n v="30.6"/>
    <x v="1"/>
    <x v="1"/>
    <x v="1"/>
    <x v="2"/>
    <x v="0"/>
    <n v="0"/>
    <x v="162"/>
    <x v="0"/>
    <n v="1639.5631000000001"/>
  </r>
  <r>
    <x v="1"/>
    <n v="45.4"/>
    <x v="1"/>
    <x v="1"/>
    <x v="1"/>
    <x v="1"/>
    <x v="46"/>
    <n v="0"/>
    <x v="353"/>
    <x v="3"/>
    <n v="6356.2707"/>
  </r>
  <r>
    <x v="0"/>
    <n v="23.7"/>
    <x v="2"/>
    <x v="1"/>
    <x v="1"/>
    <x v="1"/>
    <x v="4"/>
    <n v="0"/>
    <x v="354"/>
    <x v="1"/>
    <n v="17626.2395"/>
  </r>
  <r>
    <x v="1"/>
    <n v="20.7"/>
    <x v="2"/>
    <x v="1"/>
    <x v="1"/>
    <x v="0"/>
    <x v="0"/>
    <n v="0"/>
    <x v="355"/>
    <x v="0"/>
    <n v="1242.816"/>
  </r>
  <r>
    <x v="0"/>
    <n v="28.3"/>
    <x v="0"/>
    <x v="1"/>
    <x v="1"/>
    <x v="1"/>
    <x v="3"/>
    <n v="0"/>
    <x v="356"/>
    <x v="1"/>
    <n v="4779.6022999999996"/>
  </r>
  <r>
    <x v="1"/>
    <n v="20.2"/>
    <x v="2"/>
    <x v="1"/>
    <x v="1"/>
    <x v="3"/>
    <x v="27"/>
    <n v="0"/>
    <x v="281"/>
    <x v="2"/>
    <n v="3861.2096000000001"/>
  </r>
  <r>
    <x v="0"/>
    <n v="30.2"/>
    <x v="1"/>
    <x v="0"/>
    <x v="0"/>
    <x v="2"/>
    <x v="16"/>
    <n v="1"/>
    <x v="267"/>
    <x v="1"/>
    <n v="43943.876100000001"/>
  </r>
  <r>
    <x v="0"/>
    <n v="35.9"/>
    <x v="1"/>
    <x v="1"/>
    <x v="1"/>
    <x v="3"/>
    <x v="35"/>
    <n v="0"/>
    <x v="357"/>
    <x v="0"/>
    <n v="13635.6379"/>
  </r>
  <r>
    <x v="0"/>
    <n v="30.7"/>
    <x v="1"/>
    <x v="1"/>
    <x v="1"/>
    <x v="1"/>
    <x v="25"/>
    <n v="0"/>
    <x v="155"/>
    <x v="1"/>
    <n v="5976.8311000000003"/>
  </r>
  <r>
    <x v="0"/>
    <n v="29"/>
    <x v="0"/>
    <x v="1"/>
    <x v="1"/>
    <x v="0"/>
    <x v="30"/>
    <n v="0"/>
    <x v="358"/>
    <x v="0"/>
    <n v="11842.441999999999"/>
  </r>
  <r>
    <x v="1"/>
    <n v="19.600000000000001"/>
    <x v="2"/>
    <x v="1"/>
    <x v="1"/>
    <x v="2"/>
    <x v="42"/>
    <n v="0"/>
    <x v="359"/>
    <x v="1"/>
    <n v="8428.0692999999992"/>
  </r>
  <r>
    <x v="1"/>
    <n v="31.1"/>
    <x v="1"/>
    <x v="1"/>
    <x v="1"/>
    <x v="1"/>
    <x v="34"/>
    <n v="0"/>
    <x v="360"/>
    <x v="3"/>
    <n v="2566.4706999999999"/>
  </r>
  <r>
    <x v="0"/>
    <n v="21.9"/>
    <x v="2"/>
    <x v="0"/>
    <x v="0"/>
    <x v="3"/>
    <x v="27"/>
    <n v="1"/>
    <x v="361"/>
    <x v="1"/>
    <n v="15359.104499999999"/>
  </r>
  <r>
    <x v="1"/>
    <n v="40.299999999999997"/>
    <x v="1"/>
    <x v="1"/>
    <x v="1"/>
    <x v="1"/>
    <x v="24"/>
    <n v="0"/>
    <x v="362"/>
    <x v="0"/>
    <n v="5709.1643999999997"/>
  </r>
  <r>
    <x v="0"/>
    <n v="33.700000000000003"/>
    <x v="1"/>
    <x v="1"/>
    <x v="1"/>
    <x v="3"/>
    <x v="6"/>
    <n v="0"/>
    <x v="363"/>
    <x v="1"/>
    <n v="8823.9858000000004"/>
  </r>
  <r>
    <x v="0"/>
    <n v="29.5"/>
    <x v="0"/>
    <x v="1"/>
    <x v="1"/>
    <x v="1"/>
    <x v="44"/>
    <n v="0"/>
    <x v="364"/>
    <x v="3"/>
    <n v="7640.3091999999997"/>
  </r>
  <r>
    <x v="0"/>
    <n v="33.299999999999997"/>
    <x v="1"/>
    <x v="1"/>
    <x v="1"/>
    <x v="3"/>
    <x v="16"/>
    <n v="0"/>
    <x v="176"/>
    <x v="1"/>
    <n v="5594.8455000000004"/>
  </r>
  <r>
    <x v="1"/>
    <n v="32.6"/>
    <x v="1"/>
    <x v="1"/>
    <x v="1"/>
    <x v="0"/>
    <x v="32"/>
    <n v="0"/>
    <x v="365"/>
    <x v="3"/>
    <n v="7441.5010000000002"/>
  </r>
  <r>
    <x v="0"/>
    <n v="37.5"/>
    <x v="1"/>
    <x v="1"/>
    <x v="1"/>
    <x v="2"/>
    <x v="14"/>
    <n v="0"/>
    <x v="366"/>
    <x v="3"/>
    <n v="33471.971899999997"/>
  </r>
  <r>
    <x v="0"/>
    <n v="39.200000000000003"/>
    <x v="1"/>
    <x v="1"/>
    <x v="1"/>
    <x v="1"/>
    <x v="1"/>
    <n v="0"/>
    <x v="287"/>
    <x v="0"/>
    <n v="1633.0444"/>
  </r>
  <r>
    <x v="1"/>
    <n v="31.6"/>
    <x v="1"/>
    <x v="1"/>
    <x v="1"/>
    <x v="2"/>
    <x v="43"/>
    <n v="0"/>
    <x v="181"/>
    <x v="0"/>
    <n v="9174.1355999999996"/>
  </r>
  <r>
    <x v="0"/>
    <n v="25.3"/>
    <x v="0"/>
    <x v="1"/>
    <x v="1"/>
    <x v="0"/>
    <x v="12"/>
    <n v="0"/>
    <x v="128"/>
    <x v="0"/>
    <n v="11070.535"/>
  </r>
  <r>
    <x v="0"/>
    <n v="39.1"/>
    <x v="1"/>
    <x v="1"/>
    <x v="1"/>
    <x v="1"/>
    <x v="33"/>
    <n v="0"/>
    <x v="266"/>
    <x v="2"/>
    <n v="16085.127500000001"/>
  </r>
  <r>
    <x v="0"/>
    <n v="28.3"/>
    <x v="0"/>
    <x v="0"/>
    <x v="0"/>
    <x v="2"/>
    <x v="0"/>
    <n v="1"/>
    <x v="33"/>
    <x v="0"/>
    <n v="17468.983899999999"/>
  </r>
  <r>
    <x v="0"/>
    <n v="34.1"/>
    <x v="1"/>
    <x v="1"/>
    <x v="1"/>
    <x v="1"/>
    <x v="43"/>
    <n v="0"/>
    <x v="22"/>
    <x v="0"/>
    <n v="9283.5619999999999"/>
  </r>
  <r>
    <x v="0"/>
    <n v="25.2"/>
    <x v="0"/>
    <x v="1"/>
    <x v="1"/>
    <x v="3"/>
    <x v="13"/>
    <n v="0"/>
    <x v="124"/>
    <x v="0"/>
    <n v="3558.6201999999998"/>
  </r>
  <r>
    <x v="0"/>
    <n v="23.7"/>
    <x v="2"/>
    <x v="0"/>
    <x v="0"/>
    <x v="2"/>
    <x v="17"/>
    <n v="1"/>
    <x v="367"/>
    <x v="0"/>
    <n v="25678.778399999999"/>
  </r>
  <r>
    <x v="1"/>
    <n v="27"/>
    <x v="0"/>
    <x v="1"/>
    <x v="1"/>
    <x v="3"/>
    <x v="2"/>
    <n v="0"/>
    <x v="86"/>
    <x v="3"/>
    <n v="4435.0941999999995"/>
  </r>
  <r>
    <x v="1"/>
    <n v="37.799999999999997"/>
    <x v="1"/>
    <x v="0"/>
    <x v="0"/>
    <x v="0"/>
    <x v="15"/>
    <n v="1"/>
    <x v="368"/>
    <x v="3"/>
    <n v="39241.442000000003"/>
  </r>
  <r>
    <x v="0"/>
    <n v="29.4"/>
    <x v="0"/>
    <x v="1"/>
    <x v="1"/>
    <x v="1"/>
    <x v="42"/>
    <n v="0"/>
    <x v="205"/>
    <x v="1"/>
    <n v="8547.6913000000004"/>
  </r>
  <r>
    <x v="0"/>
    <n v="34.799999999999997"/>
    <x v="1"/>
    <x v="1"/>
    <x v="1"/>
    <x v="0"/>
    <x v="25"/>
    <n v="0"/>
    <x v="82"/>
    <x v="3"/>
    <n v="6571.5439999999999"/>
  </r>
  <r>
    <x v="0"/>
    <n v="33.200000000000003"/>
    <x v="1"/>
    <x v="1"/>
    <x v="1"/>
    <x v="3"/>
    <x v="1"/>
    <n v="0"/>
    <x v="145"/>
    <x v="0"/>
    <n v="2207.6974"/>
  </r>
  <r>
    <x v="0"/>
    <n v="19"/>
    <x v="2"/>
    <x v="1"/>
    <x v="1"/>
    <x v="3"/>
    <x v="16"/>
    <n v="0"/>
    <x v="369"/>
    <x v="2"/>
    <n v="6753.0379999999996"/>
  </r>
  <r>
    <x v="0"/>
    <n v="33"/>
    <x v="1"/>
    <x v="1"/>
    <x v="1"/>
    <x v="1"/>
    <x v="34"/>
    <n v="0"/>
    <x v="2"/>
    <x v="0"/>
    <n v="1880.07"/>
  </r>
  <r>
    <x v="0"/>
    <n v="36.6"/>
    <x v="1"/>
    <x v="0"/>
    <x v="0"/>
    <x v="1"/>
    <x v="42"/>
    <n v="1"/>
    <x v="41"/>
    <x v="1"/>
    <n v="42969.852700000003"/>
  </r>
  <r>
    <x v="0"/>
    <n v="28.6"/>
    <x v="0"/>
    <x v="1"/>
    <x v="1"/>
    <x v="3"/>
    <x v="12"/>
    <n v="0"/>
    <x v="105"/>
    <x v="0"/>
    <n v="11658.115"/>
  </r>
  <r>
    <x v="1"/>
    <n v="25.6"/>
    <x v="0"/>
    <x v="0"/>
    <x v="0"/>
    <x v="0"/>
    <x v="41"/>
    <n v="1"/>
    <x v="248"/>
    <x v="3"/>
    <n v="23306.546999999999"/>
  </r>
  <r>
    <x v="0"/>
    <n v="33.1"/>
    <x v="1"/>
    <x v="0"/>
    <x v="0"/>
    <x v="1"/>
    <x v="0"/>
    <n v="1"/>
    <x v="293"/>
    <x v="0"/>
    <n v="34439.855900000002"/>
  </r>
  <r>
    <x v="0"/>
    <n v="37.1"/>
    <x v="1"/>
    <x v="1"/>
    <x v="1"/>
    <x v="0"/>
    <x v="19"/>
    <n v="0"/>
    <x v="109"/>
    <x v="0"/>
    <n v="10713.644"/>
  </r>
  <r>
    <x v="1"/>
    <n v="31.4"/>
    <x v="1"/>
    <x v="1"/>
    <x v="1"/>
    <x v="0"/>
    <x v="15"/>
    <n v="0"/>
    <x v="234"/>
    <x v="1"/>
    <n v="3659.346"/>
  </r>
  <r>
    <x v="1"/>
    <n v="34.1"/>
    <x v="1"/>
    <x v="0"/>
    <x v="0"/>
    <x v="0"/>
    <x v="7"/>
    <n v="1"/>
    <x v="22"/>
    <x v="5"/>
    <n v="40182.245999999999"/>
  </r>
  <r>
    <x v="0"/>
    <n v="21.3"/>
    <x v="2"/>
    <x v="1"/>
    <x v="1"/>
    <x v="0"/>
    <x v="41"/>
    <n v="0"/>
    <x v="370"/>
    <x v="1"/>
    <n v="9182.17"/>
  </r>
  <r>
    <x v="1"/>
    <n v="33.5"/>
    <x v="1"/>
    <x v="0"/>
    <x v="0"/>
    <x v="3"/>
    <x v="1"/>
    <n v="1"/>
    <x v="371"/>
    <x v="0"/>
    <n v="34617.840600000003"/>
  </r>
  <r>
    <x v="1"/>
    <n v="28.8"/>
    <x v="0"/>
    <x v="1"/>
    <x v="1"/>
    <x v="2"/>
    <x v="17"/>
    <n v="0"/>
    <x v="114"/>
    <x v="0"/>
    <n v="12129.6142"/>
  </r>
  <r>
    <x v="0"/>
    <n v="26"/>
    <x v="0"/>
    <x v="1"/>
    <x v="1"/>
    <x v="2"/>
    <x v="38"/>
    <n v="0"/>
    <x v="327"/>
    <x v="0"/>
    <n v="3736.4647"/>
  </r>
  <r>
    <x v="1"/>
    <n v="28.9"/>
    <x v="0"/>
    <x v="1"/>
    <x v="1"/>
    <x v="3"/>
    <x v="26"/>
    <n v="0"/>
    <x v="4"/>
    <x v="2"/>
    <n v="6748.5911999999998"/>
  </r>
  <r>
    <x v="1"/>
    <n v="42.5"/>
    <x v="1"/>
    <x v="1"/>
    <x v="1"/>
    <x v="1"/>
    <x v="3"/>
    <n v="0"/>
    <x v="372"/>
    <x v="1"/>
    <n v="11326.714900000001"/>
  </r>
  <r>
    <x v="1"/>
    <n v="38"/>
    <x v="1"/>
    <x v="1"/>
    <x v="1"/>
    <x v="0"/>
    <x v="30"/>
    <n v="0"/>
    <x v="229"/>
    <x v="0"/>
    <n v="11365.951999999999"/>
  </r>
  <r>
    <x v="0"/>
    <n v="39"/>
    <x v="1"/>
    <x v="0"/>
    <x v="0"/>
    <x v="2"/>
    <x v="36"/>
    <n v="1"/>
    <x v="373"/>
    <x v="0"/>
    <n v="42983.458500000001"/>
  </r>
  <r>
    <x v="1"/>
    <n v="36.1"/>
    <x v="1"/>
    <x v="1"/>
    <x v="1"/>
    <x v="0"/>
    <x v="31"/>
    <n v="0"/>
    <x v="374"/>
    <x v="1"/>
    <n v="10085.846"/>
  </r>
  <r>
    <x v="1"/>
    <n v="29.3"/>
    <x v="0"/>
    <x v="1"/>
    <x v="1"/>
    <x v="0"/>
    <x v="23"/>
    <n v="0"/>
    <x v="375"/>
    <x v="0"/>
    <n v="1977.8150000000001"/>
  </r>
  <r>
    <x v="0"/>
    <n v="35.5"/>
    <x v="1"/>
    <x v="1"/>
    <x v="1"/>
    <x v="1"/>
    <x v="38"/>
    <n v="0"/>
    <x v="76"/>
    <x v="0"/>
    <n v="3366.6696999999999"/>
  </r>
  <r>
    <x v="1"/>
    <n v="22.7"/>
    <x v="2"/>
    <x v="1"/>
    <x v="1"/>
    <x v="3"/>
    <x v="29"/>
    <n v="0"/>
    <x v="3"/>
    <x v="3"/>
    <n v="7173.36"/>
  </r>
  <r>
    <x v="1"/>
    <n v="39.700000000000003"/>
    <x v="1"/>
    <x v="1"/>
    <x v="1"/>
    <x v="0"/>
    <x v="43"/>
    <n v="0"/>
    <x v="376"/>
    <x v="1"/>
    <n v="9391.3459999999995"/>
  </r>
  <r>
    <x v="1"/>
    <n v="38.200000000000003"/>
    <x v="1"/>
    <x v="1"/>
    <x v="1"/>
    <x v="3"/>
    <x v="33"/>
    <n v="0"/>
    <x v="377"/>
    <x v="0"/>
    <n v="14410.9321"/>
  </r>
  <r>
    <x v="0"/>
    <n v="24.5"/>
    <x v="2"/>
    <x v="1"/>
    <x v="1"/>
    <x v="2"/>
    <x v="0"/>
    <n v="0"/>
    <x v="184"/>
    <x v="1"/>
    <n v="2709.1118999999999"/>
  </r>
  <r>
    <x v="0"/>
    <n v="38.1"/>
    <x v="1"/>
    <x v="1"/>
    <x v="1"/>
    <x v="3"/>
    <x v="22"/>
    <n v="0"/>
    <x v="309"/>
    <x v="3"/>
    <n v="24915.046300000002"/>
  </r>
  <r>
    <x v="1"/>
    <n v="26.4"/>
    <x v="0"/>
    <x v="0"/>
    <x v="0"/>
    <x v="3"/>
    <x v="46"/>
    <n v="1"/>
    <x v="154"/>
    <x v="0"/>
    <n v="20149.322899999999"/>
  </r>
  <r>
    <x v="1"/>
    <n v="33.700000000000003"/>
    <x v="1"/>
    <x v="1"/>
    <x v="1"/>
    <x v="1"/>
    <x v="12"/>
    <n v="0"/>
    <x v="61"/>
    <x v="5"/>
    <n v="12949.1554"/>
  </r>
  <r>
    <x v="1"/>
    <n v="42.4"/>
    <x v="1"/>
    <x v="1"/>
    <x v="1"/>
    <x v="0"/>
    <x v="3"/>
    <n v="0"/>
    <x v="378"/>
    <x v="4"/>
    <n v="6666.2430000000004"/>
  </r>
  <r>
    <x v="1"/>
    <n v="28.3"/>
    <x v="0"/>
    <x v="0"/>
    <x v="0"/>
    <x v="2"/>
    <x v="44"/>
    <n v="1"/>
    <x v="33"/>
    <x v="2"/>
    <n v="32787.458599999998"/>
  </r>
  <r>
    <x v="1"/>
    <n v="33.9"/>
    <x v="1"/>
    <x v="1"/>
    <x v="1"/>
    <x v="3"/>
    <x v="35"/>
    <n v="0"/>
    <x v="113"/>
    <x v="0"/>
    <n v="13143.864799999999"/>
  </r>
  <r>
    <x v="0"/>
    <n v="35"/>
    <x v="1"/>
    <x v="1"/>
    <x v="1"/>
    <x v="2"/>
    <x v="11"/>
    <n v="0"/>
    <x v="379"/>
    <x v="2"/>
    <n v="4466.6214"/>
  </r>
  <r>
    <x v="1"/>
    <n v="35.299999999999997"/>
    <x v="1"/>
    <x v="1"/>
    <x v="1"/>
    <x v="1"/>
    <x v="32"/>
    <n v="0"/>
    <x v="331"/>
    <x v="3"/>
    <n v="18806.145499999999"/>
  </r>
  <r>
    <x v="1"/>
    <n v="30.8"/>
    <x v="1"/>
    <x v="1"/>
    <x v="1"/>
    <x v="3"/>
    <x v="28"/>
    <n v="0"/>
    <x v="16"/>
    <x v="2"/>
    <n v="10141.136200000001"/>
  </r>
  <r>
    <x v="1"/>
    <n v="26.2"/>
    <x v="0"/>
    <x v="1"/>
    <x v="1"/>
    <x v="2"/>
    <x v="46"/>
    <n v="0"/>
    <x v="10"/>
    <x v="1"/>
    <n v="6123.5688"/>
  </r>
  <r>
    <x v="0"/>
    <n v="23.4"/>
    <x v="2"/>
    <x v="1"/>
    <x v="1"/>
    <x v="3"/>
    <x v="29"/>
    <n v="0"/>
    <x v="108"/>
    <x v="2"/>
    <n v="8252.2842999999993"/>
  </r>
  <r>
    <x v="1"/>
    <n v="28.5"/>
    <x v="0"/>
    <x v="1"/>
    <x v="1"/>
    <x v="3"/>
    <x v="1"/>
    <n v="0"/>
    <x v="70"/>
    <x v="0"/>
    <n v="1712.2270000000001"/>
  </r>
  <r>
    <x v="0"/>
    <n v="33"/>
    <x v="1"/>
    <x v="1"/>
    <x v="1"/>
    <x v="3"/>
    <x v="30"/>
    <n v="0"/>
    <x v="36"/>
    <x v="0"/>
    <n v="12430.9534"/>
  </r>
  <r>
    <x v="0"/>
    <n v="42.7"/>
    <x v="1"/>
    <x v="1"/>
    <x v="1"/>
    <x v="1"/>
    <x v="41"/>
    <n v="0"/>
    <x v="380"/>
    <x v="3"/>
    <n v="9800.8881999999994"/>
  </r>
  <r>
    <x v="0"/>
    <n v="39.6"/>
    <x v="1"/>
    <x v="1"/>
    <x v="1"/>
    <x v="1"/>
    <x v="31"/>
    <n v="0"/>
    <x v="140"/>
    <x v="1"/>
    <n v="10579.710999999999"/>
  </r>
  <r>
    <x v="0"/>
    <n v="31.1"/>
    <x v="1"/>
    <x v="1"/>
    <x v="1"/>
    <x v="1"/>
    <x v="28"/>
    <n v="0"/>
    <x v="360"/>
    <x v="0"/>
    <n v="8280.6226999999999"/>
  </r>
  <r>
    <x v="0"/>
    <n v="36.299999999999997"/>
    <x v="1"/>
    <x v="1"/>
    <x v="1"/>
    <x v="1"/>
    <x v="39"/>
    <n v="0"/>
    <x v="29"/>
    <x v="3"/>
    <n v="8527.5319999999992"/>
  </r>
  <r>
    <x v="0"/>
    <n v="35.200000000000003"/>
    <x v="1"/>
    <x v="1"/>
    <x v="1"/>
    <x v="1"/>
    <x v="17"/>
    <n v="0"/>
    <x v="49"/>
    <x v="0"/>
    <n v="12244.531000000001"/>
  </r>
  <r>
    <x v="0"/>
    <n v="25.3"/>
    <x v="0"/>
    <x v="0"/>
    <x v="0"/>
    <x v="1"/>
    <x v="14"/>
    <n v="1"/>
    <x v="128"/>
    <x v="3"/>
    <n v="24667.419000000002"/>
  </r>
  <r>
    <x v="0"/>
    <n v="42.4"/>
    <x v="1"/>
    <x v="1"/>
    <x v="1"/>
    <x v="0"/>
    <x v="21"/>
    <n v="0"/>
    <x v="378"/>
    <x v="1"/>
    <n v="3410.3240000000001"/>
  </r>
  <r>
    <x v="1"/>
    <n v="33.200000000000003"/>
    <x v="1"/>
    <x v="1"/>
    <x v="1"/>
    <x v="2"/>
    <x v="13"/>
    <n v="0"/>
    <x v="145"/>
    <x v="3"/>
    <n v="4058.7123999999999"/>
  </r>
  <r>
    <x v="0"/>
    <n v="35.9"/>
    <x v="1"/>
    <x v="1"/>
    <x v="1"/>
    <x v="3"/>
    <x v="28"/>
    <n v="0"/>
    <x v="357"/>
    <x v="1"/>
    <n v="26392.260300000002"/>
  </r>
  <r>
    <x v="0"/>
    <n v="28.8"/>
    <x v="0"/>
    <x v="1"/>
    <x v="1"/>
    <x v="3"/>
    <x v="37"/>
    <n v="0"/>
    <x v="114"/>
    <x v="5"/>
    <n v="14394.3982"/>
  </r>
  <r>
    <x v="1"/>
    <n v="46.5"/>
    <x v="1"/>
    <x v="1"/>
    <x v="1"/>
    <x v="1"/>
    <x v="7"/>
    <n v="0"/>
    <x v="306"/>
    <x v="2"/>
    <n v="6435.6237000000001"/>
  </r>
  <r>
    <x v="0"/>
    <n v="24"/>
    <x v="2"/>
    <x v="1"/>
    <x v="1"/>
    <x v="1"/>
    <x v="37"/>
    <n v="0"/>
    <x v="68"/>
    <x v="1"/>
    <n v="22192.437099999999"/>
  </r>
  <r>
    <x v="0"/>
    <n v="31.5"/>
    <x v="1"/>
    <x v="1"/>
    <x v="1"/>
    <x v="3"/>
    <x v="4"/>
    <n v="0"/>
    <x v="381"/>
    <x v="1"/>
    <n v="5148.5526"/>
  </r>
  <r>
    <x v="1"/>
    <n v="33.700000000000003"/>
    <x v="1"/>
    <x v="1"/>
    <x v="1"/>
    <x v="1"/>
    <x v="1"/>
    <n v="0"/>
    <x v="61"/>
    <x v="0"/>
    <n v="1136.3994"/>
  </r>
  <r>
    <x v="0"/>
    <n v="23"/>
    <x v="2"/>
    <x v="0"/>
    <x v="0"/>
    <x v="1"/>
    <x v="33"/>
    <n v="1"/>
    <x v="223"/>
    <x v="0"/>
    <n v="27037.914100000002"/>
  </r>
  <r>
    <x v="1"/>
    <n v="38.1"/>
    <x v="1"/>
    <x v="0"/>
    <x v="0"/>
    <x v="1"/>
    <x v="32"/>
    <n v="1"/>
    <x v="179"/>
    <x v="3"/>
    <n v="42560.430399999997"/>
  </r>
  <r>
    <x v="1"/>
    <n v="28.7"/>
    <x v="0"/>
    <x v="1"/>
    <x v="1"/>
    <x v="0"/>
    <x v="41"/>
    <n v="0"/>
    <x v="311"/>
    <x v="1"/>
    <n v="8703.4560000000001"/>
  </r>
  <r>
    <x v="0"/>
    <n v="32.799999999999997"/>
    <x v="1"/>
    <x v="0"/>
    <x v="0"/>
    <x v="2"/>
    <x v="29"/>
    <n v="1"/>
    <x v="27"/>
    <x v="3"/>
    <n v="40003.332199999997"/>
  </r>
  <r>
    <x v="1"/>
    <n v="32"/>
    <x v="1"/>
    <x v="0"/>
    <x v="0"/>
    <x v="3"/>
    <x v="10"/>
    <n v="1"/>
    <x v="256"/>
    <x v="0"/>
    <n v="45710.207799999996"/>
  </r>
  <r>
    <x v="0"/>
    <n v="29.8"/>
    <x v="0"/>
    <x v="1"/>
    <x v="1"/>
    <x v="1"/>
    <x v="29"/>
    <n v="0"/>
    <x v="382"/>
    <x v="1"/>
    <n v="6500.2358999999997"/>
  </r>
  <r>
    <x v="1"/>
    <n v="31.6"/>
    <x v="1"/>
    <x v="1"/>
    <x v="1"/>
    <x v="1"/>
    <x v="15"/>
    <n v="0"/>
    <x v="160"/>
    <x v="2"/>
    <n v="4837.5823"/>
  </r>
  <r>
    <x v="0"/>
    <n v="31.2"/>
    <x v="1"/>
    <x v="1"/>
    <x v="1"/>
    <x v="3"/>
    <x v="38"/>
    <n v="0"/>
    <x v="84"/>
    <x v="0"/>
    <n v="3943.5954000000002"/>
  </r>
  <r>
    <x v="1"/>
    <n v="29.7"/>
    <x v="0"/>
    <x v="1"/>
    <x v="1"/>
    <x v="1"/>
    <x v="26"/>
    <n v="0"/>
    <x v="102"/>
    <x v="0"/>
    <n v="4399.7309999999998"/>
  </r>
  <r>
    <x v="0"/>
    <n v="31"/>
    <x v="1"/>
    <x v="1"/>
    <x v="1"/>
    <x v="1"/>
    <x v="24"/>
    <n v="0"/>
    <x v="270"/>
    <x v="0"/>
    <n v="6185.3208000000004"/>
  </r>
  <r>
    <x v="0"/>
    <n v="43.9"/>
    <x v="1"/>
    <x v="0"/>
    <x v="0"/>
    <x v="1"/>
    <x v="36"/>
    <n v="1"/>
    <x v="250"/>
    <x v="3"/>
    <n v="46200.985099999998"/>
  </r>
  <r>
    <x v="1"/>
    <n v="21.4"/>
    <x v="2"/>
    <x v="1"/>
    <x v="1"/>
    <x v="2"/>
    <x v="39"/>
    <n v="0"/>
    <x v="383"/>
    <x v="0"/>
    <n v="7222.7861999999996"/>
  </r>
  <r>
    <x v="0"/>
    <n v="40.799999999999997"/>
    <x v="1"/>
    <x v="1"/>
    <x v="1"/>
    <x v="1"/>
    <x v="19"/>
    <n v="0"/>
    <x v="384"/>
    <x v="2"/>
    <n v="12485.8009"/>
  </r>
  <r>
    <x v="1"/>
    <n v="31.4"/>
    <x v="1"/>
    <x v="0"/>
    <x v="0"/>
    <x v="2"/>
    <x v="8"/>
    <n v="1"/>
    <x v="112"/>
    <x v="2"/>
    <n v="46130.5265"/>
  </r>
  <r>
    <x v="1"/>
    <n v="36.1"/>
    <x v="1"/>
    <x v="1"/>
    <x v="1"/>
    <x v="0"/>
    <x v="12"/>
    <n v="0"/>
    <x v="374"/>
    <x v="2"/>
    <n v="12363.547"/>
  </r>
  <r>
    <x v="0"/>
    <n v="23.2"/>
    <x v="2"/>
    <x v="1"/>
    <x v="1"/>
    <x v="2"/>
    <x v="41"/>
    <n v="0"/>
    <x v="247"/>
    <x v="3"/>
    <n v="10156.7832"/>
  </r>
  <r>
    <x v="0"/>
    <n v="17.399999999999999"/>
    <x v="3"/>
    <x v="1"/>
    <x v="1"/>
    <x v="0"/>
    <x v="27"/>
    <n v="0"/>
    <x v="385"/>
    <x v="1"/>
    <n v="2585.2689999999998"/>
  </r>
  <r>
    <x v="1"/>
    <n v="20.3"/>
    <x v="2"/>
    <x v="1"/>
    <x v="1"/>
    <x v="0"/>
    <x v="0"/>
    <n v="0"/>
    <x v="386"/>
    <x v="0"/>
    <n v="1242.26"/>
  </r>
  <r>
    <x v="1"/>
    <n v="35.299999999999997"/>
    <x v="1"/>
    <x v="0"/>
    <x v="0"/>
    <x v="0"/>
    <x v="46"/>
    <n v="1"/>
    <x v="19"/>
    <x v="3"/>
    <n v="40103.89"/>
  </r>
  <r>
    <x v="1"/>
    <n v="24.3"/>
    <x v="2"/>
    <x v="1"/>
    <x v="1"/>
    <x v="2"/>
    <x v="31"/>
    <n v="0"/>
    <x v="200"/>
    <x v="0"/>
    <n v="9863.4717999999993"/>
  </r>
  <r>
    <x v="0"/>
    <n v="18.5"/>
    <x v="2"/>
    <x v="1"/>
    <x v="1"/>
    <x v="0"/>
    <x v="3"/>
    <n v="0"/>
    <x v="387"/>
    <x v="1"/>
    <n v="4766.0219999999999"/>
  </r>
  <r>
    <x v="1"/>
    <n v="26.4"/>
    <x v="0"/>
    <x v="1"/>
    <x v="1"/>
    <x v="3"/>
    <x v="31"/>
    <n v="0"/>
    <x v="154"/>
    <x v="3"/>
    <n v="11244.376899999999"/>
  </r>
  <r>
    <x v="1"/>
    <n v="26.1"/>
    <x v="0"/>
    <x v="1"/>
    <x v="1"/>
    <x v="3"/>
    <x v="44"/>
    <n v="0"/>
    <x v="388"/>
    <x v="3"/>
    <n v="7729.6458000000002"/>
  </r>
  <r>
    <x v="1"/>
    <n v="41.7"/>
    <x v="1"/>
    <x v="1"/>
    <x v="1"/>
    <x v="1"/>
    <x v="29"/>
    <n v="0"/>
    <x v="389"/>
    <x v="0"/>
    <n v="5438.7491"/>
  </r>
  <r>
    <x v="0"/>
    <n v="24.1"/>
    <x v="2"/>
    <x v="1"/>
    <x v="1"/>
    <x v="0"/>
    <x v="42"/>
    <n v="0"/>
    <x v="390"/>
    <x v="1"/>
    <n v="26236.58"/>
  </r>
  <r>
    <x v="1"/>
    <n v="31.1"/>
    <x v="1"/>
    <x v="0"/>
    <x v="0"/>
    <x v="1"/>
    <x v="13"/>
    <n v="1"/>
    <x v="360"/>
    <x v="1"/>
    <n v="34806.467700000001"/>
  </r>
  <r>
    <x v="1"/>
    <n v="27.4"/>
    <x v="0"/>
    <x v="1"/>
    <x v="1"/>
    <x v="3"/>
    <x v="27"/>
    <n v="0"/>
    <x v="60"/>
    <x v="0"/>
    <n v="2104.1134000000002"/>
  </r>
  <r>
    <x v="1"/>
    <n v="36.200000000000003"/>
    <x v="1"/>
    <x v="1"/>
    <x v="1"/>
    <x v="0"/>
    <x v="42"/>
    <n v="0"/>
    <x v="391"/>
    <x v="1"/>
    <n v="8068.1850000000004"/>
  </r>
  <r>
    <x v="1"/>
    <n v="32.4"/>
    <x v="1"/>
    <x v="1"/>
    <x v="1"/>
    <x v="2"/>
    <x v="34"/>
    <n v="0"/>
    <x v="203"/>
    <x v="1"/>
    <n v="2362.2289999999998"/>
  </r>
  <r>
    <x v="1"/>
    <n v="23.7"/>
    <x v="2"/>
    <x v="1"/>
    <x v="1"/>
    <x v="2"/>
    <x v="23"/>
    <n v="0"/>
    <x v="367"/>
    <x v="0"/>
    <n v="2352.9684000000002"/>
  </r>
  <r>
    <x v="0"/>
    <n v="34.799999999999997"/>
    <x v="1"/>
    <x v="1"/>
    <x v="1"/>
    <x v="0"/>
    <x v="13"/>
    <n v="0"/>
    <x v="82"/>
    <x v="1"/>
    <n v="3577.9989999999998"/>
  </r>
  <r>
    <x v="0"/>
    <n v="40.200000000000003"/>
    <x v="1"/>
    <x v="1"/>
    <x v="1"/>
    <x v="2"/>
    <x v="21"/>
    <n v="0"/>
    <x v="392"/>
    <x v="0"/>
    <n v="3201.2451999999998"/>
  </r>
  <r>
    <x v="0"/>
    <n v="32.299999999999997"/>
    <x v="1"/>
    <x v="1"/>
    <x v="1"/>
    <x v="3"/>
    <x v="31"/>
    <n v="0"/>
    <x v="243"/>
    <x v="3"/>
    <n v="29186.482400000001"/>
  </r>
  <r>
    <x v="1"/>
    <n v="35.799999999999997"/>
    <x v="1"/>
    <x v="0"/>
    <x v="0"/>
    <x v="1"/>
    <x v="24"/>
    <n v="1"/>
    <x v="246"/>
    <x v="1"/>
    <n v="40273.645499999999"/>
  </r>
  <r>
    <x v="1"/>
    <n v="33.700000000000003"/>
    <x v="1"/>
    <x v="1"/>
    <x v="1"/>
    <x v="2"/>
    <x v="12"/>
    <n v="0"/>
    <x v="363"/>
    <x v="0"/>
    <n v="10976.245800000001"/>
  </r>
  <r>
    <x v="0"/>
    <n v="39.299999999999997"/>
    <x v="1"/>
    <x v="1"/>
    <x v="1"/>
    <x v="1"/>
    <x v="11"/>
    <n v="0"/>
    <x v="393"/>
    <x v="3"/>
    <n v="3500.6122999999998"/>
  </r>
  <r>
    <x v="0"/>
    <n v="34.9"/>
    <x v="1"/>
    <x v="1"/>
    <x v="1"/>
    <x v="1"/>
    <x v="27"/>
    <n v="0"/>
    <x v="394"/>
    <x v="0"/>
    <n v="2020.5523000000001"/>
  </r>
  <r>
    <x v="0"/>
    <n v="44.7"/>
    <x v="1"/>
    <x v="1"/>
    <x v="1"/>
    <x v="3"/>
    <x v="45"/>
    <n v="0"/>
    <x v="395"/>
    <x v="0"/>
    <n v="9541.6955999999991"/>
  </r>
  <r>
    <x v="1"/>
    <n v="41.5"/>
    <x v="1"/>
    <x v="1"/>
    <x v="1"/>
    <x v="1"/>
    <x v="31"/>
    <n v="0"/>
    <x v="147"/>
    <x v="0"/>
    <n v="9504.3102999999992"/>
  </r>
  <r>
    <x v="0"/>
    <n v="26.4"/>
    <x v="0"/>
    <x v="1"/>
    <x v="1"/>
    <x v="2"/>
    <x v="16"/>
    <n v="0"/>
    <x v="154"/>
    <x v="1"/>
    <n v="5385.3379000000004"/>
  </r>
  <r>
    <x v="0"/>
    <n v="29.5"/>
    <x v="0"/>
    <x v="1"/>
    <x v="1"/>
    <x v="2"/>
    <x v="42"/>
    <n v="0"/>
    <x v="396"/>
    <x v="1"/>
    <n v="8930.9346000000005"/>
  </r>
  <r>
    <x v="0"/>
    <n v="32.9"/>
    <x v="1"/>
    <x v="1"/>
    <x v="1"/>
    <x v="0"/>
    <x v="3"/>
    <n v="0"/>
    <x v="260"/>
    <x v="3"/>
    <n v="5375.0379999999996"/>
  </r>
  <r>
    <x v="0"/>
    <n v="38.1"/>
    <x v="1"/>
    <x v="0"/>
    <x v="0"/>
    <x v="1"/>
    <x v="43"/>
    <n v="1"/>
    <x v="179"/>
    <x v="0"/>
    <n v="44400.4064"/>
  </r>
  <r>
    <x v="1"/>
    <n v="28.7"/>
    <x v="0"/>
    <x v="1"/>
    <x v="1"/>
    <x v="2"/>
    <x v="41"/>
    <n v="0"/>
    <x v="54"/>
    <x v="2"/>
    <n v="10264.4421"/>
  </r>
  <r>
    <x v="0"/>
    <n v="30.5"/>
    <x v="1"/>
    <x v="1"/>
    <x v="1"/>
    <x v="3"/>
    <x v="5"/>
    <n v="0"/>
    <x v="131"/>
    <x v="2"/>
    <n v="6113.2309999999998"/>
  </r>
  <r>
    <x v="0"/>
    <n v="27.7"/>
    <x v="0"/>
    <x v="1"/>
    <x v="1"/>
    <x v="3"/>
    <x v="26"/>
    <n v="0"/>
    <x v="7"/>
    <x v="0"/>
    <n v="5469.0065999999997"/>
  </r>
  <r>
    <x v="1"/>
    <n v="35.200000000000003"/>
    <x v="1"/>
    <x v="1"/>
    <x v="1"/>
    <x v="1"/>
    <x v="1"/>
    <n v="0"/>
    <x v="49"/>
    <x v="1"/>
    <n v="1727.54"/>
  </r>
  <r>
    <x v="0"/>
    <n v="23.5"/>
    <x v="2"/>
    <x v="1"/>
    <x v="1"/>
    <x v="1"/>
    <x v="45"/>
    <n v="0"/>
    <x v="397"/>
    <x v="3"/>
    <n v="10107.220600000001"/>
  </r>
  <r>
    <x v="0"/>
    <n v="30.7"/>
    <x v="1"/>
    <x v="1"/>
    <x v="1"/>
    <x v="2"/>
    <x v="32"/>
    <n v="0"/>
    <x v="264"/>
    <x v="3"/>
    <n v="8310.8392000000003"/>
  </r>
  <r>
    <x v="1"/>
    <n v="40.5"/>
    <x v="1"/>
    <x v="1"/>
    <x v="1"/>
    <x v="3"/>
    <x v="34"/>
    <n v="0"/>
    <x v="398"/>
    <x v="0"/>
    <n v="1984.4532999999999"/>
  </r>
  <r>
    <x v="0"/>
    <n v="22.6"/>
    <x v="2"/>
    <x v="1"/>
    <x v="1"/>
    <x v="0"/>
    <x v="23"/>
    <n v="0"/>
    <x v="286"/>
    <x v="0"/>
    <n v="2457.502"/>
  </r>
  <r>
    <x v="1"/>
    <n v="28.9"/>
    <x v="0"/>
    <x v="1"/>
    <x v="1"/>
    <x v="0"/>
    <x v="8"/>
    <n v="0"/>
    <x v="65"/>
    <x v="0"/>
    <n v="12146.971"/>
  </r>
  <r>
    <x v="0"/>
    <n v="22.6"/>
    <x v="2"/>
    <x v="1"/>
    <x v="1"/>
    <x v="2"/>
    <x v="41"/>
    <n v="0"/>
    <x v="227"/>
    <x v="1"/>
    <n v="9566.9909000000007"/>
  </r>
  <r>
    <x v="1"/>
    <n v="24.3"/>
    <x v="2"/>
    <x v="1"/>
    <x v="1"/>
    <x v="2"/>
    <x v="8"/>
    <n v="0"/>
    <x v="200"/>
    <x v="1"/>
    <n v="13112.604799999999"/>
  </r>
  <r>
    <x v="0"/>
    <n v="36.700000000000003"/>
    <x v="1"/>
    <x v="1"/>
    <x v="1"/>
    <x v="2"/>
    <x v="43"/>
    <n v="0"/>
    <x v="38"/>
    <x v="3"/>
    <n v="10848.1343"/>
  </r>
  <r>
    <x v="0"/>
    <n v="33.4"/>
    <x v="1"/>
    <x v="1"/>
    <x v="1"/>
    <x v="2"/>
    <x v="30"/>
    <n v="0"/>
    <x v="6"/>
    <x v="0"/>
    <n v="12231.613600000001"/>
  </r>
  <r>
    <x v="0"/>
    <n v="40.700000000000003"/>
    <x v="1"/>
    <x v="1"/>
    <x v="1"/>
    <x v="3"/>
    <x v="43"/>
    <n v="0"/>
    <x v="399"/>
    <x v="0"/>
    <n v="9875.6803999999993"/>
  </r>
  <r>
    <x v="1"/>
    <n v="36.6"/>
    <x v="1"/>
    <x v="1"/>
    <x v="1"/>
    <x v="0"/>
    <x v="31"/>
    <n v="0"/>
    <x v="400"/>
    <x v="2"/>
    <n v="11264.540999999999"/>
  </r>
  <r>
    <x v="1"/>
    <n v="37.4"/>
    <x v="1"/>
    <x v="1"/>
    <x v="1"/>
    <x v="0"/>
    <x v="10"/>
    <n v="0"/>
    <x v="116"/>
    <x v="0"/>
    <n v="12979.358"/>
  </r>
  <r>
    <x v="1"/>
    <n v="35.4"/>
    <x v="1"/>
    <x v="1"/>
    <x v="1"/>
    <x v="0"/>
    <x v="0"/>
    <n v="0"/>
    <x v="401"/>
    <x v="0"/>
    <n v="1263.249"/>
  </r>
  <r>
    <x v="0"/>
    <n v="27.1"/>
    <x v="0"/>
    <x v="1"/>
    <x v="1"/>
    <x v="3"/>
    <x v="45"/>
    <n v="0"/>
    <x v="402"/>
    <x v="1"/>
    <n v="10106.1342"/>
  </r>
  <r>
    <x v="0"/>
    <n v="39.1"/>
    <x v="1"/>
    <x v="0"/>
    <x v="0"/>
    <x v="1"/>
    <x v="15"/>
    <n v="1"/>
    <x v="266"/>
    <x v="2"/>
    <n v="40932.429499999998"/>
  </r>
  <r>
    <x v="1"/>
    <n v="28.4"/>
    <x v="0"/>
    <x v="1"/>
    <x v="1"/>
    <x v="2"/>
    <x v="24"/>
    <n v="0"/>
    <x v="403"/>
    <x v="1"/>
    <n v="6664.6859999999997"/>
  </r>
  <r>
    <x v="0"/>
    <n v="21.8"/>
    <x v="2"/>
    <x v="0"/>
    <x v="0"/>
    <x v="3"/>
    <x v="38"/>
    <n v="1"/>
    <x v="404"/>
    <x v="1"/>
    <n v="16657.717400000001"/>
  </r>
  <r>
    <x v="0"/>
    <n v="40.299999999999997"/>
    <x v="1"/>
    <x v="1"/>
    <x v="1"/>
    <x v="3"/>
    <x v="1"/>
    <n v="0"/>
    <x v="405"/>
    <x v="0"/>
    <n v="2217.6012000000001"/>
  </r>
  <r>
    <x v="0"/>
    <n v="36.1"/>
    <x v="1"/>
    <x v="1"/>
    <x v="1"/>
    <x v="1"/>
    <x v="24"/>
    <n v="0"/>
    <x v="168"/>
    <x v="1"/>
    <n v="6781.3541999999998"/>
  </r>
  <r>
    <x v="1"/>
    <n v="24.4"/>
    <x v="2"/>
    <x v="0"/>
    <x v="0"/>
    <x v="1"/>
    <x v="22"/>
    <n v="1"/>
    <x v="137"/>
    <x v="2"/>
    <n v="19361.998800000001"/>
  </r>
  <r>
    <x v="1"/>
    <n v="21.4"/>
    <x v="2"/>
    <x v="1"/>
    <x v="1"/>
    <x v="0"/>
    <x v="31"/>
    <n v="0"/>
    <x v="343"/>
    <x v="1"/>
    <n v="10065.413"/>
  </r>
  <r>
    <x v="0"/>
    <n v="30.1"/>
    <x v="1"/>
    <x v="1"/>
    <x v="1"/>
    <x v="0"/>
    <x v="23"/>
    <n v="0"/>
    <x v="406"/>
    <x v="2"/>
    <n v="4234.9269999999997"/>
  </r>
  <r>
    <x v="0"/>
    <n v="27.3"/>
    <x v="0"/>
    <x v="1"/>
    <x v="1"/>
    <x v="3"/>
    <x v="28"/>
    <n v="0"/>
    <x v="288"/>
    <x v="1"/>
    <n v="9447.2504000000008"/>
  </r>
  <r>
    <x v="0"/>
    <n v="32.1"/>
    <x v="1"/>
    <x v="1"/>
    <x v="1"/>
    <x v="0"/>
    <x v="17"/>
    <n v="0"/>
    <x v="407"/>
    <x v="2"/>
    <n v="14007.222"/>
  </r>
  <r>
    <x v="0"/>
    <n v="34.799999999999997"/>
    <x v="1"/>
    <x v="1"/>
    <x v="1"/>
    <x v="2"/>
    <x v="41"/>
    <n v="0"/>
    <x v="47"/>
    <x v="1"/>
    <n v="9583.8932999999997"/>
  </r>
  <r>
    <x v="0"/>
    <n v="38.4"/>
    <x v="1"/>
    <x v="0"/>
    <x v="0"/>
    <x v="1"/>
    <x v="7"/>
    <n v="1"/>
    <x v="186"/>
    <x v="0"/>
    <n v="40419.019099999998"/>
  </r>
  <r>
    <x v="1"/>
    <n v="23.7"/>
    <x v="2"/>
    <x v="1"/>
    <x v="1"/>
    <x v="0"/>
    <x v="21"/>
    <n v="0"/>
    <x v="408"/>
    <x v="3"/>
    <n v="3484.3310000000001"/>
  </r>
  <r>
    <x v="1"/>
    <n v="31.7"/>
    <x v="1"/>
    <x v="0"/>
    <x v="0"/>
    <x v="3"/>
    <x v="11"/>
    <n v="1"/>
    <x v="294"/>
    <x v="2"/>
    <n v="36189.101699999999"/>
  </r>
  <r>
    <x v="1"/>
    <n v="35.5"/>
    <x v="1"/>
    <x v="0"/>
    <x v="0"/>
    <x v="0"/>
    <x v="38"/>
    <n v="1"/>
    <x v="409"/>
    <x v="3"/>
    <n v="44585.455900000001"/>
  </r>
  <r>
    <x v="1"/>
    <n v="24"/>
    <x v="2"/>
    <x v="1"/>
    <x v="1"/>
    <x v="3"/>
    <x v="39"/>
    <n v="0"/>
    <x v="167"/>
    <x v="3"/>
    <n v="8604.4835999999996"/>
  </r>
  <r>
    <x v="1"/>
    <n v="29.2"/>
    <x v="0"/>
    <x v="0"/>
    <x v="0"/>
    <x v="1"/>
    <x v="13"/>
    <n v="1"/>
    <x v="410"/>
    <x v="0"/>
    <n v="18246.495500000001"/>
  </r>
  <r>
    <x v="1"/>
    <n v="34.1"/>
    <x v="1"/>
    <x v="0"/>
    <x v="0"/>
    <x v="3"/>
    <x v="31"/>
    <n v="1"/>
    <x v="237"/>
    <x v="0"/>
    <n v="43254.417999999998"/>
  </r>
  <r>
    <x v="0"/>
    <n v="26.6"/>
    <x v="0"/>
    <x v="1"/>
    <x v="1"/>
    <x v="1"/>
    <x v="5"/>
    <n v="0"/>
    <x v="217"/>
    <x v="0"/>
    <n v="3757.8447999999999"/>
  </r>
  <r>
    <x v="1"/>
    <n v="26.4"/>
    <x v="0"/>
    <x v="1"/>
    <x v="1"/>
    <x v="2"/>
    <x v="45"/>
    <n v="0"/>
    <x v="154"/>
    <x v="0"/>
    <n v="8827.2098999999998"/>
  </r>
  <r>
    <x v="0"/>
    <n v="30.1"/>
    <x v="1"/>
    <x v="1"/>
    <x v="1"/>
    <x v="2"/>
    <x v="45"/>
    <n v="0"/>
    <x v="95"/>
    <x v="1"/>
    <n v="9910.3598000000002"/>
  </r>
  <r>
    <x v="1"/>
    <n v="27"/>
    <x v="0"/>
    <x v="1"/>
    <x v="1"/>
    <x v="0"/>
    <x v="16"/>
    <n v="0"/>
    <x v="411"/>
    <x v="3"/>
    <n v="11737.8488"/>
  </r>
  <r>
    <x v="1"/>
    <n v="21.8"/>
    <x v="2"/>
    <x v="1"/>
    <x v="1"/>
    <x v="2"/>
    <x v="0"/>
    <n v="0"/>
    <x v="404"/>
    <x v="0"/>
    <n v="1627.2824000000001"/>
  </r>
  <r>
    <x v="0"/>
    <n v="36"/>
    <x v="1"/>
    <x v="1"/>
    <x v="1"/>
    <x v="0"/>
    <x v="42"/>
    <n v="0"/>
    <x v="126"/>
    <x v="1"/>
    <n v="8556.9069999999992"/>
  </r>
  <r>
    <x v="1"/>
    <n v="30.9"/>
    <x v="1"/>
    <x v="1"/>
    <x v="1"/>
    <x v="2"/>
    <x v="2"/>
    <n v="0"/>
    <x v="99"/>
    <x v="0"/>
    <n v="3062.5082000000002"/>
  </r>
  <r>
    <x v="0"/>
    <n v="26.4"/>
    <x v="0"/>
    <x v="0"/>
    <x v="0"/>
    <x v="1"/>
    <x v="7"/>
    <n v="1"/>
    <x v="170"/>
    <x v="0"/>
    <n v="19539.242999999999"/>
  </r>
  <r>
    <x v="1"/>
    <n v="29"/>
    <x v="0"/>
    <x v="1"/>
    <x v="1"/>
    <x v="2"/>
    <x v="27"/>
    <n v="0"/>
    <x v="111"/>
    <x v="0"/>
    <n v="1906.3581999999999"/>
  </r>
  <r>
    <x v="1"/>
    <n v="37.9"/>
    <x v="1"/>
    <x v="1"/>
    <x v="1"/>
    <x v="2"/>
    <x v="33"/>
    <n v="0"/>
    <x v="412"/>
    <x v="0"/>
    <n v="14210.536"/>
  </r>
  <r>
    <x v="0"/>
    <n v="22.8"/>
    <x v="2"/>
    <x v="1"/>
    <x v="1"/>
    <x v="1"/>
    <x v="30"/>
    <n v="0"/>
    <x v="413"/>
    <x v="0"/>
    <n v="11833.782300000001"/>
  </r>
  <r>
    <x v="1"/>
    <n v="33.6"/>
    <x v="1"/>
    <x v="1"/>
    <x v="1"/>
    <x v="3"/>
    <x v="23"/>
    <n v="0"/>
    <x v="51"/>
    <x v="5"/>
    <n v="17128.426100000001"/>
  </r>
  <r>
    <x v="1"/>
    <n v="27.6"/>
    <x v="0"/>
    <x v="1"/>
    <x v="1"/>
    <x v="3"/>
    <x v="5"/>
    <n v="0"/>
    <x v="215"/>
    <x v="3"/>
    <n v="5031.2695999999996"/>
  </r>
  <r>
    <x v="0"/>
    <n v="22.8"/>
    <x v="2"/>
    <x v="1"/>
    <x v="1"/>
    <x v="3"/>
    <x v="46"/>
    <n v="0"/>
    <x v="414"/>
    <x v="2"/>
    <n v="7985.8149999999996"/>
  </r>
  <r>
    <x v="0"/>
    <n v="27.8"/>
    <x v="0"/>
    <x v="0"/>
    <x v="0"/>
    <x v="1"/>
    <x v="42"/>
    <n v="1"/>
    <x v="138"/>
    <x v="0"/>
    <n v="23065.420699999999"/>
  </r>
  <r>
    <x v="1"/>
    <n v="37.4"/>
    <x v="1"/>
    <x v="1"/>
    <x v="1"/>
    <x v="3"/>
    <x v="15"/>
    <n v="0"/>
    <x v="133"/>
    <x v="2"/>
    <n v="5428.7277000000004"/>
  </r>
  <r>
    <x v="1"/>
    <n v="38.200000000000003"/>
    <x v="1"/>
    <x v="0"/>
    <x v="0"/>
    <x v="1"/>
    <x v="1"/>
    <n v="1"/>
    <x v="271"/>
    <x v="0"/>
    <n v="36307.798300000002"/>
  </r>
  <r>
    <x v="0"/>
    <n v="34.6"/>
    <x v="1"/>
    <x v="1"/>
    <x v="1"/>
    <x v="3"/>
    <x v="20"/>
    <n v="0"/>
    <x v="415"/>
    <x v="3"/>
    <n v="3925.7582000000002"/>
  </r>
  <r>
    <x v="1"/>
    <n v="35.200000000000003"/>
    <x v="1"/>
    <x v="1"/>
    <x v="1"/>
    <x v="0"/>
    <x v="11"/>
    <n v="0"/>
    <x v="49"/>
    <x v="1"/>
    <n v="2416.9549999999999"/>
  </r>
  <r>
    <x v="1"/>
    <n v="27.1"/>
    <x v="0"/>
    <x v="0"/>
    <x v="0"/>
    <x v="0"/>
    <x v="3"/>
    <n v="1"/>
    <x v="416"/>
    <x v="1"/>
    <n v="19040.876"/>
  </r>
  <r>
    <x v="1"/>
    <n v="26"/>
    <x v="0"/>
    <x v="1"/>
    <x v="1"/>
    <x v="3"/>
    <x v="13"/>
    <n v="0"/>
    <x v="327"/>
    <x v="0"/>
    <n v="3070.8087"/>
  </r>
  <r>
    <x v="0"/>
    <n v="25.2"/>
    <x v="0"/>
    <x v="1"/>
    <x v="1"/>
    <x v="3"/>
    <x v="39"/>
    <n v="0"/>
    <x v="124"/>
    <x v="3"/>
    <n v="9095.0681999999997"/>
  </r>
  <r>
    <x v="0"/>
    <n v="31.8"/>
    <x v="1"/>
    <x v="1"/>
    <x v="1"/>
    <x v="2"/>
    <x v="37"/>
    <n v="0"/>
    <x v="56"/>
    <x v="0"/>
    <n v="11842.623799999999"/>
  </r>
  <r>
    <x v="1"/>
    <n v="32.299999999999997"/>
    <x v="1"/>
    <x v="1"/>
    <x v="1"/>
    <x v="0"/>
    <x v="42"/>
    <n v="0"/>
    <x v="243"/>
    <x v="1"/>
    <n v="8062.7640000000001"/>
  </r>
  <r>
    <x v="0"/>
    <n v="29"/>
    <x v="0"/>
    <x v="1"/>
    <x v="1"/>
    <x v="0"/>
    <x v="44"/>
    <n v="0"/>
    <x v="358"/>
    <x v="1"/>
    <n v="7050.6419999999998"/>
  </r>
  <r>
    <x v="0"/>
    <n v="39.700000000000003"/>
    <x v="1"/>
    <x v="1"/>
    <x v="1"/>
    <x v="0"/>
    <x v="33"/>
    <n v="0"/>
    <x v="376"/>
    <x v="0"/>
    <n v="14319.031000000001"/>
  </r>
  <r>
    <x v="0"/>
    <n v="19.5"/>
    <x v="2"/>
    <x v="1"/>
    <x v="1"/>
    <x v="2"/>
    <x v="25"/>
    <n v="0"/>
    <x v="417"/>
    <x v="3"/>
    <n v="6933.2421999999997"/>
  </r>
  <r>
    <x v="1"/>
    <n v="36.1"/>
    <x v="1"/>
    <x v="1"/>
    <x v="1"/>
    <x v="0"/>
    <x v="35"/>
    <n v="0"/>
    <x v="374"/>
    <x v="2"/>
    <n v="27941.2876"/>
  </r>
  <r>
    <x v="0"/>
    <n v="26.7"/>
    <x v="0"/>
    <x v="1"/>
    <x v="1"/>
    <x v="0"/>
    <x v="31"/>
    <n v="0"/>
    <x v="418"/>
    <x v="3"/>
    <n v="11150.78"/>
  </r>
  <r>
    <x v="0"/>
    <n v="36.5"/>
    <x v="1"/>
    <x v="1"/>
    <x v="1"/>
    <x v="3"/>
    <x v="36"/>
    <n v="0"/>
    <x v="238"/>
    <x v="0"/>
    <n v="12797.2096"/>
  </r>
  <r>
    <x v="0"/>
    <n v="28.9"/>
    <x v="0"/>
    <x v="0"/>
    <x v="0"/>
    <x v="2"/>
    <x v="0"/>
    <n v="1"/>
    <x v="4"/>
    <x v="0"/>
    <n v="17748.5062"/>
  </r>
  <r>
    <x v="1"/>
    <n v="34.200000000000003"/>
    <x v="1"/>
    <x v="1"/>
    <x v="1"/>
    <x v="2"/>
    <x v="24"/>
    <n v="0"/>
    <x v="206"/>
    <x v="3"/>
    <n v="7261.741"/>
  </r>
  <r>
    <x v="1"/>
    <n v="33.299999999999997"/>
    <x v="1"/>
    <x v="1"/>
    <x v="1"/>
    <x v="1"/>
    <x v="43"/>
    <n v="0"/>
    <x v="230"/>
    <x v="2"/>
    <n v="10560.4917"/>
  </r>
  <r>
    <x v="1"/>
    <n v="32.299999999999997"/>
    <x v="1"/>
    <x v="1"/>
    <x v="1"/>
    <x v="2"/>
    <x v="29"/>
    <n v="0"/>
    <x v="243"/>
    <x v="3"/>
    <n v="6986.6970000000001"/>
  </r>
  <r>
    <x v="1"/>
    <n v="39.799999999999997"/>
    <x v="1"/>
    <x v="1"/>
    <x v="1"/>
    <x v="3"/>
    <x v="39"/>
    <n v="0"/>
    <x v="77"/>
    <x v="0"/>
    <n v="7448.4040000000005"/>
  </r>
  <r>
    <x v="1"/>
    <n v="34.299999999999997"/>
    <x v="1"/>
    <x v="1"/>
    <x v="1"/>
    <x v="1"/>
    <x v="22"/>
    <n v="0"/>
    <x v="419"/>
    <x v="2"/>
    <n v="5934.3797999999997"/>
  </r>
  <r>
    <x v="1"/>
    <n v="28.9"/>
    <x v="0"/>
    <x v="1"/>
    <x v="1"/>
    <x v="2"/>
    <x v="31"/>
    <n v="0"/>
    <x v="4"/>
    <x v="0"/>
    <n v="9869.8101999999999"/>
  </r>
  <r>
    <x v="1"/>
    <n v="24.4"/>
    <x v="2"/>
    <x v="0"/>
    <x v="0"/>
    <x v="0"/>
    <x v="15"/>
    <n v="1"/>
    <x v="420"/>
    <x v="2"/>
    <n v="18259.216"/>
  </r>
  <r>
    <x v="1"/>
    <n v="41.1"/>
    <x v="1"/>
    <x v="1"/>
    <x v="1"/>
    <x v="1"/>
    <x v="1"/>
    <n v="0"/>
    <x v="421"/>
    <x v="0"/>
    <n v="1146.7965999999999"/>
  </r>
  <r>
    <x v="1"/>
    <n v="36"/>
    <x v="1"/>
    <x v="1"/>
    <x v="1"/>
    <x v="1"/>
    <x v="43"/>
    <n v="0"/>
    <x v="233"/>
    <x v="1"/>
    <n v="9386.1612999999998"/>
  </r>
  <r>
    <x v="0"/>
    <n v="27.6"/>
    <x v="0"/>
    <x v="0"/>
    <x v="0"/>
    <x v="0"/>
    <x v="45"/>
    <n v="1"/>
    <x v="244"/>
    <x v="1"/>
    <n v="24520.263999999999"/>
  </r>
  <r>
    <x v="0"/>
    <n v="29.3"/>
    <x v="0"/>
    <x v="1"/>
    <x v="1"/>
    <x v="1"/>
    <x v="5"/>
    <n v="0"/>
    <x v="245"/>
    <x v="1"/>
    <n v="4350.5144"/>
  </r>
  <r>
    <x v="0"/>
    <n v="27.7"/>
    <x v="0"/>
    <x v="1"/>
    <x v="1"/>
    <x v="0"/>
    <x v="22"/>
    <n v="0"/>
    <x v="224"/>
    <x v="2"/>
    <n v="6414.1779999999999"/>
  </r>
  <r>
    <x v="1"/>
    <n v="37"/>
    <x v="1"/>
    <x v="1"/>
    <x v="1"/>
    <x v="3"/>
    <x v="8"/>
    <n v="0"/>
    <x v="55"/>
    <x v="0"/>
    <n v="12741.1674"/>
  </r>
  <r>
    <x v="1"/>
    <n v="36.9"/>
    <x v="1"/>
    <x v="1"/>
    <x v="1"/>
    <x v="2"/>
    <x v="27"/>
    <n v="0"/>
    <x v="350"/>
    <x v="0"/>
    <n v="1917.3184000000001"/>
  </r>
  <r>
    <x v="1"/>
    <n v="22.5"/>
    <x v="2"/>
    <x v="1"/>
    <x v="1"/>
    <x v="3"/>
    <x v="38"/>
    <n v="0"/>
    <x v="422"/>
    <x v="2"/>
    <n v="5209.5788000000002"/>
  </r>
  <r>
    <x v="0"/>
    <n v="29.9"/>
    <x v="0"/>
    <x v="1"/>
    <x v="1"/>
    <x v="1"/>
    <x v="10"/>
    <n v="0"/>
    <x v="96"/>
    <x v="0"/>
    <n v="13457.960800000001"/>
  </r>
  <r>
    <x v="0"/>
    <n v="41.8"/>
    <x v="1"/>
    <x v="1"/>
    <x v="1"/>
    <x v="1"/>
    <x v="46"/>
    <n v="0"/>
    <x v="423"/>
    <x v="0"/>
    <n v="5662.2250000000004"/>
  </r>
  <r>
    <x v="1"/>
    <n v="27.6"/>
    <x v="0"/>
    <x v="1"/>
    <x v="1"/>
    <x v="0"/>
    <x v="0"/>
    <n v="0"/>
    <x v="244"/>
    <x v="0"/>
    <n v="1252.4069999999999"/>
  </r>
  <r>
    <x v="0"/>
    <n v="23.2"/>
    <x v="2"/>
    <x v="1"/>
    <x v="1"/>
    <x v="3"/>
    <x v="20"/>
    <n v="0"/>
    <x v="247"/>
    <x v="0"/>
    <n v="2731.9122000000002"/>
  </r>
  <r>
    <x v="1"/>
    <n v="20.9"/>
    <x v="2"/>
    <x v="0"/>
    <x v="0"/>
    <x v="1"/>
    <x v="31"/>
    <n v="1"/>
    <x v="192"/>
    <x v="0"/>
    <n v="21195.817999999999"/>
  </r>
  <r>
    <x v="0"/>
    <n v="31.9"/>
    <x v="1"/>
    <x v="1"/>
    <x v="1"/>
    <x v="2"/>
    <x v="46"/>
    <n v="0"/>
    <x v="23"/>
    <x v="3"/>
    <n v="7209.4917999999998"/>
  </r>
  <r>
    <x v="1"/>
    <n v="28.5"/>
    <x v="0"/>
    <x v="0"/>
    <x v="0"/>
    <x v="2"/>
    <x v="13"/>
    <n v="1"/>
    <x v="70"/>
    <x v="0"/>
    <n v="18310.741999999998"/>
  </r>
  <r>
    <x v="1"/>
    <n v="44.2"/>
    <x v="1"/>
    <x v="1"/>
    <x v="1"/>
    <x v="1"/>
    <x v="15"/>
    <n v="0"/>
    <x v="333"/>
    <x v="3"/>
    <n v="4266.1657999999998"/>
  </r>
  <r>
    <x v="0"/>
    <n v="22.9"/>
    <x v="2"/>
    <x v="1"/>
    <x v="1"/>
    <x v="3"/>
    <x v="15"/>
    <n v="0"/>
    <x v="83"/>
    <x v="1"/>
    <n v="4719.5240000000003"/>
  </r>
  <r>
    <x v="0"/>
    <n v="33.1"/>
    <x v="1"/>
    <x v="1"/>
    <x v="1"/>
    <x v="0"/>
    <x v="30"/>
    <n v="0"/>
    <x v="291"/>
    <x v="0"/>
    <n v="11848.141"/>
  </r>
  <r>
    <x v="1"/>
    <n v="24.8"/>
    <x v="2"/>
    <x v="0"/>
    <x v="0"/>
    <x v="3"/>
    <x v="3"/>
    <n v="1"/>
    <x v="88"/>
    <x v="0"/>
    <n v="17904.526999999998"/>
  </r>
  <r>
    <x v="0"/>
    <n v="26.2"/>
    <x v="0"/>
    <x v="1"/>
    <x v="1"/>
    <x v="1"/>
    <x v="44"/>
    <n v="0"/>
    <x v="424"/>
    <x v="1"/>
    <n v="7046.7222000000002"/>
  </r>
  <r>
    <x v="0"/>
    <n v="36"/>
    <x v="1"/>
    <x v="1"/>
    <x v="1"/>
    <x v="1"/>
    <x v="33"/>
    <n v="0"/>
    <x v="233"/>
    <x v="0"/>
    <n v="14313.846299999999"/>
  </r>
  <r>
    <x v="1"/>
    <n v="22.3"/>
    <x v="2"/>
    <x v="1"/>
    <x v="1"/>
    <x v="0"/>
    <x v="27"/>
    <n v="0"/>
    <x v="169"/>
    <x v="1"/>
    <n v="2103.08"/>
  </r>
  <r>
    <x v="0"/>
    <n v="42.2"/>
    <x v="1"/>
    <x v="0"/>
    <x v="0"/>
    <x v="1"/>
    <x v="1"/>
    <n v="1"/>
    <x v="425"/>
    <x v="0"/>
    <n v="38792.685599999997"/>
  </r>
  <r>
    <x v="1"/>
    <n v="26.5"/>
    <x v="0"/>
    <x v="1"/>
    <x v="1"/>
    <x v="1"/>
    <x v="11"/>
    <n v="0"/>
    <x v="426"/>
    <x v="0"/>
    <n v="1815.8759"/>
  </r>
  <r>
    <x v="0"/>
    <n v="35.799999999999997"/>
    <x v="1"/>
    <x v="1"/>
    <x v="1"/>
    <x v="2"/>
    <x v="39"/>
    <n v="0"/>
    <x v="427"/>
    <x v="0"/>
    <n v="7731.8577999999998"/>
  </r>
  <r>
    <x v="0"/>
    <n v="41.4"/>
    <x v="1"/>
    <x v="1"/>
    <x v="1"/>
    <x v="2"/>
    <x v="29"/>
    <n v="0"/>
    <x v="428"/>
    <x v="1"/>
    <n v="28476.735000000001"/>
  </r>
  <r>
    <x v="0"/>
    <n v="36.6"/>
    <x v="1"/>
    <x v="1"/>
    <x v="1"/>
    <x v="2"/>
    <x v="0"/>
    <n v="0"/>
    <x v="429"/>
    <x v="0"/>
    <n v="2136.8822"/>
  </r>
  <r>
    <x v="1"/>
    <n v="30.1"/>
    <x v="1"/>
    <x v="1"/>
    <x v="1"/>
    <x v="1"/>
    <x v="1"/>
    <n v="0"/>
    <x v="307"/>
    <x v="0"/>
    <n v="1131.5065999999999"/>
  </r>
  <r>
    <x v="1"/>
    <n v="25.8"/>
    <x v="0"/>
    <x v="1"/>
    <x v="1"/>
    <x v="3"/>
    <x v="9"/>
    <n v="0"/>
    <x v="9"/>
    <x v="1"/>
    <n v="3309.7926000000002"/>
  </r>
  <r>
    <x v="0"/>
    <n v="30.8"/>
    <x v="1"/>
    <x v="1"/>
    <x v="1"/>
    <x v="0"/>
    <x v="6"/>
    <n v="0"/>
    <x v="43"/>
    <x v="2"/>
    <n v="9414.92"/>
  </r>
  <r>
    <x v="0"/>
    <n v="42.9"/>
    <x v="1"/>
    <x v="1"/>
    <x v="1"/>
    <x v="2"/>
    <x v="3"/>
    <n v="0"/>
    <x v="430"/>
    <x v="2"/>
    <n v="6360.9935999999998"/>
  </r>
  <r>
    <x v="1"/>
    <n v="21"/>
    <x v="2"/>
    <x v="1"/>
    <x v="1"/>
    <x v="1"/>
    <x v="40"/>
    <n v="0"/>
    <x v="431"/>
    <x v="3"/>
    <n v="11013.7119"/>
  </r>
  <r>
    <x v="1"/>
    <n v="22.5"/>
    <x v="2"/>
    <x v="1"/>
    <x v="1"/>
    <x v="3"/>
    <x v="2"/>
    <n v="0"/>
    <x v="422"/>
    <x v="3"/>
    <n v="4428.8878000000004"/>
  </r>
  <r>
    <x v="1"/>
    <n v="34.4"/>
    <x v="1"/>
    <x v="1"/>
    <x v="1"/>
    <x v="1"/>
    <x v="26"/>
    <n v="0"/>
    <x v="53"/>
    <x v="3"/>
    <n v="5584.3056999999999"/>
  </r>
  <r>
    <x v="0"/>
    <n v="31.5"/>
    <x v="1"/>
    <x v="1"/>
    <x v="1"/>
    <x v="1"/>
    <x v="34"/>
    <n v="0"/>
    <x v="262"/>
    <x v="0"/>
    <n v="1877.9294"/>
  </r>
  <r>
    <x v="0"/>
    <n v="24.2"/>
    <x v="2"/>
    <x v="1"/>
    <x v="1"/>
    <x v="2"/>
    <x v="23"/>
    <n v="0"/>
    <x v="432"/>
    <x v="0"/>
    <n v="2842.7608"/>
  </r>
  <r>
    <x v="1"/>
    <n v="37.1"/>
    <x v="1"/>
    <x v="1"/>
    <x v="1"/>
    <x v="0"/>
    <x v="11"/>
    <n v="0"/>
    <x v="109"/>
    <x v="2"/>
    <n v="3597.596"/>
  </r>
  <r>
    <x v="0"/>
    <n v="26.1"/>
    <x v="0"/>
    <x v="0"/>
    <x v="0"/>
    <x v="3"/>
    <x v="42"/>
    <n v="1"/>
    <x v="388"/>
    <x v="1"/>
    <n v="23401.305799999998"/>
  </r>
  <r>
    <x v="0"/>
    <n v="35.5"/>
    <x v="1"/>
    <x v="0"/>
    <x v="0"/>
    <x v="2"/>
    <x v="3"/>
    <n v="1"/>
    <x v="76"/>
    <x v="0"/>
    <n v="55135.402099999999"/>
  </r>
  <r>
    <x v="1"/>
    <n v="33.700000000000003"/>
    <x v="1"/>
    <x v="1"/>
    <x v="1"/>
    <x v="0"/>
    <x v="39"/>
    <n v="0"/>
    <x v="175"/>
    <x v="1"/>
    <n v="7445.9179999999997"/>
  </r>
  <r>
    <x v="1"/>
    <n v="17.7"/>
    <x v="3"/>
    <x v="1"/>
    <x v="1"/>
    <x v="2"/>
    <x v="21"/>
    <n v="0"/>
    <x v="433"/>
    <x v="0"/>
    <n v="2680.9493000000002"/>
  </r>
  <r>
    <x v="0"/>
    <n v="31.1"/>
    <x v="1"/>
    <x v="1"/>
    <x v="1"/>
    <x v="1"/>
    <x v="1"/>
    <n v="0"/>
    <x v="360"/>
    <x v="0"/>
    <n v="1621.8827000000001"/>
  </r>
  <r>
    <x v="0"/>
    <n v="29.8"/>
    <x v="0"/>
    <x v="1"/>
    <x v="1"/>
    <x v="1"/>
    <x v="36"/>
    <n v="0"/>
    <x v="382"/>
    <x v="3"/>
    <n v="8219.2039000000004"/>
  </r>
  <r>
    <x v="1"/>
    <n v="24.3"/>
    <x v="2"/>
    <x v="1"/>
    <x v="1"/>
    <x v="2"/>
    <x v="8"/>
    <n v="0"/>
    <x v="200"/>
    <x v="0"/>
    <n v="12523.604799999999"/>
  </r>
  <r>
    <x v="0"/>
    <n v="31.8"/>
    <x v="1"/>
    <x v="1"/>
    <x v="1"/>
    <x v="3"/>
    <x v="33"/>
    <n v="0"/>
    <x v="56"/>
    <x v="3"/>
    <n v="16069.084800000001"/>
  </r>
  <r>
    <x v="1"/>
    <n v="31.8"/>
    <x v="1"/>
    <x v="0"/>
    <x v="0"/>
    <x v="1"/>
    <x v="12"/>
    <n v="1"/>
    <x v="211"/>
    <x v="3"/>
    <n v="43813.866099999999"/>
  </r>
  <r>
    <x v="1"/>
    <n v="28"/>
    <x v="0"/>
    <x v="0"/>
    <x v="0"/>
    <x v="3"/>
    <x v="26"/>
    <n v="1"/>
    <x v="24"/>
    <x v="1"/>
    <n v="20773.627799999998"/>
  </r>
  <r>
    <x v="1"/>
    <n v="30.8"/>
    <x v="1"/>
    <x v="0"/>
    <x v="0"/>
    <x v="3"/>
    <x v="24"/>
    <n v="1"/>
    <x v="16"/>
    <x v="2"/>
    <n v="39597.407200000001"/>
  </r>
  <r>
    <x v="1"/>
    <n v="21.9"/>
    <x v="2"/>
    <x v="1"/>
    <x v="1"/>
    <x v="2"/>
    <x v="46"/>
    <n v="0"/>
    <x v="361"/>
    <x v="1"/>
    <n v="6117.4944999999998"/>
  </r>
  <r>
    <x v="1"/>
    <n v="33.1"/>
    <x v="1"/>
    <x v="1"/>
    <x v="1"/>
    <x v="0"/>
    <x v="18"/>
    <n v="0"/>
    <x v="291"/>
    <x v="0"/>
    <n v="13393.755999999999"/>
  </r>
  <r>
    <x v="0"/>
    <n v="25.8"/>
    <x v="0"/>
    <x v="1"/>
    <x v="1"/>
    <x v="2"/>
    <x v="26"/>
    <n v="0"/>
    <x v="9"/>
    <x v="0"/>
    <n v="5266.3656000000001"/>
  </r>
  <r>
    <x v="0"/>
    <n v="23.8"/>
    <x v="2"/>
    <x v="1"/>
    <x v="1"/>
    <x v="2"/>
    <x v="2"/>
    <n v="0"/>
    <x v="17"/>
    <x v="3"/>
    <n v="4719.7366000000002"/>
  </r>
  <r>
    <x v="1"/>
    <n v="34.4"/>
    <x v="1"/>
    <x v="1"/>
    <x v="1"/>
    <x v="2"/>
    <x v="30"/>
    <n v="0"/>
    <x v="226"/>
    <x v="0"/>
    <n v="11743.9341"/>
  </r>
  <r>
    <x v="1"/>
    <n v="33.799999999999997"/>
    <x v="1"/>
    <x v="1"/>
    <x v="1"/>
    <x v="2"/>
    <x v="26"/>
    <n v="0"/>
    <x v="312"/>
    <x v="1"/>
    <n v="5377.4578000000001"/>
  </r>
  <r>
    <x v="1"/>
    <n v="36"/>
    <x v="1"/>
    <x v="1"/>
    <x v="1"/>
    <x v="1"/>
    <x v="44"/>
    <n v="0"/>
    <x v="233"/>
    <x v="3"/>
    <n v="7160.3302999999996"/>
  </r>
  <r>
    <x v="1"/>
    <n v="31.5"/>
    <x v="1"/>
    <x v="1"/>
    <x v="1"/>
    <x v="0"/>
    <x v="26"/>
    <n v="0"/>
    <x v="434"/>
    <x v="0"/>
    <n v="4402.2330000000002"/>
  </r>
  <r>
    <x v="0"/>
    <n v="28.3"/>
    <x v="0"/>
    <x v="1"/>
    <x v="1"/>
    <x v="3"/>
    <x v="12"/>
    <n v="0"/>
    <x v="33"/>
    <x v="0"/>
    <n v="11657.7189"/>
  </r>
  <r>
    <x v="0"/>
    <n v="23.5"/>
    <x v="2"/>
    <x v="1"/>
    <x v="1"/>
    <x v="3"/>
    <x v="22"/>
    <n v="0"/>
    <x v="352"/>
    <x v="3"/>
    <n v="6402.2914000000001"/>
  </r>
  <r>
    <x v="0"/>
    <n v="31.4"/>
    <x v="1"/>
    <x v="1"/>
    <x v="1"/>
    <x v="2"/>
    <x v="17"/>
    <n v="0"/>
    <x v="112"/>
    <x v="0"/>
    <n v="12622.1795"/>
  </r>
  <r>
    <x v="1"/>
    <n v="31.1"/>
    <x v="1"/>
    <x v="1"/>
    <x v="1"/>
    <x v="0"/>
    <x v="27"/>
    <n v="0"/>
    <x v="435"/>
    <x v="0"/>
    <n v="1526.3119999999999"/>
  </r>
  <r>
    <x v="1"/>
    <n v="24.7"/>
    <x v="2"/>
    <x v="1"/>
    <x v="1"/>
    <x v="3"/>
    <x v="17"/>
    <n v="0"/>
    <x v="62"/>
    <x v="0"/>
    <n v="12323.936"/>
  </r>
  <r>
    <x v="0"/>
    <n v="32.799999999999997"/>
    <x v="1"/>
    <x v="0"/>
    <x v="0"/>
    <x v="1"/>
    <x v="11"/>
    <n v="1"/>
    <x v="436"/>
    <x v="3"/>
    <n v="36021.011200000001"/>
  </r>
  <r>
    <x v="0"/>
    <n v="29.8"/>
    <x v="0"/>
    <x v="0"/>
    <x v="0"/>
    <x v="1"/>
    <x v="37"/>
    <n v="1"/>
    <x v="382"/>
    <x v="0"/>
    <n v="27533.912899999999"/>
  </r>
  <r>
    <x v="1"/>
    <n v="30.5"/>
    <x v="1"/>
    <x v="1"/>
    <x v="1"/>
    <x v="3"/>
    <x v="31"/>
    <n v="0"/>
    <x v="131"/>
    <x v="0"/>
    <n v="10072.055"/>
  </r>
  <r>
    <x v="0"/>
    <n v="32.5"/>
    <x v="1"/>
    <x v="0"/>
    <x v="0"/>
    <x v="1"/>
    <x v="8"/>
    <n v="1"/>
    <x v="437"/>
    <x v="0"/>
    <n v="45008.955499999996"/>
  </r>
  <r>
    <x v="0"/>
    <n v="34.200000000000003"/>
    <x v="1"/>
    <x v="1"/>
    <x v="1"/>
    <x v="0"/>
    <x v="43"/>
    <n v="0"/>
    <x v="206"/>
    <x v="1"/>
    <n v="9872.7009999999991"/>
  </r>
  <r>
    <x v="1"/>
    <n v="50.4"/>
    <x v="1"/>
    <x v="1"/>
    <x v="1"/>
    <x v="1"/>
    <x v="11"/>
    <n v="0"/>
    <x v="438"/>
    <x v="1"/>
    <n v="2438.0551999999998"/>
  </r>
  <r>
    <x v="0"/>
    <n v="24.1"/>
    <x v="2"/>
    <x v="1"/>
    <x v="1"/>
    <x v="0"/>
    <x v="13"/>
    <n v="0"/>
    <x v="390"/>
    <x v="0"/>
    <n v="2974.1260000000002"/>
  </r>
  <r>
    <x v="1"/>
    <n v="32.799999999999997"/>
    <x v="1"/>
    <x v="1"/>
    <x v="1"/>
    <x v="2"/>
    <x v="19"/>
    <n v="0"/>
    <x v="27"/>
    <x v="0"/>
    <n v="10601.6322"/>
  </r>
  <r>
    <x v="0"/>
    <n v="30.8"/>
    <x v="1"/>
    <x v="0"/>
    <x v="0"/>
    <x v="3"/>
    <x v="7"/>
    <n v="1"/>
    <x v="16"/>
    <x v="0"/>
    <n v="37270.1512"/>
  </r>
  <r>
    <x v="1"/>
    <n v="32.299999999999997"/>
    <x v="1"/>
    <x v="1"/>
    <x v="1"/>
    <x v="2"/>
    <x v="35"/>
    <n v="0"/>
    <x v="243"/>
    <x v="3"/>
    <n v="14119.62"/>
  </r>
  <r>
    <x v="0"/>
    <n v="35.5"/>
    <x v="1"/>
    <x v="0"/>
    <x v="0"/>
    <x v="3"/>
    <x v="6"/>
    <n v="1"/>
    <x v="76"/>
    <x v="0"/>
    <n v="42111.664700000001"/>
  </r>
  <r>
    <x v="0"/>
    <n v="23.8"/>
    <x v="2"/>
    <x v="1"/>
    <x v="1"/>
    <x v="3"/>
    <x v="31"/>
    <n v="0"/>
    <x v="110"/>
    <x v="3"/>
    <n v="11729.6795"/>
  </r>
  <r>
    <x v="0"/>
    <n v="23.8"/>
    <x v="2"/>
    <x v="0"/>
    <x v="0"/>
    <x v="3"/>
    <x v="41"/>
    <n v="1"/>
    <x v="17"/>
    <x v="2"/>
    <n v="24106.9126"/>
  </r>
  <r>
    <x v="0"/>
    <n v="29.6"/>
    <x v="0"/>
    <x v="1"/>
    <x v="1"/>
    <x v="0"/>
    <x v="34"/>
    <n v="0"/>
    <x v="303"/>
    <x v="0"/>
    <n v="1875.3440000000001"/>
  </r>
  <r>
    <x v="0"/>
    <n v="33.1"/>
    <x v="1"/>
    <x v="0"/>
    <x v="0"/>
    <x v="1"/>
    <x v="28"/>
    <n v="1"/>
    <x v="293"/>
    <x v="0"/>
    <n v="40974.164900000003"/>
  </r>
  <r>
    <x v="1"/>
    <n v="24.1"/>
    <x v="2"/>
    <x v="0"/>
    <x v="0"/>
    <x v="2"/>
    <x v="9"/>
    <n v="1"/>
    <x v="134"/>
    <x v="0"/>
    <n v="15817.985699999999"/>
  </r>
  <r>
    <x v="0"/>
    <n v="32.200000000000003"/>
    <x v="1"/>
    <x v="1"/>
    <x v="1"/>
    <x v="1"/>
    <x v="9"/>
    <n v="0"/>
    <x v="166"/>
    <x v="1"/>
    <n v="18218.161400000001"/>
  </r>
  <r>
    <x v="1"/>
    <n v="28.1"/>
    <x v="0"/>
    <x v="1"/>
    <x v="1"/>
    <x v="0"/>
    <x v="37"/>
    <n v="0"/>
    <x v="71"/>
    <x v="0"/>
    <n v="10965.446"/>
  </r>
  <r>
    <x v="0"/>
    <n v="47.6"/>
    <x v="1"/>
    <x v="0"/>
    <x v="0"/>
    <x v="0"/>
    <x v="7"/>
    <n v="1"/>
    <x v="439"/>
    <x v="3"/>
    <n v="46113.510999999999"/>
  </r>
  <r>
    <x v="0"/>
    <n v="28"/>
    <x v="0"/>
    <x v="1"/>
    <x v="1"/>
    <x v="0"/>
    <x v="25"/>
    <n v="0"/>
    <x v="52"/>
    <x v="2"/>
    <n v="7151.0919999999996"/>
  </r>
  <r>
    <x v="0"/>
    <n v="33.5"/>
    <x v="1"/>
    <x v="1"/>
    <x v="1"/>
    <x v="2"/>
    <x v="19"/>
    <n v="0"/>
    <x v="371"/>
    <x v="3"/>
    <n v="12269.688599999999"/>
  </r>
  <r>
    <x v="0"/>
    <n v="19.899999999999999"/>
    <x v="2"/>
    <x v="1"/>
    <x v="1"/>
    <x v="3"/>
    <x v="26"/>
    <n v="0"/>
    <x v="269"/>
    <x v="0"/>
    <n v="5458.0464000000002"/>
  </r>
  <r>
    <x v="1"/>
    <n v="25.4"/>
    <x v="0"/>
    <x v="1"/>
    <x v="1"/>
    <x v="0"/>
    <x v="43"/>
    <n v="0"/>
    <x v="440"/>
    <x v="0"/>
    <n v="8782.4689999999991"/>
  </r>
  <r>
    <x v="1"/>
    <n v="29.9"/>
    <x v="0"/>
    <x v="1"/>
    <x v="1"/>
    <x v="0"/>
    <x v="29"/>
    <n v="0"/>
    <x v="441"/>
    <x v="3"/>
    <n v="6600.3609999999999"/>
  </r>
  <r>
    <x v="1"/>
    <n v="37.299999999999997"/>
    <x v="1"/>
    <x v="1"/>
    <x v="1"/>
    <x v="1"/>
    <x v="1"/>
    <n v="0"/>
    <x v="348"/>
    <x v="0"/>
    <n v="1141.4450999999999"/>
  </r>
  <r>
    <x v="1"/>
    <n v="43.7"/>
    <x v="1"/>
    <x v="1"/>
    <x v="1"/>
    <x v="0"/>
    <x v="37"/>
    <n v="0"/>
    <x v="442"/>
    <x v="1"/>
    <n v="11576.13"/>
  </r>
  <r>
    <x v="1"/>
    <n v="23.7"/>
    <x v="2"/>
    <x v="1"/>
    <x v="1"/>
    <x v="3"/>
    <x v="35"/>
    <n v="0"/>
    <x v="367"/>
    <x v="0"/>
    <n v="13129.6034"/>
  </r>
  <r>
    <x v="0"/>
    <n v="24.3"/>
    <x v="2"/>
    <x v="1"/>
    <x v="1"/>
    <x v="0"/>
    <x v="9"/>
    <n v="0"/>
    <x v="210"/>
    <x v="2"/>
    <n v="4391.652"/>
  </r>
  <r>
    <x v="1"/>
    <n v="36.200000000000003"/>
    <x v="1"/>
    <x v="1"/>
    <x v="1"/>
    <x v="0"/>
    <x v="45"/>
    <n v="0"/>
    <x v="391"/>
    <x v="0"/>
    <n v="8457.8179999999993"/>
  </r>
  <r>
    <x v="0"/>
    <n v="29.5"/>
    <x v="0"/>
    <x v="1"/>
    <x v="1"/>
    <x v="1"/>
    <x v="21"/>
    <n v="0"/>
    <x v="364"/>
    <x v="1"/>
    <n v="3392.3652000000002"/>
  </r>
  <r>
    <x v="1"/>
    <n v="24.9"/>
    <x v="2"/>
    <x v="1"/>
    <x v="1"/>
    <x v="1"/>
    <x v="44"/>
    <n v="0"/>
    <x v="443"/>
    <x v="0"/>
    <n v="5966.8873999999996"/>
  </r>
  <r>
    <x v="1"/>
    <n v="30.1"/>
    <x v="1"/>
    <x v="1"/>
    <x v="1"/>
    <x v="0"/>
    <x v="32"/>
    <n v="0"/>
    <x v="406"/>
    <x v="1"/>
    <n v="6849.0259999999998"/>
  </r>
  <r>
    <x v="1"/>
    <n v="21.9"/>
    <x v="2"/>
    <x v="1"/>
    <x v="1"/>
    <x v="3"/>
    <x v="36"/>
    <n v="0"/>
    <x v="361"/>
    <x v="2"/>
    <n v="8891.1394999999993"/>
  </r>
  <r>
    <x v="0"/>
    <n v="28.1"/>
    <x v="0"/>
    <x v="1"/>
    <x v="1"/>
    <x v="2"/>
    <x v="11"/>
    <n v="0"/>
    <x v="213"/>
    <x v="0"/>
    <n v="2690.1138000000001"/>
  </r>
  <r>
    <x v="0"/>
    <n v="27.1"/>
    <x v="0"/>
    <x v="1"/>
    <x v="1"/>
    <x v="0"/>
    <x v="41"/>
    <n v="0"/>
    <x v="416"/>
    <x v="1"/>
    <n v="26140.3603"/>
  </r>
  <r>
    <x v="1"/>
    <n v="33.4"/>
    <x v="1"/>
    <x v="1"/>
    <x v="1"/>
    <x v="1"/>
    <x v="3"/>
    <n v="0"/>
    <x v="6"/>
    <x v="4"/>
    <n v="6653.7885999999999"/>
  </r>
  <r>
    <x v="1"/>
    <n v="28.8"/>
    <x v="0"/>
    <x v="1"/>
    <x v="1"/>
    <x v="0"/>
    <x v="24"/>
    <n v="0"/>
    <x v="444"/>
    <x v="1"/>
    <n v="6282.2349999999997"/>
  </r>
  <r>
    <x v="0"/>
    <n v="29.5"/>
    <x v="0"/>
    <x v="1"/>
    <x v="1"/>
    <x v="0"/>
    <x v="7"/>
    <n v="0"/>
    <x v="445"/>
    <x v="3"/>
    <n v="6311.9520000000002"/>
  </r>
  <r>
    <x v="1"/>
    <n v="34.799999999999997"/>
    <x v="1"/>
    <x v="1"/>
    <x v="1"/>
    <x v="0"/>
    <x v="20"/>
    <n v="0"/>
    <x v="82"/>
    <x v="2"/>
    <n v="3443.0639999999999"/>
  </r>
  <r>
    <x v="1"/>
    <n v="27.4"/>
    <x v="0"/>
    <x v="1"/>
    <x v="1"/>
    <x v="2"/>
    <x v="11"/>
    <n v="0"/>
    <x v="60"/>
    <x v="1"/>
    <n v="2789.0574000000001"/>
  </r>
  <r>
    <x v="0"/>
    <n v="22.1"/>
    <x v="2"/>
    <x v="1"/>
    <x v="1"/>
    <x v="3"/>
    <x v="27"/>
    <n v="0"/>
    <x v="188"/>
    <x v="0"/>
    <n v="2585.8506000000002"/>
  </r>
  <r>
    <x v="0"/>
    <n v="37.1"/>
    <x v="1"/>
    <x v="0"/>
    <x v="0"/>
    <x v="3"/>
    <x v="43"/>
    <n v="1"/>
    <x v="44"/>
    <x v="2"/>
    <n v="46255.112500000003"/>
  </r>
  <r>
    <x v="1"/>
    <n v="26.7"/>
    <x v="0"/>
    <x v="1"/>
    <x v="1"/>
    <x v="2"/>
    <x v="9"/>
    <n v="0"/>
    <x v="301"/>
    <x v="5"/>
    <n v="4877.9809999999998"/>
  </r>
  <r>
    <x v="1"/>
    <n v="28.9"/>
    <x v="0"/>
    <x v="0"/>
    <x v="0"/>
    <x v="1"/>
    <x v="4"/>
    <n v="1"/>
    <x v="329"/>
    <x v="1"/>
    <n v="19719.6947"/>
  </r>
  <r>
    <x v="1"/>
    <n v="29"/>
    <x v="0"/>
    <x v="0"/>
    <x v="0"/>
    <x v="3"/>
    <x v="37"/>
    <n v="1"/>
    <x v="111"/>
    <x v="0"/>
    <n v="27218.4372"/>
  </r>
  <r>
    <x v="0"/>
    <n v="30"/>
    <x v="1"/>
    <x v="1"/>
    <x v="1"/>
    <x v="2"/>
    <x v="26"/>
    <n v="0"/>
    <x v="190"/>
    <x v="0"/>
    <n v="5272.1758"/>
  </r>
  <r>
    <x v="1"/>
    <n v="39.5"/>
    <x v="1"/>
    <x v="1"/>
    <x v="1"/>
    <x v="0"/>
    <x v="20"/>
    <n v="0"/>
    <x v="318"/>
    <x v="0"/>
    <n v="1682.597"/>
  </r>
  <r>
    <x v="1"/>
    <n v="33.6"/>
    <x v="1"/>
    <x v="1"/>
    <x v="1"/>
    <x v="2"/>
    <x v="37"/>
    <n v="0"/>
    <x v="51"/>
    <x v="1"/>
    <n v="11945.1327"/>
  </r>
  <r>
    <x v="0"/>
    <n v="26.9"/>
    <x v="0"/>
    <x v="0"/>
    <x v="0"/>
    <x v="2"/>
    <x v="33"/>
    <n v="1"/>
    <x v="78"/>
    <x v="0"/>
    <n v="29330.983199999999"/>
  </r>
  <r>
    <x v="0"/>
    <n v="29"/>
    <x v="0"/>
    <x v="1"/>
    <x v="1"/>
    <x v="1"/>
    <x v="26"/>
    <n v="0"/>
    <x v="446"/>
    <x v="5"/>
    <n v="7243.8136000000004"/>
  </r>
  <r>
    <x v="1"/>
    <n v="24"/>
    <x v="2"/>
    <x v="1"/>
    <x v="1"/>
    <x v="3"/>
    <x v="40"/>
    <n v="0"/>
    <x v="167"/>
    <x v="0"/>
    <n v="10422.9166"/>
  </r>
  <r>
    <x v="1"/>
    <n v="38.9"/>
    <x v="1"/>
    <x v="0"/>
    <x v="0"/>
    <x v="1"/>
    <x v="42"/>
    <n v="1"/>
    <x v="447"/>
    <x v="3"/>
    <n v="44202.653599999998"/>
  </r>
  <r>
    <x v="1"/>
    <n v="32.1"/>
    <x v="1"/>
    <x v="1"/>
    <x v="1"/>
    <x v="3"/>
    <x v="10"/>
    <n v="0"/>
    <x v="159"/>
    <x v="0"/>
    <n v="13555.0049"/>
  </r>
  <r>
    <x v="0"/>
    <n v="44"/>
    <x v="1"/>
    <x v="1"/>
    <x v="1"/>
    <x v="0"/>
    <x v="35"/>
    <n v="0"/>
    <x v="448"/>
    <x v="0"/>
    <n v="13063.883"/>
  </r>
  <r>
    <x v="0"/>
    <n v="20"/>
    <x v="2"/>
    <x v="0"/>
    <x v="0"/>
    <x v="3"/>
    <x v="32"/>
    <n v="1"/>
    <x v="449"/>
    <x v="3"/>
    <n v="19798.054599999999"/>
  </r>
  <r>
    <x v="1"/>
    <n v="25.6"/>
    <x v="0"/>
    <x v="1"/>
    <x v="1"/>
    <x v="2"/>
    <x v="0"/>
    <n v="0"/>
    <x v="122"/>
    <x v="1"/>
    <n v="2221.5644000000002"/>
  </r>
  <r>
    <x v="0"/>
    <n v="40.299999999999997"/>
    <x v="1"/>
    <x v="1"/>
    <x v="1"/>
    <x v="1"/>
    <x v="1"/>
    <n v="0"/>
    <x v="362"/>
    <x v="0"/>
    <n v="1634.5734"/>
  </r>
  <r>
    <x v="0"/>
    <n v="22.5"/>
    <x v="2"/>
    <x v="1"/>
    <x v="1"/>
    <x v="2"/>
    <x v="0"/>
    <n v="0"/>
    <x v="422"/>
    <x v="0"/>
    <n v="2117.3388"/>
  </r>
  <r>
    <x v="1"/>
    <n v="22.5"/>
    <x v="2"/>
    <x v="1"/>
    <x v="1"/>
    <x v="3"/>
    <x v="41"/>
    <n v="0"/>
    <x v="422"/>
    <x v="0"/>
    <n v="8688.8588"/>
  </r>
  <r>
    <x v="1"/>
    <n v="40.9"/>
    <x v="1"/>
    <x v="0"/>
    <x v="0"/>
    <x v="1"/>
    <x v="8"/>
    <n v="1"/>
    <x v="450"/>
    <x v="0"/>
    <n v="48673.558799999999"/>
  </r>
  <r>
    <x v="1"/>
    <n v="27.3"/>
    <x v="0"/>
    <x v="1"/>
    <x v="1"/>
    <x v="3"/>
    <x v="21"/>
    <n v="0"/>
    <x v="288"/>
    <x v="2"/>
    <n v="4661.2864"/>
  </r>
  <r>
    <x v="1"/>
    <n v="36.9"/>
    <x v="1"/>
    <x v="1"/>
    <x v="1"/>
    <x v="1"/>
    <x v="41"/>
    <n v="0"/>
    <x v="139"/>
    <x v="0"/>
    <n v="8125.7844999999998"/>
  </r>
  <r>
    <x v="0"/>
    <n v="35.1"/>
    <x v="1"/>
    <x v="1"/>
    <x v="1"/>
    <x v="0"/>
    <x v="8"/>
    <n v="0"/>
    <x v="451"/>
    <x v="0"/>
    <n v="12644.589"/>
  </r>
  <r>
    <x v="0"/>
    <n v="29.4"/>
    <x v="0"/>
    <x v="1"/>
    <x v="1"/>
    <x v="3"/>
    <x v="21"/>
    <n v="0"/>
    <x v="452"/>
    <x v="3"/>
    <n v="4564.1913999999997"/>
  </r>
  <r>
    <x v="1"/>
    <n v="32.6"/>
    <x v="1"/>
    <x v="1"/>
    <x v="1"/>
    <x v="3"/>
    <x v="13"/>
    <n v="0"/>
    <x v="453"/>
    <x v="2"/>
    <n v="4846.9201999999996"/>
  </r>
  <r>
    <x v="0"/>
    <n v="32.299999999999997"/>
    <x v="1"/>
    <x v="1"/>
    <x v="1"/>
    <x v="1"/>
    <x v="36"/>
    <n v="0"/>
    <x v="454"/>
    <x v="1"/>
    <n v="7633.7205999999996"/>
  </r>
  <r>
    <x v="1"/>
    <n v="39.799999999999997"/>
    <x v="1"/>
    <x v="1"/>
    <x v="1"/>
    <x v="0"/>
    <x v="18"/>
    <n v="0"/>
    <x v="455"/>
    <x v="2"/>
    <n v="15170.069"/>
  </r>
  <r>
    <x v="0"/>
    <n v="24.6"/>
    <x v="2"/>
    <x v="0"/>
    <x v="0"/>
    <x v="0"/>
    <x v="4"/>
    <n v="1"/>
    <x v="15"/>
    <x v="0"/>
    <n v="17496.306"/>
  </r>
  <r>
    <x v="1"/>
    <n v="28.3"/>
    <x v="0"/>
    <x v="1"/>
    <x v="1"/>
    <x v="2"/>
    <x v="20"/>
    <n v="0"/>
    <x v="33"/>
    <x v="1"/>
    <n v="2639.0428999999999"/>
  </r>
  <r>
    <x v="1"/>
    <n v="31.7"/>
    <x v="1"/>
    <x v="0"/>
    <x v="0"/>
    <x v="3"/>
    <x v="1"/>
    <n v="1"/>
    <x v="294"/>
    <x v="0"/>
    <n v="33732.686699999998"/>
  </r>
  <r>
    <x v="0"/>
    <n v="26.7"/>
    <x v="0"/>
    <x v="1"/>
    <x v="1"/>
    <x v="2"/>
    <x v="17"/>
    <n v="0"/>
    <x v="301"/>
    <x v="2"/>
    <n v="14382.709000000001"/>
  </r>
  <r>
    <x v="0"/>
    <n v="27.5"/>
    <x v="0"/>
    <x v="1"/>
    <x v="1"/>
    <x v="0"/>
    <x v="36"/>
    <n v="0"/>
    <x v="97"/>
    <x v="1"/>
    <n v="7626.9930000000004"/>
  </r>
  <r>
    <x v="1"/>
    <n v="24.6"/>
    <x v="2"/>
    <x v="1"/>
    <x v="1"/>
    <x v="2"/>
    <x v="3"/>
    <n v="0"/>
    <x v="456"/>
    <x v="3"/>
    <n v="5257.5079999999998"/>
  </r>
  <r>
    <x v="0"/>
    <n v="34"/>
    <x v="1"/>
    <x v="1"/>
    <x v="1"/>
    <x v="1"/>
    <x v="23"/>
    <n v="0"/>
    <x v="457"/>
    <x v="0"/>
    <n v="2473.3341"/>
  </r>
  <r>
    <x v="0"/>
    <n v="26.9"/>
    <x v="0"/>
    <x v="0"/>
    <x v="0"/>
    <x v="2"/>
    <x v="32"/>
    <n v="1"/>
    <x v="78"/>
    <x v="0"/>
    <n v="21774.322199999999"/>
  </r>
  <r>
    <x v="1"/>
    <n v="22.9"/>
    <x v="2"/>
    <x v="0"/>
    <x v="0"/>
    <x v="3"/>
    <x v="39"/>
    <n v="1"/>
    <x v="83"/>
    <x v="0"/>
    <n v="35069.374499999998"/>
  </r>
  <r>
    <x v="0"/>
    <n v="28.2"/>
    <x v="0"/>
    <x v="1"/>
    <x v="1"/>
    <x v="0"/>
    <x v="35"/>
    <n v="0"/>
    <x v="458"/>
    <x v="0"/>
    <n v="13041.921"/>
  </r>
  <r>
    <x v="0"/>
    <n v="34.200000000000003"/>
    <x v="1"/>
    <x v="1"/>
    <x v="1"/>
    <x v="1"/>
    <x v="22"/>
    <n v="0"/>
    <x v="194"/>
    <x v="1"/>
    <n v="5245.2268999999997"/>
  </r>
  <r>
    <x v="0"/>
    <n v="25"/>
    <x v="0"/>
    <x v="1"/>
    <x v="1"/>
    <x v="0"/>
    <x v="10"/>
    <n v="0"/>
    <x v="459"/>
    <x v="0"/>
    <n v="13451.121999999999"/>
  </r>
  <r>
    <x v="0"/>
    <n v="33.200000000000003"/>
    <x v="1"/>
    <x v="1"/>
    <x v="1"/>
    <x v="0"/>
    <x v="10"/>
    <n v="0"/>
    <x v="460"/>
    <x v="0"/>
    <n v="13462.52"/>
  </r>
  <r>
    <x v="1"/>
    <n v="31"/>
    <x v="1"/>
    <x v="1"/>
    <x v="1"/>
    <x v="0"/>
    <x v="25"/>
    <n v="0"/>
    <x v="332"/>
    <x v="1"/>
    <n v="5488.2619999999997"/>
  </r>
  <r>
    <x v="1"/>
    <n v="35.799999999999997"/>
    <x v="1"/>
    <x v="1"/>
    <x v="1"/>
    <x v="2"/>
    <x v="16"/>
    <n v="0"/>
    <x v="427"/>
    <x v="0"/>
    <n v="4320.4107999999997"/>
  </r>
  <r>
    <x v="1"/>
    <n v="23.2"/>
    <x v="2"/>
    <x v="1"/>
    <x v="1"/>
    <x v="0"/>
    <x v="32"/>
    <n v="0"/>
    <x v="461"/>
    <x v="0"/>
    <n v="6250.4350000000004"/>
  </r>
  <r>
    <x v="1"/>
    <n v="32.1"/>
    <x v="1"/>
    <x v="1"/>
    <x v="1"/>
    <x v="3"/>
    <x v="45"/>
    <n v="0"/>
    <x v="159"/>
    <x v="3"/>
    <n v="25333.3328"/>
  </r>
  <r>
    <x v="0"/>
    <n v="23.4"/>
    <x v="2"/>
    <x v="1"/>
    <x v="1"/>
    <x v="0"/>
    <x v="0"/>
    <n v="0"/>
    <x v="305"/>
    <x v="3"/>
    <n v="2913.569"/>
  </r>
  <r>
    <x v="0"/>
    <n v="20.100000000000001"/>
    <x v="2"/>
    <x v="1"/>
    <x v="1"/>
    <x v="0"/>
    <x v="37"/>
    <n v="0"/>
    <x v="462"/>
    <x v="1"/>
    <n v="12032.325999999999"/>
  </r>
  <r>
    <x v="0"/>
    <n v="39.200000000000003"/>
    <x v="1"/>
    <x v="1"/>
    <x v="1"/>
    <x v="1"/>
    <x v="10"/>
    <n v="0"/>
    <x v="287"/>
    <x v="0"/>
    <n v="13470.804400000001"/>
  </r>
  <r>
    <x v="1"/>
    <n v="34.200000000000003"/>
    <x v="1"/>
    <x v="1"/>
    <x v="1"/>
    <x v="1"/>
    <x v="24"/>
    <n v="0"/>
    <x v="194"/>
    <x v="1"/>
    <n v="6289.7548999999999"/>
  </r>
  <r>
    <x v="1"/>
    <n v="46.5"/>
    <x v="1"/>
    <x v="1"/>
    <x v="1"/>
    <x v="1"/>
    <x v="21"/>
    <n v="0"/>
    <x v="306"/>
    <x v="1"/>
    <n v="2927.0646999999999"/>
  </r>
  <r>
    <x v="0"/>
    <n v="32.5"/>
    <x v="1"/>
    <x v="1"/>
    <x v="1"/>
    <x v="0"/>
    <x v="46"/>
    <n v="0"/>
    <x v="463"/>
    <x v="1"/>
    <n v="6238.2979999999998"/>
  </r>
  <r>
    <x v="1"/>
    <n v="25.8"/>
    <x v="0"/>
    <x v="1"/>
    <x v="1"/>
    <x v="0"/>
    <x v="6"/>
    <n v="0"/>
    <x v="335"/>
    <x v="4"/>
    <n v="10096.969999999999"/>
  </r>
  <r>
    <x v="0"/>
    <n v="35.299999999999997"/>
    <x v="1"/>
    <x v="1"/>
    <x v="1"/>
    <x v="0"/>
    <x v="39"/>
    <n v="0"/>
    <x v="19"/>
    <x v="0"/>
    <n v="7348.1419999999998"/>
  </r>
  <r>
    <x v="1"/>
    <n v="37.200000000000003"/>
    <x v="1"/>
    <x v="1"/>
    <x v="1"/>
    <x v="1"/>
    <x v="4"/>
    <n v="0"/>
    <x v="464"/>
    <x v="3"/>
    <n v="4673.3922000000002"/>
  </r>
  <r>
    <x v="0"/>
    <n v="27.5"/>
    <x v="0"/>
    <x v="1"/>
    <x v="1"/>
    <x v="0"/>
    <x v="17"/>
    <n v="0"/>
    <x v="97"/>
    <x v="0"/>
    <n v="12233.828"/>
  </r>
  <r>
    <x v="1"/>
    <n v="29.7"/>
    <x v="0"/>
    <x v="1"/>
    <x v="1"/>
    <x v="3"/>
    <x v="36"/>
    <n v="0"/>
    <x v="129"/>
    <x v="3"/>
    <n v="32108.662799999998"/>
  </r>
  <r>
    <x v="0"/>
    <n v="24.2"/>
    <x v="2"/>
    <x v="1"/>
    <x v="1"/>
    <x v="2"/>
    <x v="46"/>
    <n v="0"/>
    <x v="432"/>
    <x v="4"/>
    <n v="8965.7957999999999"/>
  </r>
  <r>
    <x v="1"/>
    <n v="26.2"/>
    <x v="0"/>
    <x v="1"/>
    <x v="1"/>
    <x v="1"/>
    <x v="1"/>
    <n v="0"/>
    <x v="424"/>
    <x v="3"/>
    <n v="2304.0021999999999"/>
  </r>
  <r>
    <x v="1"/>
    <n v="29.5"/>
    <x v="0"/>
    <x v="1"/>
    <x v="1"/>
    <x v="1"/>
    <x v="31"/>
    <n v="0"/>
    <x v="364"/>
    <x v="0"/>
    <n v="9487.6442000000006"/>
  </r>
  <r>
    <x v="1"/>
    <n v="23.2"/>
    <x v="2"/>
    <x v="1"/>
    <x v="1"/>
    <x v="1"/>
    <x v="1"/>
    <n v="0"/>
    <x v="174"/>
    <x v="0"/>
    <n v="1121.8739"/>
  </r>
  <r>
    <x v="0"/>
    <n v="46.1"/>
    <x v="1"/>
    <x v="1"/>
    <x v="1"/>
    <x v="1"/>
    <x v="45"/>
    <n v="0"/>
    <x v="465"/>
    <x v="1"/>
    <n v="9549.5650999999998"/>
  </r>
  <r>
    <x v="0"/>
    <n v="40.200000000000003"/>
    <x v="1"/>
    <x v="1"/>
    <x v="1"/>
    <x v="3"/>
    <x v="1"/>
    <n v="0"/>
    <x v="392"/>
    <x v="0"/>
    <n v="2217.4692"/>
  </r>
  <r>
    <x v="1"/>
    <n v="22.6"/>
    <x v="2"/>
    <x v="1"/>
    <x v="1"/>
    <x v="2"/>
    <x v="0"/>
    <n v="0"/>
    <x v="227"/>
    <x v="0"/>
    <n v="1628.4709"/>
  </r>
  <r>
    <x v="1"/>
    <n v="39.9"/>
    <x v="1"/>
    <x v="1"/>
    <x v="1"/>
    <x v="1"/>
    <x v="10"/>
    <n v="0"/>
    <x v="466"/>
    <x v="0"/>
    <n v="12982.8747"/>
  </r>
  <r>
    <x v="0"/>
    <n v="35.799999999999997"/>
    <x v="1"/>
    <x v="1"/>
    <x v="1"/>
    <x v="0"/>
    <x v="12"/>
    <n v="0"/>
    <x v="467"/>
    <x v="1"/>
    <n v="11674.13"/>
  </r>
  <r>
    <x v="1"/>
    <n v="35.799999999999997"/>
    <x v="1"/>
    <x v="1"/>
    <x v="1"/>
    <x v="0"/>
    <x v="44"/>
    <n v="0"/>
    <x v="467"/>
    <x v="3"/>
    <n v="7160.0940000000001"/>
  </r>
  <r>
    <x v="1"/>
    <n v="34.200000000000003"/>
    <x v="1"/>
    <x v="0"/>
    <x v="0"/>
    <x v="3"/>
    <x v="7"/>
    <n v="1"/>
    <x v="206"/>
    <x v="1"/>
    <n v="39047.285000000003"/>
  </r>
  <r>
    <x v="1"/>
    <n v="31.3"/>
    <x v="1"/>
    <x v="1"/>
    <x v="1"/>
    <x v="2"/>
    <x v="44"/>
    <n v="0"/>
    <x v="468"/>
    <x v="0"/>
    <n v="6358.7763999999997"/>
  </r>
  <r>
    <x v="1"/>
    <n v="29.7"/>
    <x v="0"/>
    <x v="0"/>
    <x v="0"/>
    <x v="0"/>
    <x v="9"/>
    <n v="1"/>
    <x v="102"/>
    <x v="2"/>
    <n v="19933.457999999999"/>
  </r>
  <r>
    <x v="1"/>
    <n v="18.3"/>
    <x v="3"/>
    <x v="1"/>
    <x v="1"/>
    <x v="3"/>
    <x v="37"/>
    <n v="0"/>
    <x v="469"/>
    <x v="0"/>
    <n v="11534.872600000001"/>
  </r>
  <r>
    <x v="1"/>
    <n v="42.9"/>
    <x v="1"/>
    <x v="0"/>
    <x v="0"/>
    <x v="1"/>
    <x v="43"/>
    <n v="1"/>
    <x v="470"/>
    <x v="3"/>
    <n v="47462.894"/>
  </r>
  <r>
    <x v="0"/>
    <n v="28.4"/>
    <x v="0"/>
    <x v="1"/>
    <x v="1"/>
    <x v="2"/>
    <x v="15"/>
    <n v="0"/>
    <x v="403"/>
    <x v="1"/>
    <n v="4527.183"/>
  </r>
  <r>
    <x v="1"/>
    <n v="30.2"/>
    <x v="1"/>
    <x v="0"/>
    <x v="0"/>
    <x v="0"/>
    <x v="36"/>
    <n v="1"/>
    <x v="204"/>
    <x v="3"/>
    <n v="38998.546000000002"/>
  </r>
  <r>
    <x v="1"/>
    <n v="27.8"/>
    <x v="0"/>
    <x v="0"/>
    <x v="0"/>
    <x v="2"/>
    <x v="16"/>
    <n v="1"/>
    <x v="152"/>
    <x v="1"/>
    <n v="20009.633600000001"/>
  </r>
  <r>
    <x v="1"/>
    <n v="39.5"/>
    <x v="1"/>
    <x v="1"/>
    <x v="1"/>
    <x v="1"/>
    <x v="5"/>
    <n v="0"/>
    <x v="87"/>
    <x v="1"/>
    <n v="3875.7341000000001"/>
  </r>
  <r>
    <x v="1"/>
    <n v="30.8"/>
    <x v="1"/>
    <x v="0"/>
    <x v="0"/>
    <x v="1"/>
    <x v="40"/>
    <n v="1"/>
    <x v="43"/>
    <x v="1"/>
    <n v="41999.519999999997"/>
  </r>
  <r>
    <x v="1"/>
    <n v="26.8"/>
    <x v="0"/>
    <x v="1"/>
    <x v="1"/>
    <x v="2"/>
    <x v="23"/>
    <n v="0"/>
    <x v="471"/>
    <x v="1"/>
    <n v="12609.887000000001"/>
  </r>
  <r>
    <x v="1"/>
    <n v="35"/>
    <x v="1"/>
    <x v="0"/>
    <x v="0"/>
    <x v="3"/>
    <x v="32"/>
    <n v="1"/>
    <x v="379"/>
    <x v="1"/>
    <n v="41034.221400000002"/>
  </r>
  <r>
    <x v="1"/>
    <n v="36.700000000000003"/>
    <x v="1"/>
    <x v="1"/>
    <x v="1"/>
    <x v="2"/>
    <x v="28"/>
    <n v="0"/>
    <x v="38"/>
    <x v="1"/>
    <n v="28468.919000000002"/>
  </r>
  <r>
    <x v="0"/>
    <n v="39.6"/>
    <x v="1"/>
    <x v="1"/>
    <x v="1"/>
    <x v="2"/>
    <x v="0"/>
    <n v="0"/>
    <x v="472"/>
    <x v="1"/>
    <n v="2730.1078000000002"/>
  </r>
  <r>
    <x v="0"/>
    <n v="25.9"/>
    <x v="0"/>
    <x v="1"/>
    <x v="1"/>
    <x v="0"/>
    <x v="38"/>
    <n v="0"/>
    <x v="473"/>
    <x v="0"/>
    <n v="3353.2840000000001"/>
  </r>
  <r>
    <x v="0"/>
    <n v="35.200000000000003"/>
    <x v="1"/>
    <x v="1"/>
    <x v="1"/>
    <x v="1"/>
    <x v="18"/>
    <n v="0"/>
    <x v="49"/>
    <x v="1"/>
    <n v="14474.674999999999"/>
  </r>
  <r>
    <x v="1"/>
    <n v="24.8"/>
    <x v="2"/>
    <x v="1"/>
    <x v="1"/>
    <x v="3"/>
    <x v="6"/>
    <n v="0"/>
    <x v="88"/>
    <x v="2"/>
    <n v="9500.5730000000003"/>
  </r>
  <r>
    <x v="1"/>
    <n v="36.799999999999997"/>
    <x v="1"/>
    <x v="1"/>
    <x v="1"/>
    <x v="2"/>
    <x v="14"/>
    <n v="0"/>
    <x v="219"/>
    <x v="3"/>
    <n v="26467.097399999999"/>
  </r>
  <r>
    <x v="1"/>
    <n v="27.1"/>
    <x v="0"/>
    <x v="1"/>
    <x v="1"/>
    <x v="0"/>
    <x v="22"/>
    <n v="0"/>
    <x v="416"/>
    <x v="1"/>
    <n v="4746.3440000000001"/>
  </r>
  <r>
    <x v="1"/>
    <n v="24.8"/>
    <x v="2"/>
    <x v="0"/>
    <x v="0"/>
    <x v="2"/>
    <x v="43"/>
    <n v="1"/>
    <x v="88"/>
    <x v="3"/>
    <n v="23967.383000000002"/>
  </r>
  <r>
    <x v="1"/>
    <n v="25.4"/>
    <x v="0"/>
    <x v="1"/>
    <x v="1"/>
    <x v="2"/>
    <x v="36"/>
    <n v="0"/>
    <x v="195"/>
    <x v="1"/>
    <n v="7518.0254000000004"/>
  </r>
  <r>
    <x v="1"/>
    <n v="25.7"/>
    <x v="0"/>
    <x v="1"/>
    <x v="1"/>
    <x v="3"/>
    <x v="27"/>
    <n v="0"/>
    <x v="474"/>
    <x v="3"/>
    <n v="3279.8685999999998"/>
  </r>
  <r>
    <x v="0"/>
    <n v="34.299999999999997"/>
    <x v="1"/>
    <x v="1"/>
    <x v="1"/>
    <x v="1"/>
    <x v="46"/>
    <n v="0"/>
    <x v="419"/>
    <x v="4"/>
    <n v="8596.8277999999991"/>
  </r>
  <r>
    <x v="0"/>
    <n v="28.2"/>
    <x v="0"/>
    <x v="1"/>
    <x v="1"/>
    <x v="1"/>
    <x v="45"/>
    <n v="0"/>
    <x v="475"/>
    <x v="2"/>
    <n v="10702.642400000001"/>
  </r>
  <r>
    <x v="0"/>
    <n v="23.6"/>
    <x v="2"/>
    <x v="1"/>
    <x v="1"/>
    <x v="3"/>
    <x v="16"/>
    <n v="0"/>
    <x v="476"/>
    <x v="0"/>
    <n v="4992.3764000000001"/>
  </r>
  <r>
    <x v="0"/>
    <n v="20.2"/>
    <x v="2"/>
    <x v="1"/>
    <x v="1"/>
    <x v="2"/>
    <x v="20"/>
    <n v="0"/>
    <x v="281"/>
    <x v="0"/>
    <n v="2527.8186000000001"/>
  </r>
  <r>
    <x v="0"/>
    <n v="40.5"/>
    <x v="1"/>
    <x v="1"/>
    <x v="1"/>
    <x v="0"/>
    <x v="0"/>
    <n v="0"/>
    <x v="477"/>
    <x v="0"/>
    <n v="1759.338"/>
  </r>
  <r>
    <x v="1"/>
    <n v="35.4"/>
    <x v="1"/>
    <x v="1"/>
    <x v="1"/>
    <x v="1"/>
    <x v="21"/>
    <n v="0"/>
    <x v="478"/>
    <x v="0"/>
    <n v="2322.6217999999999"/>
  </r>
  <r>
    <x v="1"/>
    <n v="22.9"/>
    <x v="2"/>
    <x v="0"/>
    <x v="0"/>
    <x v="3"/>
    <x v="38"/>
    <n v="1"/>
    <x v="83"/>
    <x v="0"/>
    <n v="16138.762000000001"/>
  </r>
  <r>
    <x v="1"/>
    <n v="40.200000000000003"/>
    <x v="1"/>
    <x v="1"/>
    <x v="1"/>
    <x v="1"/>
    <x v="28"/>
    <n v="0"/>
    <x v="196"/>
    <x v="0"/>
    <n v="7804.1605"/>
  </r>
  <r>
    <x v="1"/>
    <n v="29.2"/>
    <x v="0"/>
    <x v="1"/>
    <x v="1"/>
    <x v="1"/>
    <x v="21"/>
    <n v="0"/>
    <x v="410"/>
    <x v="1"/>
    <n v="2902.9065000000001"/>
  </r>
  <r>
    <x v="0"/>
    <n v="40"/>
    <x v="1"/>
    <x v="1"/>
    <x v="1"/>
    <x v="3"/>
    <x v="39"/>
    <n v="0"/>
    <x v="479"/>
    <x v="2"/>
    <n v="9704.6679999999997"/>
  </r>
  <r>
    <x v="0"/>
    <n v="29.9"/>
    <x v="0"/>
    <x v="1"/>
    <x v="1"/>
    <x v="1"/>
    <x v="26"/>
    <n v="0"/>
    <x v="96"/>
    <x v="0"/>
    <n v="4889.0367999999999"/>
  </r>
  <r>
    <x v="1"/>
    <n v="25.5"/>
    <x v="0"/>
    <x v="1"/>
    <x v="1"/>
    <x v="3"/>
    <x v="40"/>
    <n v="0"/>
    <x v="94"/>
    <x v="1"/>
    <n v="25517.113600000001"/>
  </r>
  <r>
    <x v="1"/>
    <n v="21.4"/>
    <x v="2"/>
    <x v="1"/>
    <x v="1"/>
    <x v="3"/>
    <x v="16"/>
    <n v="0"/>
    <x v="383"/>
    <x v="0"/>
    <n v="4500.3392000000003"/>
  </r>
  <r>
    <x v="1"/>
    <n v="25.9"/>
    <x v="0"/>
    <x v="0"/>
    <x v="0"/>
    <x v="0"/>
    <x v="5"/>
    <n v="1"/>
    <x v="473"/>
    <x v="2"/>
    <n v="19199.944"/>
  </r>
  <r>
    <x v="0"/>
    <n v="30.6"/>
    <x v="1"/>
    <x v="1"/>
    <x v="1"/>
    <x v="3"/>
    <x v="13"/>
    <n v="0"/>
    <x v="162"/>
    <x v="1"/>
    <n v="16796.411899999999"/>
  </r>
  <r>
    <x v="1"/>
    <n v="30.1"/>
    <x v="1"/>
    <x v="1"/>
    <x v="1"/>
    <x v="3"/>
    <x v="34"/>
    <n v="0"/>
    <x v="95"/>
    <x v="4"/>
    <n v="4915.0598"/>
  </r>
  <r>
    <x v="0"/>
    <n v="25.8"/>
    <x v="0"/>
    <x v="1"/>
    <x v="1"/>
    <x v="0"/>
    <x v="36"/>
    <n v="0"/>
    <x v="335"/>
    <x v="1"/>
    <n v="7624.63"/>
  </r>
  <r>
    <x v="1"/>
    <n v="30.1"/>
    <x v="1"/>
    <x v="1"/>
    <x v="1"/>
    <x v="2"/>
    <x v="32"/>
    <n v="0"/>
    <x v="95"/>
    <x v="2"/>
    <n v="8410.0468000000001"/>
  </r>
  <r>
    <x v="0"/>
    <n v="27.6"/>
    <x v="0"/>
    <x v="1"/>
    <x v="1"/>
    <x v="2"/>
    <x v="39"/>
    <n v="0"/>
    <x v="215"/>
    <x v="1"/>
    <n v="28340.1888"/>
  </r>
  <r>
    <x v="1"/>
    <n v="34.700000000000003"/>
    <x v="1"/>
    <x v="1"/>
    <x v="1"/>
    <x v="3"/>
    <x v="16"/>
    <n v="0"/>
    <x v="480"/>
    <x v="0"/>
    <n v="4518.8262000000004"/>
  </r>
  <r>
    <x v="0"/>
    <n v="20.5"/>
    <x v="2"/>
    <x v="0"/>
    <x v="0"/>
    <x v="3"/>
    <x v="23"/>
    <n v="1"/>
    <x v="481"/>
    <x v="0"/>
    <n v="14571.890799999999"/>
  </r>
  <r>
    <x v="0"/>
    <n v="19.8"/>
    <x v="2"/>
    <x v="1"/>
    <x v="1"/>
    <x v="0"/>
    <x v="21"/>
    <n v="0"/>
    <x v="202"/>
    <x v="1"/>
    <n v="3378.91"/>
  </r>
  <r>
    <x v="0"/>
    <n v="27.8"/>
    <x v="0"/>
    <x v="1"/>
    <x v="1"/>
    <x v="3"/>
    <x v="25"/>
    <n v="0"/>
    <x v="152"/>
    <x v="3"/>
    <n v="7144.8626000000004"/>
  </r>
  <r>
    <x v="0"/>
    <n v="31.6"/>
    <x v="1"/>
    <x v="1"/>
    <x v="1"/>
    <x v="0"/>
    <x v="45"/>
    <n v="0"/>
    <x v="93"/>
    <x v="3"/>
    <n v="10118.424000000001"/>
  </r>
  <r>
    <x v="1"/>
    <n v="28.3"/>
    <x v="0"/>
    <x v="1"/>
    <x v="1"/>
    <x v="1"/>
    <x v="25"/>
    <n v="0"/>
    <x v="356"/>
    <x v="1"/>
    <n v="5484.4673000000003"/>
  </r>
  <r>
    <x v="0"/>
    <n v="20"/>
    <x v="2"/>
    <x v="0"/>
    <x v="0"/>
    <x v="2"/>
    <x v="13"/>
    <n v="1"/>
    <x v="449"/>
    <x v="2"/>
    <n v="16420.494600000002"/>
  </r>
  <r>
    <x v="0"/>
    <n v="23.3"/>
    <x v="2"/>
    <x v="1"/>
    <x v="1"/>
    <x v="3"/>
    <x v="46"/>
    <n v="0"/>
    <x v="482"/>
    <x v="2"/>
    <n v="7986.4751999999999"/>
  </r>
  <r>
    <x v="0"/>
    <n v="34.1"/>
    <x v="1"/>
    <x v="1"/>
    <x v="1"/>
    <x v="0"/>
    <x v="46"/>
    <n v="0"/>
    <x v="22"/>
    <x v="2"/>
    <n v="7418.5219999999999"/>
  </r>
  <r>
    <x v="0"/>
    <n v="36.9"/>
    <x v="1"/>
    <x v="1"/>
    <x v="1"/>
    <x v="1"/>
    <x v="18"/>
    <n v="0"/>
    <x v="139"/>
    <x v="0"/>
    <n v="13887.968500000001"/>
  </r>
  <r>
    <x v="0"/>
    <n v="36.299999999999997"/>
    <x v="1"/>
    <x v="1"/>
    <x v="1"/>
    <x v="3"/>
    <x v="3"/>
    <n v="0"/>
    <x v="483"/>
    <x v="2"/>
    <n v="6551.7501000000002"/>
  </r>
  <r>
    <x v="0"/>
    <n v="26.9"/>
    <x v="0"/>
    <x v="1"/>
    <x v="1"/>
    <x v="2"/>
    <x v="26"/>
    <n v="0"/>
    <x v="78"/>
    <x v="0"/>
    <n v="5267.8181999999997"/>
  </r>
  <r>
    <x v="1"/>
    <n v="23"/>
    <x v="2"/>
    <x v="0"/>
    <x v="0"/>
    <x v="2"/>
    <x v="15"/>
    <n v="1"/>
    <x v="223"/>
    <x v="3"/>
    <n v="17361.766100000001"/>
  </r>
  <r>
    <x v="1"/>
    <n v="32.700000000000003"/>
    <x v="1"/>
    <x v="0"/>
    <x v="0"/>
    <x v="0"/>
    <x v="23"/>
    <n v="1"/>
    <x v="484"/>
    <x v="0"/>
    <n v="34472.841"/>
  </r>
  <r>
    <x v="1"/>
    <n v="25.8"/>
    <x v="0"/>
    <x v="1"/>
    <x v="1"/>
    <x v="0"/>
    <x v="23"/>
    <n v="0"/>
    <x v="335"/>
    <x v="0"/>
    <n v="1972.95"/>
  </r>
  <r>
    <x v="1"/>
    <n v="29.6"/>
    <x v="0"/>
    <x v="1"/>
    <x v="1"/>
    <x v="0"/>
    <x v="28"/>
    <n v="0"/>
    <x v="303"/>
    <x v="0"/>
    <n v="21232.1823"/>
  </r>
  <r>
    <x v="1"/>
    <n v="19.2"/>
    <x v="2"/>
    <x v="1"/>
    <x v="1"/>
    <x v="3"/>
    <x v="42"/>
    <n v="0"/>
    <x v="485"/>
    <x v="1"/>
    <n v="8627.5411000000004"/>
  </r>
  <r>
    <x v="1"/>
    <n v="31.7"/>
    <x v="1"/>
    <x v="1"/>
    <x v="1"/>
    <x v="2"/>
    <x v="38"/>
    <n v="0"/>
    <x v="294"/>
    <x v="3"/>
    <n v="4433.3877000000002"/>
  </r>
  <r>
    <x v="1"/>
    <n v="29.3"/>
    <x v="0"/>
    <x v="1"/>
    <x v="1"/>
    <x v="3"/>
    <x v="2"/>
    <n v="0"/>
    <x v="245"/>
    <x v="3"/>
    <n v="4438.2633999999998"/>
  </r>
  <r>
    <x v="1"/>
    <n v="28.2"/>
    <x v="0"/>
    <x v="0"/>
    <x v="0"/>
    <x v="2"/>
    <x v="42"/>
    <n v="1"/>
    <x v="143"/>
    <x v="2"/>
    <n v="24915.220799999999"/>
  </r>
  <r>
    <x v="1"/>
    <n v="25"/>
    <x v="0"/>
    <x v="1"/>
    <x v="1"/>
    <x v="3"/>
    <x v="9"/>
    <n v="0"/>
    <x v="255"/>
    <x v="3"/>
    <n v="23241.4745"/>
  </r>
  <r>
    <x v="1"/>
    <n v="27.7"/>
    <x v="0"/>
    <x v="1"/>
    <x v="1"/>
    <x v="3"/>
    <x v="43"/>
    <n v="0"/>
    <x v="7"/>
    <x v="1"/>
    <n v="9957.7216000000008"/>
  </r>
  <r>
    <x v="0"/>
    <n v="22.8"/>
    <x v="2"/>
    <x v="1"/>
    <x v="1"/>
    <x v="0"/>
    <x v="28"/>
    <n v="0"/>
    <x v="414"/>
    <x v="0"/>
    <n v="8269.0439999999999"/>
  </r>
  <r>
    <x v="1"/>
    <n v="20.100000000000001"/>
    <x v="2"/>
    <x v="0"/>
    <x v="0"/>
    <x v="1"/>
    <x v="32"/>
    <n v="1"/>
    <x v="486"/>
    <x v="3"/>
    <n v="18767.737700000001"/>
  </r>
  <r>
    <x v="0"/>
    <n v="33.299999999999997"/>
    <x v="1"/>
    <x v="1"/>
    <x v="1"/>
    <x v="1"/>
    <x v="35"/>
    <n v="0"/>
    <x v="230"/>
    <x v="5"/>
    <n v="36580.282200000001"/>
  </r>
  <r>
    <x v="1"/>
    <n v="32.299999999999997"/>
    <x v="1"/>
    <x v="1"/>
    <x v="1"/>
    <x v="2"/>
    <x v="28"/>
    <n v="0"/>
    <x v="243"/>
    <x v="1"/>
    <n v="8765.2489999999998"/>
  </r>
  <r>
    <x v="0"/>
    <n v="27.6"/>
    <x v="0"/>
    <x v="1"/>
    <x v="1"/>
    <x v="0"/>
    <x v="25"/>
    <n v="0"/>
    <x v="244"/>
    <x v="0"/>
    <n v="5383.5360000000001"/>
  </r>
  <r>
    <x v="1"/>
    <n v="25.5"/>
    <x v="0"/>
    <x v="1"/>
    <x v="1"/>
    <x v="2"/>
    <x v="17"/>
    <n v="0"/>
    <x v="94"/>
    <x v="0"/>
    <n v="12124.992399999999"/>
  </r>
  <r>
    <x v="0"/>
    <n v="24.6"/>
    <x v="2"/>
    <x v="1"/>
    <x v="1"/>
    <x v="2"/>
    <x v="0"/>
    <n v="0"/>
    <x v="456"/>
    <x v="1"/>
    <n v="2709.2440000000001"/>
  </r>
  <r>
    <x v="0"/>
    <n v="34.200000000000003"/>
    <x v="1"/>
    <x v="1"/>
    <x v="1"/>
    <x v="0"/>
    <x v="21"/>
    <n v="0"/>
    <x v="206"/>
    <x v="3"/>
    <n v="3987.9259999999999"/>
  </r>
  <r>
    <x v="0"/>
    <n v="35.799999999999997"/>
    <x v="1"/>
    <x v="1"/>
    <x v="1"/>
    <x v="2"/>
    <x v="40"/>
    <n v="0"/>
    <x v="427"/>
    <x v="2"/>
    <n v="12495.290800000001"/>
  </r>
  <r>
    <x v="0"/>
    <n v="32.700000000000003"/>
    <x v="1"/>
    <x v="1"/>
    <x v="1"/>
    <x v="2"/>
    <x v="27"/>
    <n v="0"/>
    <x v="297"/>
    <x v="3"/>
    <n v="26018.950499999999"/>
  </r>
  <r>
    <x v="1"/>
    <n v="37"/>
    <x v="1"/>
    <x v="1"/>
    <x v="1"/>
    <x v="0"/>
    <x v="43"/>
    <n v="0"/>
    <x v="144"/>
    <x v="0"/>
    <n v="8798.5930000000008"/>
  </r>
  <r>
    <x v="0"/>
    <n v="31"/>
    <x v="1"/>
    <x v="0"/>
    <x v="0"/>
    <x v="1"/>
    <x v="20"/>
    <n v="1"/>
    <x v="270"/>
    <x v="2"/>
    <n v="35595.589800000002"/>
  </r>
  <r>
    <x v="1"/>
    <n v="36.1"/>
    <x v="1"/>
    <x v="0"/>
    <x v="0"/>
    <x v="1"/>
    <x v="42"/>
    <n v="1"/>
    <x v="168"/>
    <x v="1"/>
    <n v="42211.138200000001"/>
  </r>
  <r>
    <x v="1"/>
    <n v="23.3"/>
    <x v="2"/>
    <x v="1"/>
    <x v="1"/>
    <x v="1"/>
    <x v="1"/>
    <n v="0"/>
    <x v="487"/>
    <x v="1"/>
    <n v="1711.0268000000001"/>
  </r>
  <r>
    <x v="0"/>
    <n v="45.3"/>
    <x v="1"/>
    <x v="1"/>
    <x v="1"/>
    <x v="1"/>
    <x v="42"/>
    <n v="0"/>
    <x v="488"/>
    <x v="1"/>
    <n v="8569.8618000000006"/>
  </r>
  <r>
    <x v="0"/>
    <n v="34.6"/>
    <x v="1"/>
    <x v="1"/>
    <x v="1"/>
    <x v="0"/>
    <x v="27"/>
    <n v="0"/>
    <x v="489"/>
    <x v="0"/>
    <n v="2020.1769999999999"/>
  </r>
  <r>
    <x v="1"/>
    <n v="26"/>
    <x v="0"/>
    <x v="0"/>
    <x v="0"/>
    <x v="2"/>
    <x v="0"/>
    <n v="1"/>
    <x v="327"/>
    <x v="1"/>
    <n v="16450.894700000001"/>
  </r>
  <r>
    <x v="1"/>
    <n v="18.7"/>
    <x v="2"/>
    <x v="1"/>
    <x v="1"/>
    <x v="2"/>
    <x v="11"/>
    <n v="0"/>
    <x v="490"/>
    <x v="0"/>
    <n v="21595.382300000001"/>
  </r>
  <r>
    <x v="1"/>
    <n v="31.6"/>
    <x v="1"/>
    <x v="1"/>
    <x v="1"/>
    <x v="0"/>
    <x v="40"/>
    <n v="0"/>
    <x v="93"/>
    <x v="0"/>
    <n v="9850.4320000000007"/>
  </r>
  <r>
    <x v="0"/>
    <n v="17.3"/>
    <x v="3"/>
    <x v="1"/>
    <x v="1"/>
    <x v="3"/>
    <x v="7"/>
    <n v="0"/>
    <x v="193"/>
    <x v="3"/>
    <n v="6877.9800999999998"/>
  </r>
  <r>
    <x v="0"/>
    <n v="23.7"/>
    <x v="2"/>
    <x v="0"/>
    <x v="0"/>
    <x v="2"/>
    <x v="6"/>
    <n v="1"/>
    <x v="367"/>
    <x v="1"/>
    <n v="21677.2834"/>
  </r>
  <r>
    <x v="0"/>
    <n v="35.200000000000003"/>
    <x v="1"/>
    <x v="0"/>
    <x v="0"/>
    <x v="1"/>
    <x v="19"/>
    <n v="1"/>
    <x v="49"/>
    <x v="0"/>
    <n v="44423.803"/>
  </r>
  <r>
    <x v="0"/>
    <n v="27.9"/>
    <x v="0"/>
    <x v="1"/>
    <x v="1"/>
    <x v="3"/>
    <x v="15"/>
    <n v="0"/>
    <x v="325"/>
    <x v="0"/>
    <n v="4137.5227000000004"/>
  </r>
  <r>
    <x v="1"/>
    <n v="21.6"/>
    <x v="2"/>
    <x v="0"/>
    <x v="0"/>
    <x v="3"/>
    <x v="1"/>
    <n v="1"/>
    <x v="491"/>
    <x v="0"/>
    <n v="13747.8724"/>
  </r>
  <r>
    <x v="1"/>
    <n v="38.4"/>
    <x v="1"/>
    <x v="1"/>
    <x v="1"/>
    <x v="2"/>
    <x v="35"/>
    <n v="0"/>
    <x v="275"/>
    <x v="0"/>
    <n v="12950.0712"/>
  </r>
  <r>
    <x v="0"/>
    <n v="23"/>
    <x v="2"/>
    <x v="1"/>
    <x v="1"/>
    <x v="0"/>
    <x v="40"/>
    <n v="0"/>
    <x v="492"/>
    <x v="2"/>
    <n v="12094.477999999999"/>
  </r>
  <r>
    <x v="1"/>
    <n v="37.1"/>
    <x v="1"/>
    <x v="0"/>
    <x v="0"/>
    <x v="1"/>
    <x v="20"/>
    <n v="1"/>
    <x v="493"/>
    <x v="3"/>
    <n v="37484.4493"/>
  </r>
  <r>
    <x v="0"/>
    <n v="30.5"/>
    <x v="1"/>
    <x v="0"/>
    <x v="0"/>
    <x v="2"/>
    <x v="39"/>
    <n v="1"/>
    <x v="131"/>
    <x v="1"/>
    <n v="39725.517999999996"/>
  </r>
  <r>
    <x v="1"/>
    <n v="28.9"/>
    <x v="0"/>
    <x v="1"/>
    <x v="1"/>
    <x v="3"/>
    <x v="20"/>
    <n v="0"/>
    <x v="4"/>
    <x v="0"/>
    <n v="2250.8352"/>
  </r>
  <r>
    <x v="1"/>
    <n v="27.3"/>
    <x v="0"/>
    <x v="1"/>
    <x v="1"/>
    <x v="2"/>
    <x v="0"/>
    <n v="0"/>
    <x v="288"/>
    <x v="3"/>
    <n v="22493.659599999999"/>
  </r>
  <r>
    <x v="0"/>
    <n v="28"/>
    <x v="0"/>
    <x v="0"/>
    <x v="0"/>
    <x v="2"/>
    <x v="22"/>
    <n v="1"/>
    <x v="24"/>
    <x v="0"/>
    <n v="20234.854800000001"/>
  </r>
  <r>
    <x v="1"/>
    <n v="23.1"/>
    <x v="2"/>
    <x v="1"/>
    <x v="1"/>
    <x v="3"/>
    <x v="1"/>
    <n v="0"/>
    <x v="26"/>
    <x v="0"/>
    <n v="1704.7002"/>
  </r>
  <r>
    <x v="1"/>
    <n v="30.7"/>
    <x v="1"/>
    <x v="0"/>
    <x v="0"/>
    <x v="3"/>
    <x v="34"/>
    <n v="1"/>
    <x v="264"/>
    <x v="0"/>
    <n v="33475.817199999998"/>
  </r>
  <r>
    <x v="0"/>
    <n v="25.8"/>
    <x v="0"/>
    <x v="1"/>
    <x v="1"/>
    <x v="0"/>
    <x v="2"/>
    <n v="0"/>
    <x v="335"/>
    <x v="0"/>
    <n v="3161.4540000000002"/>
  </r>
  <r>
    <x v="1"/>
    <n v="35.200000000000003"/>
    <x v="1"/>
    <x v="1"/>
    <x v="1"/>
    <x v="3"/>
    <x v="19"/>
    <n v="0"/>
    <x v="249"/>
    <x v="1"/>
    <n v="11394.0656"/>
  </r>
  <r>
    <x v="0"/>
    <n v="24.7"/>
    <x v="2"/>
    <x v="0"/>
    <x v="0"/>
    <x v="2"/>
    <x v="32"/>
    <n v="1"/>
    <x v="62"/>
    <x v="3"/>
    <n v="21880.82"/>
  </r>
  <r>
    <x v="0"/>
    <n v="25.1"/>
    <x v="0"/>
    <x v="1"/>
    <x v="1"/>
    <x v="3"/>
    <x v="32"/>
    <n v="0"/>
    <x v="322"/>
    <x v="0"/>
    <n v="7325.0482000000002"/>
  </r>
  <r>
    <x v="1"/>
    <n v="52.6"/>
    <x v="1"/>
    <x v="0"/>
    <x v="0"/>
    <x v="1"/>
    <x v="20"/>
    <n v="1"/>
    <x v="494"/>
    <x v="1"/>
    <n v="44501.398200000003"/>
  </r>
  <r>
    <x v="0"/>
    <n v="22.5"/>
    <x v="2"/>
    <x v="1"/>
    <x v="1"/>
    <x v="2"/>
    <x v="9"/>
    <n v="0"/>
    <x v="422"/>
    <x v="1"/>
    <n v="3594.1707999999999"/>
  </r>
  <r>
    <x v="1"/>
    <n v="30.9"/>
    <x v="1"/>
    <x v="0"/>
    <x v="0"/>
    <x v="0"/>
    <x v="41"/>
    <n v="1"/>
    <x v="157"/>
    <x v="0"/>
    <n v="39727.614000000001"/>
  </r>
  <r>
    <x v="0"/>
    <n v="37"/>
    <x v="1"/>
    <x v="1"/>
    <x v="1"/>
    <x v="2"/>
    <x v="36"/>
    <n v="0"/>
    <x v="55"/>
    <x v="1"/>
    <n v="8023.1354000000001"/>
  </r>
  <r>
    <x v="1"/>
    <n v="26.4"/>
    <x v="0"/>
    <x v="1"/>
    <x v="1"/>
    <x v="3"/>
    <x v="33"/>
    <n v="0"/>
    <x v="154"/>
    <x v="0"/>
    <n v="14394.5579"/>
  </r>
  <r>
    <x v="1"/>
    <n v="29.8"/>
    <x v="0"/>
    <x v="1"/>
    <x v="1"/>
    <x v="3"/>
    <x v="41"/>
    <n v="0"/>
    <x v="8"/>
    <x v="1"/>
    <n v="9288.0267000000003"/>
  </r>
  <r>
    <x v="1"/>
    <n v="29.8"/>
    <x v="0"/>
    <x v="0"/>
    <x v="0"/>
    <x v="0"/>
    <x v="42"/>
    <n v="1"/>
    <x v="141"/>
    <x v="2"/>
    <n v="25309.489000000001"/>
  </r>
  <r>
    <x v="0"/>
    <n v="21.5"/>
    <x v="2"/>
    <x v="1"/>
    <x v="1"/>
    <x v="2"/>
    <x v="13"/>
    <n v="0"/>
    <x v="321"/>
    <x v="0"/>
    <n v="3353.4703"/>
  </r>
  <r>
    <x v="1"/>
    <n v="27.6"/>
    <x v="0"/>
    <x v="1"/>
    <x v="1"/>
    <x v="2"/>
    <x v="19"/>
    <n v="0"/>
    <x v="215"/>
    <x v="0"/>
    <n v="10594.5016"/>
  </r>
  <r>
    <x v="0"/>
    <n v="28.9"/>
    <x v="0"/>
    <x v="1"/>
    <x v="1"/>
    <x v="0"/>
    <x v="28"/>
    <n v="0"/>
    <x v="65"/>
    <x v="0"/>
    <n v="8277.5229999999992"/>
  </r>
  <r>
    <x v="0"/>
    <n v="31.8"/>
    <x v="1"/>
    <x v="1"/>
    <x v="1"/>
    <x v="1"/>
    <x v="39"/>
    <n v="0"/>
    <x v="211"/>
    <x v="0"/>
    <n v="17929.303400000001"/>
  </r>
  <r>
    <x v="0"/>
    <n v="39.5"/>
    <x v="1"/>
    <x v="1"/>
    <x v="1"/>
    <x v="1"/>
    <x v="23"/>
    <n v="0"/>
    <x v="87"/>
    <x v="0"/>
    <n v="2480.9791"/>
  </r>
  <r>
    <x v="1"/>
    <n v="33.799999999999997"/>
    <x v="1"/>
    <x v="1"/>
    <x v="1"/>
    <x v="2"/>
    <x v="4"/>
    <n v="0"/>
    <x v="312"/>
    <x v="1"/>
    <n v="4462.7218000000003"/>
  </r>
  <r>
    <x v="1"/>
    <n v="32"/>
    <x v="1"/>
    <x v="1"/>
    <x v="1"/>
    <x v="1"/>
    <x v="23"/>
    <n v="0"/>
    <x v="72"/>
    <x v="0"/>
    <n v="1981.5818999999999"/>
  </r>
  <r>
    <x v="1"/>
    <n v="27.9"/>
    <x v="0"/>
    <x v="1"/>
    <x v="1"/>
    <x v="1"/>
    <x v="37"/>
    <n v="0"/>
    <x v="100"/>
    <x v="1"/>
    <n v="11554.223599999999"/>
  </r>
  <r>
    <x v="1"/>
    <n v="41.1"/>
    <x v="1"/>
    <x v="0"/>
    <x v="0"/>
    <x v="1"/>
    <x v="17"/>
    <n v="1"/>
    <x v="421"/>
    <x v="1"/>
    <n v="48970.247600000002"/>
  </r>
  <r>
    <x v="1"/>
    <n v="28.6"/>
    <x v="0"/>
    <x v="1"/>
    <x v="1"/>
    <x v="2"/>
    <x v="26"/>
    <n v="0"/>
    <x v="105"/>
    <x v="2"/>
    <n v="6548.1949999999997"/>
  </r>
  <r>
    <x v="0"/>
    <n v="25.6"/>
    <x v="0"/>
    <x v="1"/>
    <x v="1"/>
    <x v="0"/>
    <x v="38"/>
    <n v="0"/>
    <x v="248"/>
    <x v="5"/>
    <n v="5708.8670000000002"/>
  </r>
  <r>
    <x v="0"/>
    <n v="25.3"/>
    <x v="0"/>
    <x v="1"/>
    <x v="1"/>
    <x v="0"/>
    <x v="44"/>
    <n v="0"/>
    <x v="128"/>
    <x v="1"/>
    <n v="7045.4989999999998"/>
  </r>
  <r>
    <x v="1"/>
    <n v="37.299999999999997"/>
    <x v="1"/>
    <x v="1"/>
    <x v="1"/>
    <x v="1"/>
    <x v="28"/>
    <n v="0"/>
    <x v="348"/>
    <x v="3"/>
    <n v="8978.1851000000006"/>
  </r>
  <r>
    <x v="1"/>
    <n v="42.7"/>
    <x v="1"/>
    <x v="1"/>
    <x v="1"/>
    <x v="3"/>
    <x v="46"/>
    <n v="0"/>
    <x v="495"/>
    <x v="0"/>
    <n v="5757.4134000000004"/>
  </r>
  <r>
    <x v="1"/>
    <n v="21.7"/>
    <x v="2"/>
    <x v="1"/>
    <x v="1"/>
    <x v="2"/>
    <x v="18"/>
    <n v="0"/>
    <x v="496"/>
    <x v="1"/>
    <n v="14349.8544"/>
  </r>
  <r>
    <x v="0"/>
    <n v="31.9"/>
    <x v="1"/>
    <x v="1"/>
    <x v="1"/>
    <x v="1"/>
    <x v="40"/>
    <n v="0"/>
    <x v="125"/>
    <x v="1"/>
    <n v="10928.849"/>
  </r>
  <r>
    <x v="1"/>
    <n v="37.1"/>
    <x v="1"/>
    <x v="0"/>
    <x v="0"/>
    <x v="1"/>
    <x v="7"/>
    <n v="1"/>
    <x v="493"/>
    <x v="1"/>
    <n v="39871.704299999998"/>
  </r>
  <r>
    <x v="1"/>
    <n v="31.4"/>
    <x v="1"/>
    <x v="1"/>
    <x v="1"/>
    <x v="3"/>
    <x v="18"/>
    <n v="0"/>
    <x v="268"/>
    <x v="0"/>
    <n v="13974.455599999999"/>
  </r>
  <r>
    <x v="1"/>
    <n v="31.3"/>
    <x v="1"/>
    <x v="1"/>
    <x v="1"/>
    <x v="2"/>
    <x v="27"/>
    <n v="0"/>
    <x v="468"/>
    <x v="0"/>
    <n v="1909.5273999999999"/>
  </r>
  <r>
    <x v="0"/>
    <n v="28.9"/>
    <x v="0"/>
    <x v="1"/>
    <x v="1"/>
    <x v="3"/>
    <x v="40"/>
    <n v="0"/>
    <x v="4"/>
    <x v="3"/>
    <n v="12096.6512"/>
  </r>
  <r>
    <x v="0"/>
    <n v="18.3"/>
    <x v="3"/>
    <x v="1"/>
    <x v="1"/>
    <x v="3"/>
    <x v="8"/>
    <n v="0"/>
    <x v="469"/>
    <x v="0"/>
    <n v="13204.285599999999"/>
  </r>
  <r>
    <x v="0"/>
    <n v="29.6"/>
    <x v="0"/>
    <x v="1"/>
    <x v="1"/>
    <x v="1"/>
    <x v="4"/>
    <n v="0"/>
    <x v="75"/>
    <x v="1"/>
    <n v="4562.8420999999998"/>
  </r>
  <r>
    <x v="0"/>
    <n v="32"/>
    <x v="1"/>
    <x v="1"/>
    <x v="1"/>
    <x v="0"/>
    <x v="42"/>
    <n v="0"/>
    <x v="497"/>
    <x v="1"/>
    <n v="8551.3469999999998"/>
  </r>
  <r>
    <x v="1"/>
    <n v="26"/>
    <x v="0"/>
    <x v="1"/>
    <x v="1"/>
    <x v="3"/>
    <x v="27"/>
    <n v="0"/>
    <x v="327"/>
    <x v="0"/>
    <n v="2102.2647000000002"/>
  </r>
  <r>
    <x v="1"/>
    <n v="31.7"/>
    <x v="1"/>
    <x v="0"/>
    <x v="0"/>
    <x v="1"/>
    <x v="2"/>
    <n v="1"/>
    <x v="57"/>
    <x v="0"/>
    <n v="34672.147199999999"/>
  </r>
  <r>
    <x v="1"/>
    <n v="33.700000000000003"/>
    <x v="1"/>
    <x v="1"/>
    <x v="1"/>
    <x v="1"/>
    <x v="18"/>
    <n v="0"/>
    <x v="61"/>
    <x v="2"/>
    <n v="15161.5344"/>
  </r>
  <r>
    <x v="1"/>
    <n v="21.8"/>
    <x v="2"/>
    <x v="1"/>
    <x v="1"/>
    <x v="1"/>
    <x v="1"/>
    <n v="0"/>
    <x v="42"/>
    <x v="3"/>
    <n v="11884.0486"/>
  </r>
  <r>
    <x v="1"/>
    <n v="27.8"/>
    <x v="0"/>
    <x v="1"/>
    <x v="1"/>
    <x v="2"/>
    <x v="4"/>
    <n v="0"/>
    <x v="152"/>
    <x v="1"/>
    <n v="4454.4026000000003"/>
  </r>
  <r>
    <x v="1"/>
    <n v="20"/>
    <x v="2"/>
    <x v="1"/>
    <x v="1"/>
    <x v="2"/>
    <x v="25"/>
    <n v="0"/>
    <x v="91"/>
    <x v="1"/>
    <n v="5855.9025000000001"/>
  </r>
  <r>
    <x v="1"/>
    <n v="31.5"/>
    <x v="1"/>
    <x v="1"/>
    <x v="1"/>
    <x v="0"/>
    <x v="4"/>
    <n v="0"/>
    <x v="434"/>
    <x v="1"/>
    <n v="4076.4969999999998"/>
  </r>
  <r>
    <x v="0"/>
    <n v="30.5"/>
    <x v="1"/>
    <x v="1"/>
    <x v="1"/>
    <x v="2"/>
    <x v="10"/>
    <n v="0"/>
    <x v="131"/>
    <x v="3"/>
    <n v="15019.76"/>
  </r>
  <r>
    <x v="0"/>
    <n v="18.3"/>
    <x v="3"/>
    <x v="0"/>
    <x v="0"/>
    <x v="0"/>
    <x v="46"/>
    <n v="1"/>
    <x v="498"/>
    <x v="4"/>
    <n v="19023.259999999998"/>
  </r>
  <r>
    <x v="1"/>
    <n v="29"/>
    <x v="0"/>
    <x v="1"/>
    <x v="1"/>
    <x v="3"/>
    <x v="19"/>
    <n v="0"/>
    <x v="111"/>
    <x v="0"/>
    <n v="10796.350200000001"/>
  </r>
  <r>
    <x v="1"/>
    <n v="31.5"/>
    <x v="1"/>
    <x v="1"/>
    <x v="1"/>
    <x v="2"/>
    <x v="37"/>
    <n v="0"/>
    <x v="381"/>
    <x v="0"/>
    <n v="11353.2276"/>
  </r>
  <r>
    <x v="1"/>
    <n v="47.7"/>
    <x v="1"/>
    <x v="1"/>
    <x v="1"/>
    <x v="1"/>
    <x v="14"/>
    <n v="0"/>
    <x v="499"/>
    <x v="1"/>
    <n v="9748.9105999999992"/>
  </r>
  <r>
    <x v="1"/>
    <n v="22.1"/>
    <x v="2"/>
    <x v="1"/>
    <x v="1"/>
    <x v="0"/>
    <x v="12"/>
    <n v="0"/>
    <x v="500"/>
    <x v="0"/>
    <n v="10577.087"/>
  </r>
  <r>
    <x v="1"/>
    <n v="36.200000000000003"/>
    <x v="1"/>
    <x v="0"/>
    <x v="0"/>
    <x v="1"/>
    <x v="42"/>
    <n v="1"/>
    <x v="67"/>
    <x v="0"/>
    <n v="41676.081100000003"/>
  </r>
  <r>
    <x v="0"/>
    <n v="29.8"/>
    <x v="0"/>
    <x v="1"/>
    <x v="1"/>
    <x v="3"/>
    <x v="19"/>
    <n v="0"/>
    <x v="8"/>
    <x v="0"/>
    <n v="11286.538699999999"/>
  </r>
  <r>
    <x v="1"/>
    <n v="32.700000000000003"/>
    <x v="1"/>
    <x v="1"/>
    <x v="1"/>
    <x v="0"/>
    <x v="11"/>
    <n v="0"/>
    <x v="484"/>
    <x v="2"/>
    <n v="3591.48"/>
  </r>
  <r>
    <x v="0"/>
    <n v="30.4"/>
    <x v="1"/>
    <x v="0"/>
    <x v="0"/>
    <x v="2"/>
    <x v="20"/>
    <n v="1"/>
    <x v="257"/>
    <x v="0"/>
    <n v="33907.548000000003"/>
  </r>
  <r>
    <x v="0"/>
    <n v="33.700000000000003"/>
    <x v="1"/>
    <x v="1"/>
    <x v="1"/>
    <x v="0"/>
    <x v="45"/>
    <n v="0"/>
    <x v="175"/>
    <x v="5"/>
    <n v="11299.343000000001"/>
  </r>
  <r>
    <x v="0"/>
    <n v="31.4"/>
    <x v="1"/>
    <x v="1"/>
    <x v="1"/>
    <x v="3"/>
    <x v="1"/>
    <n v="0"/>
    <x v="112"/>
    <x v="5"/>
    <n v="4561.1885000000002"/>
  </r>
  <r>
    <x v="0"/>
    <n v="35"/>
    <x v="1"/>
    <x v="0"/>
    <x v="0"/>
    <x v="3"/>
    <x v="43"/>
    <n v="1"/>
    <x v="379"/>
    <x v="3"/>
    <n v="44641.197399999997"/>
  </r>
  <r>
    <x v="1"/>
    <n v="33.799999999999997"/>
    <x v="1"/>
    <x v="1"/>
    <x v="1"/>
    <x v="1"/>
    <x v="20"/>
    <n v="0"/>
    <x v="1"/>
    <x v="0"/>
    <n v="1674.6323"/>
  </r>
  <r>
    <x v="0"/>
    <n v="30.9"/>
    <x v="1"/>
    <x v="1"/>
    <x v="1"/>
    <x v="3"/>
    <x v="14"/>
    <n v="0"/>
    <x v="99"/>
    <x v="0"/>
    <n v="23045.566200000001"/>
  </r>
  <r>
    <x v="0"/>
    <n v="34"/>
    <x v="1"/>
    <x v="1"/>
    <x v="1"/>
    <x v="1"/>
    <x v="9"/>
    <n v="0"/>
    <x v="457"/>
    <x v="1"/>
    <n v="3227.1210999999998"/>
  </r>
  <r>
    <x v="0"/>
    <n v="19.100000000000001"/>
    <x v="2"/>
    <x v="0"/>
    <x v="0"/>
    <x v="3"/>
    <x v="3"/>
    <n v="1"/>
    <x v="501"/>
    <x v="3"/>
    <n v="16776.304"/>
  </r>
  <r>
    <x v="1"/>
    <n v="28.6"/>
    <x v="0"/>
    <x v="1"/>
    <x v="1"/>
    <x v="0"/>
    <x v="31"/>
    <n v="0"/>
    <x v="32"/>
    <x v="2"/>
    <n v="11253.421"/>
  </r>
  <r>
    <x v="1"/>
    <n v="38.9"/>
    <x v="1"/>
    <x v="1"/>
    <x v="1"/>
    <x v="1"/>
    <x v="38"/>
    <n v="0"/>
    <x v="447"/>
    <x v="1"/>
    <n v="3471.4096"/>
  </r>
  <r>
    <x v="1"/>
    <n v="36.1"/>
    <x v="1"/>
    <x v="1"/>
    <x v="1"/>
    <x v="1"/>
    <x v="30"/>
    <n v="0"/>
    <x v="168"/>
    <x v="0"/>
    <n v="11363.2832"/>
  </r>
  <r>
    <x v="1"/>
    <n v="29.8"/>
    <x v="0"/>
    <x v="1"/>
    <x v="1"/>
    <x v="0"/>
    <x v="7"/>
    <n v="0"/>
    <x v="141"/>
    <x v="0"/>
    <n v="20420.604599999999"/>
  </r>
  <r>
    <x v="0"/>
    <n v="31.2"/>
    <x v="1"/>
    <x v="1"/>
    <x v="1"/>
    <x v="1"/>
    <x v="40"/>
    <n v="0"/>
    <x v="502"/>
    <x v="0"/>
    <n v="10338.9316"/>
  </r>
  <r>
    <x v="0"/>
    <n v="29.9"/>
    <x v="0"/>
    <x v="1"/>
    <x v="1"/>
    <x v="2"/>
    <x v="41"/>
    <n v="0"/>
    <x v="503"/>
    <x v="0"/>
    <n v="8988.1587999999992"/>
  </r>
  <r>
    <x v="0"/>
    <n v="26.2"/>
    <x v="0"/>
    <x v="1"/>
    <x v="1"/>
    <x v="2"/>
    <x v="45"/>
    <n v="0"/>
    <x v="10"/>
    <x v="3"/>
    <n v="10493.9458"/>
  </r>
  <r>
    <x v="1"/>
    <n v="30"/>
    <x v="1"/>
    <x v="1"/>
    <x v="1"/>
    <x v="0"/>
    <x v="21"/>
    <n v="0"/>
    <x v="308"/>
    <x v="1"/>
    <n v="2904.0880000000002"/>
  </r>
  <r>
    <x v="1"/>
    <n v="20.399999999999999"/>
    <x v="2"/>
    <x v="1"/>
    <x v="1"/>
    <x v="1"/>
    <x v="39"/>
    <n v="0"/>
    <x v="504"/>
    <x v="2"/>
    <n v="8605.3615000000009"/>
  </r>
  <r>
    <x v="0"/>
    <n v="32.299999999999997"/>
    <x v="1"/>
    <x v="1"/>
    <x v="1"/>
    <x v="3"/>
    <x v="40"/>
    <n v="0"/>
    <x v="243"/>
    <x v="1"/>
    <n v="11512.405000000001"/>
  </r>
  <r>
    <x v="1"/>
    <n v="38.4"/>
    <x v="1"/>
    <x v="0"/>
    <x v="0"/>
    <x v="1"/>
    <x v="25"/>
    <n v="1"/>
    <x v="186"/>
    <x v="2"/>
    <n v="41949.244100000004"/>
  </r>
  <r>
    <x v="0"/>
    <n v="25.9"/>
    <x v="0"/>
    <x v="0"/>
    <x v="0"/>
    <x v="1"/>
    <x v="28"/>
    <n v="1"/>
    <x v="505"/>
    <x v="2"/>
    <n v="24180.933499999999"/>
  </r>
  <r>
    <x v="0"/>
    <n v="26.3"/>
    <x v="0"/>
    <x v="1"/>
    <x v="1"/>
    <x v="2"/>
    <x v="2"/>
    <n v="0"/>
    <x v="31"/>
    <x v="2"/>
    <n v="5312.1697999999997"/>
  </r>
  <r>
    <x v="1"/>
    <n v="24.5"/>
    <x v="2"/>
    <x v="1"/>
    <x v="1"/>
    <x v="3"/>
    <x v="11"/>
    <n v="0"/>
    <x v="184"/>
    <x v="0"/>
    <n v="2396.0958999999998"/>
  </r>
  <r>
    <x v="1"/>
    <n v="32.700000000000003"/>
    <x v="1"/>
    <x v="1"/>
    <x v="1"/>
    <x v="1"/>
    <x v="19"/>
    <n v="0"/>
    <x v="314"/>
    <x v="1"/>
    <n v="10807.4863"/>
  </r>
  <r>
    <x v="1"/>
    <n v="29.6"/>
    <x v="0"/>
    <x v="1"/>
    <x v="1"/>
    <x v="3"/>
    <x v="24"/>
    <n v="0"/>
    <x v="142"/>
    <x v="4"/>
    <n v="9222.4025999999994"/>
  </r>
  <r>
    <x v="1"/>
    <n v="33.299999999999997"/>
    <x v="1"/>
    <x v="0"/>
    <x v="0"/>
    <x v="1"/>
    <x v="9"/>
    <n v="1"/>
    <x v="230"/>
    <x v="3"/>
    <n v="36124.573700000001"/>
  </r>
  <r>
    <x v="1"/>
    <n v="35.799999999999997"/>
    <x v="1"/>
    <x v="0"/>
    <x v="0"/>
    <x v="1"/>
    <x v="3"/>
    <n v="1"/>
    <x v="246"/>
    <x v="1"/>
    <n v="38282.749499999998"/>
  </r>
  <r>
    <x v="0"/>
    <n v="20"/>
    <x v="2"/>
    <x v="1"/>
    <x v="1"/>
    <x v="2"/>
    <x v="15"/>
    <n v="0"/>
    <x v="91"/>
    <x v="2"/>
    <n v="5693.4305000000004"/>
  </r>
  <r>
    <x v="0"/>
    <n v="31.4"/>
    <x v="1"/>
    <x v="0"/>
    <x v="0"/>
    <x v="0"/>
    <x v="11"/>
    <n v="1"/>
    <x v="234"/>
    <x v="0"/>
    <n v="34166.273000000001"/>
  </r>
  <r>
    <x v="1"/>
    <n v="38.200000000000003"/>
    <x v="1"/>
    <x v="1"/>
    <x v="1"/>
    <x v="1"/>
    <x v="6"/>
    <n v="0"/>
    <x v="271"/>
    <x v="3"/>
    <n v="8347.1643000000004"/>
  </r>
  <r>
    <x v="0"/>
    <n v="36.9"/>
    <x v="1"/>
    <x v="0"/>
    <x v="0"/>
    <x v="2"/>
    <x v="31"/>
    <n v="1"/>
    <x v="350"/>
    <x v="2"/>
    <n v="46661.4424"/>
  </r>
  <r>
    <x v="0"/>
    <n v="32.4"/>
    <x v="1"/>
    <x v="1"/>
    <x v="1"/>
    <x v="3"/>
    <x v="13"/>
    <n v="0"/>
    <x v="203"/>
    <x v="1"/>
    <n v="18903.491399999999"/>
  </r>
  <r>
    <x v="0"/>
    <n v="42.8"/>
    <x v="1"/>
    <x v="0"/>
    <x v="0"/>
    <x v="3"/>
    <x v="11"/>
    <n v="1"/>
    <x v="506"/>
    <x v="1"/>
    <n v="40904.199500000002"/>
  </r>
  <r>
    <x v="0"/>
    <n v="25.1"/>
    <x v="0"/>
    <x v="1"/>
    <x v="1"/>
    <x v="2"/>
    <x v="18"/>
    <n v="0"/>
    <x v="322"/>
    <x v="0"/>
    <n v="14254.608200000001"/>
  </r>
  <r>
    <x v="1"/>
    <n v="29.9"/>
    <x v="0"/>
    <x v="1"/>
    <x v="1"/>
    <x v="0"/>
    <x v="19"/>
    <n v="0"/>
    <x v="441"/>
    <x v="0"/>
    <n v="10214.636"/>
  </r>
  <r>
    <x v="0"/>
    <n v="35.9"/>
    <x v="1"/>
    <x v="1"/>
    <x v="1"/>
    <x v="1"/>
    <x v="22"/>
    <n v="0"/>
    <x v="191"/>
    <x v="3"/>
    <n v="5836.5204000000003"/>
  </r>
  <r>
    <x v="1"/>
    <n v="32.799999999999997"/>
    <x v="1"/>
    <x v="1"/>
    <x v="1"/>
    <x v="0"/>
    <x v="16"/>
    <n v="0"/>
    <x v="163"/>
    <x v="1"/>
    <n v="14358.3644"/>
  </r>
  <r>
    <x v="0"/>
    <n v="18.600000000000001"/>
    <x v="2"/>
    <x v="1"/>
    <x v="1"/>
    <x v="0"/>
    <x v="0"/>
    <n v="0"/>
    <x v="507"/>
    <x v="0"/>
    <n v="1728.8969999999999"/>
  </r>
  <r>
    <x v="0"/>
    <n v="23.9"/>
    <x v="2"/>
    <x v="1"/>
    <x v="1"/>
    <x v="1"/>
    <x v="46"/>
    <n v="0"/>
    <x v="508"/>
    <x v="4"/>
    <n v="8582.3022999999994"/>
  </r>
  <r>
    <x v="1"/>
    <n v="45.9"/>
    <x v="1"/>
    <x v="1"/>
    <x v="1"/>
    <x v="0"/>
    <x v="13"/>
    <n v="0"/>
    <x v="509"/>
    <x v="3"/>
    <n v="3693.4279999999999"/>
  </r>
  <r>
    <x v="1"/>
    <n v="40.299999999999997"/>
    <x v="1"/>
    <x v="1"/>
    <x v="1"/>
    <x v="3"/>
    <x v="37"/>
    <n v="0"/>
    <x v="405"/>
    <x v="0"/>
    <n v="20709.0203"/>
  </r>
  <r>
    <x v="0"/>
    <n v="18.3"/>
    <x v="3"/>
    <x v="1"/>
    <x v="1"/>
    <x v="2"/>
    <x v="14"/>
    <n v="0"/>
    <x v="469"/>
    <x v="0"/>
    <n v="9991.0375999999997"/>
  </r>
  <r>
    <x v="1"/>
    <n v="33.799999999999997"/>
    <x v="1"/>
    <x v="1"/>
    <x v="1"/>
    <x v="2"/>
    <x v="2"/>
    <n v="0"/>
    <x v="312"/>
    <x v="0"/>
    <n v="19673.3357"/>
  </r>
  <r>
    <x v="0"/>
    <n v="28.1"/>
    <x v="0"/>
    <x v="1"/>
    <x v="1"/>
    <x v="2"/>
    <x v="45"/>
    <n v="0"/>
    <x v="213"/>
    <x v="2"/>
    <n v="11085.586799999999"/>
  </r>
  <r>
    <x v="0"/>
    <n v="25"/>
    <x v="0"/>
    <x v="1"/>
    <x v="1"/>
    <x v="0"/>
    <x v="36"/>
    <n v="0"/>
    <x v="459"/>
    <x v="1"/>
    <n v="7623.518"/>
  </r>
  <r>
    <x v="0"/>
    <n v="22.2"/>
    <x v="2"/>
    <x v="1"/>
    <x v="1"/>
    <x v="2"/>
    <x v="21"/>
    <n v="0"/>
    <x v="259"/>
    <x v="0"/>
    <n v="3176.2876999999999"/>
  </r>
  <r>
    <x v="1"/>
    <n v="30.3"/>
    <x v="1"/>
    <x v="1"/>
    <x v="1"/>
    <x v="1"/>
    <x v="3"/>
    <n v="0"/>
    <x v="328"/>
    <x v="0"/>
    <n v="3704.3544999999999"/>
  </r>
  <r>
    <x v="0"/>
    <n v="32.5"/>
    <x v="1"/>
    <x v="0"/>
    <x v="0"/>
    <x v="2"/>
    <x v="0"/>
    <n v="1"/>
    <x v="127"/>
    <x v="0"/>
    <n v="36898.733099999998"/>
  </r>
  <r>
    <x v="1"/>
    <n v="37.1"/>
    <x v="1"/>
    <x v="1"/>
    <x v="1"/>
    <x v="1"/>
    <x v="45"/>
    <n v="0"/>
    <x v="493"/>
    <x v="1"/>
    <n v="9048.0272999999997"/>
  </r>
  <r>
    <x v="0"/>
    <n v="32.6"/>
    <x v="1"/>
    <x v="1"/>
    <x v="1"/>
    <x v="0"/>
    <x v="24"/>
    <n v="0"/>
    <x v="365"/>
    <x v="2"/>
    <n v="7954.5169999999998"/>
  </r>
  <r>
    <x v="0"/>
    <n v="24.9"/>
    <x v="2"/>
    <x v="1"/>
    <x v="1"/>
    <x v="1"/>
    <x v="14"/>
    <n v="0"/>
    <x v="443"/>
    <x v="0"/>
    <n v="27117.9938"/>
  </r>
  <r>
    <x v="1"/>
    <n v="32.299999999999997"/>
    <x v="1"/>
    <x v="1"/>
    <x v="1"/>
    <x v="1"/>
    <x v="46"/>
    <n v="0"/>
    <x v="454"/>
    <x v="3"/>
    <n v="6338.0756000000001"/>
  </r>
  <r>
    <x v="1"/>
    <n v="32.299999999999997"/>
    <x v="1"/>
    <x v="1"/>
    <x v="1"/>
    <x v="0"/>
    <x v="45"/>
    <n v="0"/>
    <x v="243"/>
    <x v="3"/>
    <n v="9630.3970000000008"/>
  </r>
  <r>
    <x v="1"/>
    <n v="32.799999999999997"/>
    <x v="1"/>
    <x v="1"/>
    <x v="1"/>
    <x v="2"/>
    <x v="14"/>
    <n v="0"/>
    <x v="27"/>
    <x v="2"/>
    <n v="11289.109200000001"/>
  </r>
  <r>
    <x v="1"/>
    <n v="32.799999999999997"/>
    <x v="1"/>
    <x v="0"/>
    <x v="0"/>
    <x v="0"/>
    <x v="8"/>
    <n v="1"/>
    <x v="163"/>
    <x v="0"/>
    <n v="52590.829400000002"/>
  </r>
  <r>
    <x v="0"/>
    <n v="31.9"/>
    <x v="1"/>
    <x v="1"/>
    <x v="1"/>
    <x v="2"/>
    <x v="34"/>
    <n v="0"/>
    <x v="23"/>
    <x v="0"/>
    <n v="2261.5688"/>
  </r>
  <r>
    <x v="1"/>
    <n v="21.5"/>
    <x v="2"/>
    <x v="1"/>
    <x v="1"/>
    <x v="0"/>
    <x v="19"/>
    <n v="0"/>
    <x v="510"/>
    <x v="1"/>
    <n v="10791.96"/>
  </r>
  <r>
    <x v="1"/>
    <n v="34.1"/>
    <x v="1"/>
    <x v="1"/>
    <x v="1"/>
    <x v="0"/>
    <x v="44"/>
    <n v="0"/>
    <x v="22"/>
    <x v="0"/>
    <n v="5979.7309999999998"/>
  </r>
  <r>
    <x v="0"/>
    <n v="30.3"/>
    <x v="1"/>
    <x v="1"/>
    <x v="1"/>
    <x v="3"/>
    <x v="1"/>
    <n v="0"/>
    <x v="511"/>
    <x v="0"/>
    <n v="2203.7359999999999"/>
  </r>
  <r>
    <x v="0"/>
    <n v="36.5"/>
    <x v="1"/>
    <x v="1"/>
    <x v="1"/>
    <x v="2"/>
    <x v="30"/>
    <n v="0"/>
    <x v="238"/>
    <x v="0"/>
    <n v="12235.8392"/>
  </r>
  <r>
    <x v="0"/>
    <n v="32.6"/>
    <x v="1"/>
    <x v="0"/>
    <x v="0"/>
    <x v="1"/>
    <x v="32"/>
    <n v="1"/>
    <x v="316"/>
    <x v="2"/>
    <n v="40941.285400000001"/>
  </r>
  <r>
    <x v="0"/>
    <n v="35.799999999999997"/>
    <x v="1"/>
    <x v="1"/>
    <x v="1"/>
    <x v="2"/>
    <x v="22"/>
    <n v="0"/>
    <x v="427"/>
    <x v="1"/>
    <n v="5630.4578000000001"/>
  </r>
  <r>
    <x v="0"/>
    <n v="27.9"/>
    <x v="0"/>
    <x v="1"/>
    <x v="1"/>
    <x v="2"/>
    <x v="28"/>
    <n v="0"/>
    <x v="325"/>
    <x v="5"/>
    <n v="11015.1747"/>
  </r>
  <r>
    <x v="0"/>
    <n v="22.1"/>
    <x v="2"/>
    <x v="1"/>
    <x v="1"/>
    <x v="3"/>
    <x v="26"/>
    <n v="0"/>
    <x v="188"/>
    <x v="2"/>
    <n v="7228.2156000000004"/>
  </r>
  <r>
    <x v="1"/>
    <n v="44.9"/>
    <x v="1"/>
    <x v="0"/>
    <x v="0"/>
    <x v="1"/>
    <x v="0"/>
    <n v="1"/>
    <x v="512"/>
    <x v="0"/>
    <n v="39722.746200000001"/>
  </r>
  <r>
    <x v="0"/>
    <n v="23.2"/>
    <x v="2"/>
    <x v="1"/>
    <x v="1"/>
    <x v="2"/>
    <x v="11"/>
    <n v="0"/>
    <x v="247"/>
    <x v="3"/>
    <n v="14426.0738"/>
  </r>
  <r>
    <x v="0"/>
    <n v="30.6"/>
    <x v="1"/>
    <x v="1"/>
    <x v="1"/>
    <x v="3"/>
    <x v="34"/>
    <n v="0"/>
    <x v="162"/>
    <x v="0"/>
    <n v="2459.7201"/>
  </r>
  <r>
    <x v="0"/>
    <n v="41.1"/>
    <x v="1"/>
    <x v="1"/>
    <x v="1"/>
    <x v="0"/>
    <x v="4"/>
    <n v="0"/>
    <x v="513"/>
    <x v="0"/>
    <n v="3989.8409999999999"/>
  </r>
  <r>
    <x v="0"/>
    <n v="34.6"/>
    <x v="1"/>
    <x v="1"/>
    <x v="1"/>
    <x v="2"/>
    <x v="32"/>
    <n v="0"/>
    <x v="415"/>
    <x v="1"/>
    <n v="7727.2532000000001"/>
  </r>
  <r>
    <x v="1"/>
    <n v="42.1"/>
    <x v="1"/>
    <x v="1"/>
    <x v="1"/>
    <x v="1"/>
    <x v="16"/>
    <n v="0"/>
    <x v="14"/>
    <x v="3"/>
    <n v="5124.1886999999997"/>
  </r>
  <r>
    <x v="1"/>
    <n v="38.799999999999997"/>
    <x v="1"/>
    <x v="1"/>
    <x v="1"/>
    <x v="1"/>
    <x v="15"/>
    <n v="0"/>
    <x v="130"/>
    <x v="1"/>
    <n v="18963.171900000001"/>
  </r>
  <r>
    <x v="0"/>
    <n v="28.2"/>
    <x v="0"/>
    <x v="1"/>
    <x v="1"/>
    <x v="3"/>
    <x v="1"/>
    <n v="0"/>
    <x v="143"/>
    <x v="0"/>
    <n v="2200.8308000000002"/>
  </r>
  <r>
    <x v="0"/>
    <n v="28.3"/>
    <x v="0"/>
    <x v="1"/>
    <x v="1"/>
    <x v="2"/>
    <x v="24"/>
    <n v="0"/>
    <x v="33"/>
    <x v="1"/>
    <n v="7153.5538999999999"/>
  </r>
  <r>
    <x v="0"/>
    <n v="26.1"/>
    <x v="0"/>
    <x v="1"/>
    <x v="1"/>
    <x v="3"/>
    <x v="22"/>
    <n v="0"/>
    <x v="388"/>
    <x v="0"/>
    <n v="5227.9888000000001"/>
  </r>
  <r>
    <x v="1"/>
    <n v="40.4"/>
    <x v="1"/>
    <x v="1"/>
    <x v="1"/>
    <x v="1"/>
    <x v="37"/>
    <n v="0"/>
    <x v="514"/>
    <x v="0"/>
    <n v="10982.5013"/>
  </r>
  <r>
    <x v="0"/>
    <n v="24.6"/>
    <x v="2"/>
    <x v="1"/>
    <x v="1"/>
    <x v="0"/>
    <x v="38"/>
    <n v="0"/>
    <x v="15"/>
    <x v="3"/>
    <n v="4529.4769999999999"/>
  </r>
  <r>
    <x v="1"/>
    <n v="35.200000000000003"/>
    <x v="1"/>
    <x v="1"/>
    <x v="1"/>
    <x v="0"/>
    <x v="4"/>
    <n v="0"/>
    <x v="49"/>
    <x v="3"/>
    <n v="4670.6400000000003"/>
  </r>
  <r>
    <x v="0"/>
    <n v="34.1"/>
    <x v="1"/>
    <x v="1"/>
    <x v="1"/>
    <x v="2"/>
    <x v="7"/>
    <n v="0"/>
    <x v="237"/>
    <x v="1"/>
    <n v="6112.3530000000001"/>
  </r>
  <r>
    <x v="1"/>
    <n v="27.4"/>
    <x v="0"/>
    <x v="0"/>
    <x v="0"/>
    <x v="3"/>
    <x v="1"/>
    <n v="1"/>
    <x v="60"/>
    <x v="1"/>
    <n v="17178.682400000002"/>
  </r>
  <r>
    <x v="0"/>
    <n v="26.7"/>
    <x v="0"/>
    <x v="0"/>
    <x v="0"/>
    <x v="0"/>
    <x v="32"/>
    <n v="1"/>
    <x v="418"/>
    <x v="3"/>
    <n v="22478.6"/>
  </r>
  <r>
    <x v="0"/>
    <n v="41.9"/>
    <x v="1"/>
    <x v="1"/>
    <x v="1"/>
    <x v="1"/>
    <x v="12"/>
    <n v="0"/>
    <x v="180"/>
    <x v="0"/>
    <n v="11093.6229"/>
  </r>
  <r>
    <x v="1"/>
    <n v="29.3"/>
    <x v="0"/>
    <x v="1"/>
    <x v="1"/>
    <x v="2"/>
    <x v="25"/>
    <n v="0"/>
    <x v="245"/>
    <x v="3"/>
    <n v="6457.8433999999997"/>
  </r>
  <r>
    <x v="1"/>
    <n v="32.1"/>
    <x v="1"/>
    <x v="1"/>
    <x v="1"/>
    <x v="2"/>
    <x v="38"/>
    <n v="0"/>
    <x v="159"/>
    <x v="3"/>
    <n v="4433.9159"/>
  </r>
  <r>
    <x v="0"/>
    <n v="27.1"/>
    <x v="0"/>
    <x v="1"/>
    <x v="1"/>
    <x v="0"/>
    <x v="20"/>
    <n v="0"/>
    <x v="416"/>
    <x v="0"/>
    <n v="2154.3609999999999"/>
  </r>
  <r>
    <x v="0"/>
    <n v="24.1"/>
    <x v="2"/>
    <x v="0"/>
    <x v="0"/>
    <x v="2"/>
    <x v="14"/>
    <n v="1"/>
    <x v="134"/>
    <x v="1"/>
    <n v="23887.662700000001"/>
  </r>
  <r>
    <x v="0"/>
    <n v="27.4"/>
    <x v="0"/>
    <x v="1"/>
    <x v="1"/>
    <x v="0"/>
    <x v="29"/>
    <n v="0"/>
    <x v="73"/>
    <x v="1"/>
    <n v="6496.8860000000004"/>
  </r>
  <r>
    <x v="0"/>
    <n v="34.9"/>
    <x v="1"/>
    <x v="1"/>
    <x v="1"/>
    <x v="3"/>
    <x v="11"/>
    <n v="0"/>
    <x v="231"/>
    <x v="0"/>
    <n v="2899.4893999999999"/>
  </r>
  <r>
    <x v="1"/>
    <n v="29.8"/>
    <x v="0"/>
    <x v="0"/>
    <x v="0"/>
    <x v="1"/>
    <x v="5"/>
    <n v="1"/>
    <x v="382"/>
    <x v="0"/>
    <n v="19350.368900000001"/>
  </r>
  <r>
    <x v="0"/>
    <n v="41.3"/>
    <x v="1"/>
    <x v="1"/>
    <x v="1"/>
    <x v="3"/>
    <x v="44"/>
    <n v="0"/>
    <x v="317"/>
    <x v="1"/>
    <n v="7650.7737999999999"/>
  </r>
  <r>
    <x v="0"/>
    <n v="29.9"/>
    <x v="0"/>
    <x v="1"/>
    <x v="1"/>
    <x v="2"/>
    <x v="23"/>
    <n v="0"/>
    <x v="503"/>
    <x v="0"/>
    <n v="2850.6837999999998"/>
  </r>
  <r>
    <x v="0"/>
    <n v="30.3"/>
    <x v="1"/>
    <x v="1"/>
    <x v="1"/>
    <x v="0"/>
    <x v="9"/>
    <n v="0"/>
    <x v="148"/>
    <x v="0"/>
    <n v="2632.9920000000002"/>
  </r>
  <r>
    <x v="0"/>
    <n v="27.4"/>
    <x v="0"/>
    <x v="1"/>
    <x v="1"/>
    <x v="3"/>
    <x v="28"/>
    <n v="0"/>
    <x v="60"/>
    <x v="1"/>
    <n v="9447.3824000000004"/>
  </r>
  <r>
    <x v="0"/>
    <n v="28.5"/>
    <x v="0"/>
    <x v="0"/>
    <x v="0"/>
    <x v="1"/>
    <x v="11"/>
    <n v="1"/>
    <x v="515"/>
    <x v="1"/>
    <n v="18328.238099999999"/>
  </r>
  <r>
    <x v="1"/>
    <n v="23.6"/>
    <x v="2"/>
    <x v="1"/>
    <x v="1"/>
    <x v="3"/>
    <x v="39"/>
    <n v="0"/>
    <x v="476"/>
    <x v="3"/>
    <n v="8603.8233999999993"/>
  </r>
  <r>
    <x v="1"/>
    <n v="35.6"/>
    <x v="1"/>
    <x v="0"/>
    <x v="0"/>
    <x v="2"/>
    <x v="34"/>
    <n v="1"/>
    <x v="50"/>
    <x v="2"/>
    <n v="37465.343800000002"/>
  </r>
  <r>
    <x v="0"/>
    <n v="32.700000000000003"/>
    <x v="1"/>
    <x v="1"/>
    <x v="1"/>
    <x v="2"/>
    <x v="10"/>
    <n v="0"/>
    <x v="297"/>
    <x v="0"/>
    <n v="13844.797200000001"/>
  </r>
  <r>
    <x v="0"/>
    <n v="25.3"/>
    <x v="0"/>
    <x v="0"/>
    <x v="0"/>
    <x v="3"/>
    <x v="32"/>
    <n v="1"/>
    <x v="235"/>
    <x v="1"/>
    <n v="21771.3423"/>
  </r>
  <r>
    <x v="0"/>
    <n v="28"/>
    <x v="0"/>
    <x v="1"/>
    <x v="1"/>
    <x v="0"/>
    <x v="11"/>
    <n v="0"/>
    <x v="52"/>
    <x v="0"/>
    <n v="13126.6774"/>
  </r>
  <r>
    <x v="0"/>
    <n v="32.799999999999997"/>
    <x v="1"/>
    <x v="1"/>
    <x v="1"/>
    <x v="2"/>
    <x v="5"/>
    <n v="0"/>
    <x v="27"/>
    <x v="3"/>
    <n v="5327.4002"/>
  </r>
  <r>
    <x v="0"/>
    <n v="21.8"/>
    <x v="2"/>
    <x v="1"/>
    <x v="1"/>
    <x v="3"/>
    <x v="24"/>
    <n v="0"/>
    <x v="404"/>
    <x v="1"/>
    <n v="13725.471799999999"/>
  </r>
  <r>
    <x v="0"/>
    <n v="32.4"/>
    <x v="1"/>
    <x v="1"/>
    <x v="1"/>
    <x v="3"/>
    <x v="30"/>
    <n v="0"/>
    <x v="203"/>
    <x v="1"/>
    <n v="13019.161"/>
  </r>
  <r>
    <x v="0"/>
    <n v="36.6"/>
    <x v="1"/>
    <x v="1"/>
    <x v="1"/>
    <x v="2"/>
    <x v="28"/>
    <n v="0"/>
    <x v="429"/>
    <x v="0"/>
    <n v="8671.1911999999993"/>
  </r>
  <r>
    <x v="0"/>
    <n v="21.8"/>
    <x v="2"/>
    <x v="1"/>
    <x v="1"/>
    <x v="2"/>
    <x v="5"/>
    <n v="0"/>
    <x v="404"/>
    <x v="0"/>
    <n v="4134.0824000000002"/>
  </r>
  <r>
    <x v="0"/>
    <n v="27.9"/>
    <x v="0"/>
    <x v="1"/>
    <x v="1"/>
    <x v="2"/>
    <x v="0"/>
    <n v="0"/>
    <x v="325"/>
    <x v="2"/>
    <n v="18838.703699999998"/>
  </r>
  <r>
    <x v="0"/>
    <n v="30"/>
    <x v="1"/>
    <x v="0"/>
    <x v="0"/>
    <x v="2"/>
    <x v="0"/>
    <n v="1"/>
    <x v="190"/>
    <x v="0"/>
    <n v="33307.550799999997"/>
  </r>
  <r>
    <x v="1"/>
    <n v="33.6"/>
    <x v="1"/>
    <x v="1"/>
    <x v="1"/>
    <x v="1"/>
    <x v="24"/>
    <n v="0"/>
    <x v="516"/>
    <x v="0"/>
    <n v="5699.8374999999996"/>
  </r>
  <r>
    <x v="1"/>
    <n v="29.4"/>
    <x v="0"/>
    <x v="1"/>
    <x v="1"/>
    <x v="2"/>
    <x v="29"/>
    <n v="0"/>
    <x v="452"/>
    <x v="1"/>
    <n v="6393.6034"/>
  </r>
  <r>
    <x v="0"/>
    <n v="25.8"/>
    <x v="0"/>
    <x v="1"/>
    <x v="1"/>
    <x v="0"/>
    <x v="5"/>
    <n v="0"/>
    <x v="335"/>
    <x v="3"/>
    <n v="4934.7049999999999"/>
  </r>
  <r>
    <x v="1"/>
    <n v="24.3"/>
    <x v="2"/>
    <x v="1"/>
    <x v="1"/>
    <x v="2"/>
    <x v="7"/>
    <n v="0"/>
    <x v="200"/>
    <x v="3"/>
    <n v="6198.7518"/>
  </r>
  <r>
    <x v="1"/>
    <n v="40.4"/>
    <x v="1"/>
    <x v="1"/>
    <x v="1"/>
    <x v="2"/>
    <x v="6"/>
    <n v="0"/>
    <x v="517"/>
    <x v="3"/>
    <n v="8733.2291999999998"/>
  </r>
  <r>
    <x v="1"/>
    <n v="32.1"/>
    <x v="1"/>
    <x v="1"/>
    <x v="1"/>
    <x v="2"/>
    <x v="20"/>
    <n v="0"/>
    <x v="159"/>
    <x v="0"/>
    <n v="2055.3249000000001"/>
  </r>
  <r>
    <x v="1"/>
    <n v="32.299999999999997"/>
    <x v="1"/>
    <x v="1"/>
    <x v="1"/>
    <x v="3"/>
    <x v="43"/>
    <n v="0"/>
    <x v="243"/>
    <x v="1"/>
    <n v="9964.06"/>
  </r>
  <r>
    <x v="0"/>
    <n v="27.3"/>
    <x v="0"/>
    <x v="0"/>
    <x v="0"/>
    <x v="1"/>
    <x v="1"/>
    <n v="1"/>
    <x v="518"/>
    <x v="2"/>
    <n v="18223.4512"/>
  </r>
  <r>
    <x v="1"/>
    <n v="17.899999999999999"/>
    <x v="3"/>
    <x v="1"/>
    <x v="1"/>
    <x v="2"/>
    <x v="22"/>
    <n v="0"/>
    <x v="519"/>
    <x v="1"/>
    <n v="5116.5003999999999"/>
  </r>
  <r>
    <x v="0"/>
    <n v="34.799999999999997"/>
    <x v="1"/>
    <x v="1"/>
    <x v="1"/>
    <x v="0"/>
    <x v="17"/>
    <n v="0"/>
    <x v="82"/>
    <x v="3"/>
    <n v="36910.608"/>
  </r>
  <r>
    <x v="1"/>
    <n v="33.4"/>
    <x v="1"/>
    <x v="0"/>
    <x v="0"/>
    <x v="0"/>
    <x v="26"/>
    <n v="1"/>
    <x v="220"/>
    <x v="3"/>
    <n v="38415.474000000002"/>
  </r>
  <r>
    <x v="0"/>
    <n v="25.6"/>
    <x v="0"/>
    <x v="0"/>
    <x v="0"/>
    <x v="3"/>
    <x v="7"/>
    <n v="1"/>
    <x v="122"/>
    <x v="1"/>
    <n v="20296.863399999998"/>
  </r>
  <r>
    <x v="1"/>
    <n v="37.1"/>
    <x v="1"/>
    <x v="1"/>
    <x v="1"/>
    <x v="0"/>
    <x v="17"/>
    <n v="0"/>
    <x v="109"/>
    <x v="1"/>
    <n v="12347.172"/>
  </r>
  <r>
    <x v="1"/>
    <n v="30.9"/>
    <x v="1"/>
    <x v="1"/>
    <x v="1"/>
    <x v="2"/>
    <x v="26"/>
    <n v="0"/>
    <x v="99"/>
    <x v="1"/>
    <n v="5373.3642"/>
  </r>
  <r>
    <x v="1"/>
    <n v="34.1"/>
    <x v="1"/>
    <x v="1"/>
    <x v="1"/>
    <x v="1"/>
    <x v="46"/>
    <n v="0"/>
    <x v="22"/>
    <x v="3"/>
    <n v="23563.016199999998"/>
  </r>
  <r>
    <x v="1"/>
    <n v="21.5"/>
    <x v="2"/>
    <x v="1"/>
    <x v="1"/>
    <x v="3"/>
    <x v="1"/>
    <n v="0"/>
    <x v="321"/>
    <x v="0"/>
    <n v="1702.4553000000001"/>
  </r>
  <r>
    <x v="0"/>
    <n v="33.299999999999997"/>
    <x v="1"/>
    <x v="1"/>
    <x v="1"/>
    <x v="0"/>
    <x v="14"/>
    <n v="0"/>
    <x v="520"/>
    <x v="3"/>
    <n v="10806.839"/>
  </r>
  <r>
    <x v="0"/>
    <n v="31.3"/>
    <x v="1"/>
    <x v="1"/>
    <x v="1"/>
    <x v="2"/>
    <x v="13"/>
    <n v="0"/>
    <x v="468"/>
    <x v="1"/>
    <n v="3956.0713999999998"/>
  </r>
  <r>
    <x v="1"/>
    <n v="39.1"/>
    <x v="1"/>
    <x v="1"/>
    <x v="1"/>
    <x v="3"/>
    <x v="1"/>
    <n v="0"/>
    <x v="521"/>
    <x v="0"/>
    <n v="12890.0576"/>
  </r>
  <r>
    <x v="1"/>
    <n v="25.1"/>
    <x v="0"/>
    <x v="1"/>
    <x v="1"/>
    <x v="1"/>
    <x v="29"/>
    <n v="0"/>
    <x v="322"/>
    <x v="0"/>
    <n v="5415.6611999999996"/>
  </r>
  <r>
    <x v="1"/>
    <n v="37.299999999999997"/>
    <x v="1"/>
    <x v="1"/>
    <x v="1"/>
    <x v="1"/>
    <x v="38"/>
    <n v="0"/>
    <x v="348"/>
    <x v="3"/>
    <n v="4058.1161000000002"/>
  </r>
  <r>
    <x v="0"/>
    <n v="34.6"/>
    <x v="1"/>
    <x v="0"/>
    <x v="0"/>
    <x v="0"/>
    <x v="6"/>
    <n v="1"/>
    <x v="489"/>
    <x v="1"/>
    <n v="41661.601999999999"/>
  </r>
  <r>
    <x v="0"/>
    <n v="30.2"/>
    <x v="1"/>
    <x v="1"/>
    <x v="1"/>
    <x v="2"/>
    <x v="25"/>
    <n v="0"/>
    <x v="267"/>
    <x v="2"/>
    <n v="7537.1638999999996"/>
  </r>
  <r>
    <x v="0"/>
    <n v="21.9"/>
    <x v="2"/>
    <x v="1"/>
    <x v="1"/>
    <x v="3"/>
    <x v="15"/>
    <n v="0"/>
    <x v="522"/>
    <x v="1"/>
    <n v="4718.2035999999998"/>
  </r>
  <r>
    <x v="1"/>
    <n v="25"/>
    <x v="0"/>
    <x v="1"/>
    <x v="1"/>
    <x v="1"/>
    <x v="29"/>
    <n v="0"/>
    <x v="523"/>
    <x v="3"/>
    <n v="6593.5083000000004"/>
  </r>
  <r>
    <x v="1"/>
    <n v="25.3"/>
    <x v="0"/>
    <x v="1"/>
    <x v="1"/>
    <x v="1"/>
    <x v="45"/>
    <n v="0"/>
    <x v="128"/>
    <x v="0"/>
    <n v="8442.6669999999995"/>
  </r>
  <r>
    <x v="0"/>
    <n v="24.4"/>
    <x v="2"/>
    <x v="0"/>
    <x v="0"/>
    <x v="1"/>
    <x v="34"/>
    <n v="1"/>
    <x v="137"/>
    <x v="0"/>
    <n v="26125.674800000001"/>
  </r>
  <r>
    <x v="1"/>
    <n v="23.9"/>
    <x v="2"/>
    <x v="1"/>
    <x v="1"/>
    <x v="3"/>
    <x v="24"/>
    <n v="0"/>
    <x v="524"/>
    <x v="1"/>
    <n v="6858.4795999999997"/>
  </r>
  <r>
    <x v="0"/>
    <n v="39.799999999999997"/>
    <x v="1"/>
    <x v="1"/>
    <x v="1"/>
    <x v="1"/>
    <x v="3"/>
    <n v="0"/>
    <x v="13"/>
    <x v="1"/>
    <n v="4795.6567999999997"/>
  </r>
  <r>
    <x v="1"/>
    <n v="16.8"/>
    <x v="3"/>
    <x v="1"/>
    <x v="1"/>
    <x v="3"/>
    <x v="25"/>
    <n v="0"/>
    <x v="290"/>
    <x v="3"/>
    <n v="6640.5447999999997"/>
  </r>
  <r>
    <x v="1"/>
    <n v="37.200000000000003"/>
    <x v="1"/>
    <x v="1"/>
    <x v="1"/>
    <x v="1"/>
    <x v="44"/>
    <n v="0"/>
    <x v="464"/>
    <x v="3"/>
    <n v="7162.0122000000001"/>
  </r>
  <r>
    <x v="1"/>
    <n v="34.4"/>
    <x v="1"/>
    <x v="1"/>
    <x v="1"/>
    <x v="1"/>
    <x v="12"/>
    <n v="0"/>
    <x v="53"/>
    <x v="0"/>
    <n v="10594.225700000001"/>
  </r>
  <r>
    <x v="1"/>
    <n v="30.3"/>
    <x v="1"/>
    <x v="1"/>
    <x v="1"/>
    <x v="3"/>
    <x v="30"/>
    <n v="0"/>
    <x v="511"/>
    <x v="0"/>
    <n v="11938.255999999999"/>
  </r>
  <r>
    <x v="1"/>
    <n v="34.5"/>
    <x v="1"/>
    <x v="0"/>
    <x v="0"/>
    <x v="2"/>
    <x v="14"/>
    <n v="1"/>
    <x v="525"/>
    <x v="2"/>
    <n v="60021.398999999998"/>
  </r>
  <r>
    <x v="0"/>
    <n v="21.8"/>
    <x v="2"/>
    <x v="0"/>
    <x v="0"/>
    <x v="0"/>
    <x v="34"/>
    <n v="1"/>
    <x v="526"/>
    <x v="0"/>
    <n v="20167.335999999999"/>
  </r>
  <r>
    <x v="0"/>
    <n v="24.6"/>
    <x v="2"/>
    <x v="1"/>
    <x v="1"/>
    <x v="2"/>
    <x v="40"/>
    <n v="0"/>
    <x v="456"/>
    <x v="2"/>
    <n v="12479.709000000001"/>
  </r>
  <r>
    <x v="1"/>
    <n v="23.3"/>
    <x v="2"/>
    <x v="1"/>
    <x v="1"/>
    <x v="0"/>
    <x v="30"/>
    <n v="0"/>
    <x v="527"/>
    <x v="0"/>
    <n v="11345.519"/>
  </r>
  <r>
    <x v="0"/>
    <n v="27.8"/>
    <x v="0"/>
    <x v="1"/>
    <x v="1"/>
    <x v="1"/>
    <x v="39"/>
    <n v="0"/>
    <x v="138"/>
    <x v="3"/>
    <n v="8515.7587000000003"/>
  </r>
  <r>
    <x v="1"/>
    <n v="31.1"/>
    <x v="1"/>
    <x v="1"/>
    <x v="1"/>
    <x v="2"/>
    <x v="21"/>
    <n v="0"/>
    <x v="320"/>
    <x v="0"/>
    <n v="2699.5684000000001"/>
  </r>
  <r>
    <x v="0"/>
    <n v="21.7"/>
    <x v="2"/>
    <x v="1"/>
    <x v="1"/>
    <x v="3"/>
    <x v="18"/>
    <n v="0"/>
    <x v="496"/>
    <x v="0"/>
    <n v="14449.8544"/>
  </r>
  <r>
    <x v="0"/>
    <n v="28.2"/>
    <x v="0"/>
    <x v="1"/>
    <x v="1"/>
    <x v="2"/>
    <x v="30"/>
    <n v="0"/>
    <x v="143"/>
    <x v="0"/>
    <n v="12224.3508"/>
  </r>
  <r>
    <x v="1"/>
    <n v="22.7"/>
    <x v="2"/>
    <x v="1"/>
    <x v="1"/>
    <x v="3"/>
    <x v="7"/>
    <n v="0"/>
    <x v="3"/>
    <x v="2"/>
    <n v="6985.5069999999996"/>
  </r>
  <r>
    <x v="0"/>
    <n v="42.1"/>
    <x v="1"/>
    <x v="1"/>
    <x v="1"/>
    <x v="1"/>
    <x v="9"/>
    <n v="0"/>
    <x v="14"/>
    <x v="1"/>
    <n v="3238.4357"/>
  </r>
  <r>
    <x v="1"/>
    <n v="41.8"/>
    <x v="1"/>
    <x v="0"/>
    <x v="0"/>
    <x v="1"/>
    <x v="14"/>
    <n v="1"/>
    <x v="423"/>
    <x v="3"/>
    <n v="47269.853999999999"/>
  </r>
  <r>
    <x v="1"/>
    <n v="37"/>
    <x v="1"/>
    <x v="0"/>
    <x v="0"/>
    <x v="1"/>
    <x v="33"/>
    <n v="1"/>
    <x v="528"/>
    <x v="3"/>
    <n v="49577.662400000001"/>
  </r>
  <r>
    <x v="0"/>
    <n v="21.3"/>
    <x v="2"/>
    <x v="1"/>
    <x v="1"/>
    <x v="2"/>
    <x v="20"/>
    <n v="0"/>
    <x v="529"/>
    <x v="2"/>
    <n v="4296.2712000000001"/>
  </r>
  <r>
    <x v="0"/>
    <n v="33.1"/>
    <x v="1"/>
    <x v="1"/>
    <x v="1"/>
    <x v="1"/>
    <x v="2"/>
    <n v="0"/>
    <x v="293"/>
    <x v="0"/>
    <n v="3171.6149"/>
  </r>
  <r>
    <x v="1"/>
    <n v="33.299999999999997"/>
    <x v="1"/>
    <x v="1"/>
    <x v="1"/>
    <x v="1"/>
    <x v="1"/>
    <n v="0"/>
    <x v="230"/>
    <x v="0"/>
    <n v="1135.9407000000001"/>
  </r>
  <r>
    <x v="1"/>
    <n v="24.3"/>
    <x v="2"/>
    <x v="1"/>
    <x v="1"/>
    <x v="0"/>
    <x v="2"/>
    <n v="0"/>
    <x v="210"/>
    <x v="4"/>
    <n v="5615.3689999999997"/>
  </r>
  <r>
    <x v="0"/>
    <n v="25.7"/>
    <x v="0"/>
    <x v="1"/>
    <x v="1"/>
    <x v="0"/>
    <x v="39"/>
    <n v="0"/>
    <x v="324"/>
    <x v="2"/>
    <n v="9101.7980000000007"/>
  </r>
  <r>
    <x v="1"/>
    <n v="29.4"/>
    <x v="0"/>
    <x v="1"/>
    <x v="1"/>
    <x v="0"/>
    <x v="3"/>
    <n v="0"/>
    <x v="530"/>
    <x v="5"/>
    <n v="6059.1729999999998"/>
  </r>
  <r>
    <x v="0"/>
    <n v="39.799999999999997"/>
    <x v="1"/>
    <x v="1"/>
    <x v="1"/>
    <x v="1"/>
    <x v="1"/>
    <n v="0"/>
    <x v="13"/>
    <x v="0"/>
    <n v="1633.9618"/>
  </r>
  <r>
    <x v="1"/>
    <n v="33.6"/>
    <x v="1"/>
    <x v="0"/>
    <x v="0"/>
    <x v="3"/>
    <x v="4"/>
    <n v="1"/>
    <x v="51"/>
    <x v="1"/>
    <n v="37607.527699999999"/>
  </r>
  <r>
    <x v="1"/>
    <n v="29.8"/>
    <x v="0"/>
    <x v="0"/>
    <x v="0"/>
    <x v="3"/>
    <x v="23"/>
    <n v="1"/>
    <x v="8"/>
    <x v="0"/>
    <n v="18648.421699999999"/>
  </r>
  <r>
    <x v="1"/>
    <n v="19.8"/>
    <x v="2"/>
    <x v="1"/>
    <x v="1"/>
    <x v="0"/>
    <x v="0"/>
    <n v="0"/>
    <x v="202"/>
    <x v="0"/>
    <n v="1241.5650000000001"/>
  </r>
  <r>
    <x v="1"/>
    <n v="27.3"/>
    <x v="0"/>
    <x v="0"/>
    <x v="0"/>
    <x v="0"/>
    <x v="34"/>
    <n v="1"/>
    <x v="531"/>
    <x v="0"/>
    <n v="16232.847"/>
  </r>
  <r>
    <x v="0"/>
    <n v="29.3"/>
    <x v="0"/>
    <x v="1"/>
    <x v="1"/>
    <x v="0"/>
    <x v="29"/>
    <n v="0"/>
    <x v="375"/>
    <x v="5"/>
    <n v="15828.8217"/>
  </r>
  <r>
    <x v="0"/>
    <n v="27.7"/>
    <x v="0"/>
    <x v="1"/>
    <x v="1"/>
    <x v="1"/>
    <x v="16"/>
    <n v="0"/>
    <x v="25"/>
    <x v="0"/>
    <n v="4415.1588000000002"/>
  </r>
  <r>
    <x v="0"/>
    <n v="37.9"/>
    <x v="1"/>
    <x v="1"/>
    <x v="1"/>
    <x v="0"/>
    <x v="44"/>
    <n v="0"/>
    <x v="532"/>
    <x v="0"/>
    <n v="6474.0129999999999"/>
  </r>
  <r>
    <x v="0"/>
    <n v="36.4"/>
    <x v="1"/>
    <x v="1"/>
    <x v="1"/>
    <x v="2"/>
    <x v="43"/>
    <n v="0"/>
    <x v="241"/>
    <x v="2"/>
    <n v="11436.7382"/>
  </r>
  <r>
    <x v="0"/>
    <n v="27.6"/>
    <x v="0"/>
    <x v="1"/>
    <x v="1"/>
    <x v="2"/>
    <x v="40"/>
    <n v="0"/>
    <x v="215"/>
    <x v="1"/>
    <n v="11305.934600000001"/>
  </r>
  <r>
    <x v="1"/>
    <n v="37.700000000000003"/>
    <x v="1"/>
    <x v="1"/>
    <x v="1"/>
    <x v="2"/>
    <x v="19"/>
    <n v="0"/>
    <x v="533"/>
    <x v="2"/>
    <n v="30063.580600000001"/>
  </r>
  <r>
    <x v="0"/>
    <n v="23.2"/>
    <x v="2"/>
    <x v="1"/>
    <x v="1"/>
    <x v="3"/>
    <x v="14"/>
    <n v="0"/>
    <x v="247"/>
    <x v="0"/>
    <n v="10197.772199999999"/>
  </r>
  <r>
    <x v="0"/>
    <n v="20.5"/>
    <x v="2"/>
    <x v="1"/>
    <x v="1"/>
    <x v="3"/>
    <x v="4"/>
    <n v="0"/>
    <x v="481"/>
    <x v="0"/>
    <n v="4544.2348000000002"/>
  </r>
  <r>
    <x v="1"/>
    <n v="37.1"/>
    <x v="1"/>
    <x v="1"/>
    <x v="1"/>
    <x v="0"/>
    <x v="2"/>
    <n v="0"/>
    <x v="109"/>
    <x v="1"/>
    <n v="3277.1610000000001"/>
  </r>
  <r>
    <x v="0"/>
    <n v="28.1"/>
    <x v="0"/>
    <x v="1"/>
    <x v="1"/>
    <x v="1"/>
    <x v="24"/>
    <n v="0"/>
    <x v="123"/>
    <x v="1"/>
    <n v="6770.1925000000001"/>
  </r>
  <r>
    <x v="0"/>
    <n v="29.9"/>
    <x v="0"/>
    <x v="1"/>
    <x v="1"/>
    <x v="0"/>
    <x v="32"/>
    <n v="0"/>
    <x v="441"/>
    <x v="1"/>
    <n v="7337.7479999999996"/>
  </r>
  <r>
    <x v="0"/>
    <n v="33.299999999999997"/>
    <x v="1"/>
    <x v="1"/>
    <x v="1"/>
    <x v="3"/>
    <x v="41"/>
    <n v="0"/>
    <x v="150"/>
    <x v="3"/>
    <n v="10370.9126"/>
  </r>
  <r>
    <x v="1"/>
    <n v="23.8"/>
    <x v="2"/>
    <x v="0"/>
    <x v="0"/>
    <x v="1"/>
    <x v="33"/>
    <n v="1"/>
    <x v="534"/>
    <x v="0"/>
    <n v="26926.5144"/>
  </r>
  <r>
    <x v="0"/>
    <n v="30.5"/>
    <x v="1"/>
    <x v="1"/>
    <x v="1"/>
    <x v="0"/>
    <x v="19"/>
    <n v="0"/>
    <x v="252"/>
    <x v="0"/>
    <n v="10704.47"/>
  </r>
  <r>
    <x v="1"/>
    <n v="31.1"/>
    <x v="1"/>
    <x v="0"/>
    <x v="0"/>
    <x v="3"/>
    <x v="23"/>
    <n v="1"/>
    <x v="320"/>
    <x v="0"/>
    <n v="34254.053399999997"/>
  </r>
  <r>
    <x v="0"/>
    <n v="33.299999999999997"/>
    <x v="1"/>
    <x v="1"/>
    <x v="1"/>
    <x v="0"/>
    <x v="34"/>
    <n v="0"/>
    <x v="520"/>
    <x v="0"/>
    <n v="1880.4870000000001"/>
  </r>
  <r>
    <x v="1"/>
    <n v="27.5"/>
    <x v="0"/>
    <x v="1"/>
    <x v="1"/>
    <x v="0"/>
    <x v="39"/>
    <n v="0"/>
    <x v="97"/>
    <x v="2"/>
    <n v="8615.2999999999993"/>
  </r>
  <r>
    <x v="1"/>
    <n v="33.9"/>
    <x v="1"/>
    <x v="1"/>
    <x v="1"/>
    <x v="2"/>
    <x v="21"/>
    <n v="0"/>
    <x v="113"/>
    <x v="1"/>
    <n v="3292.5297999999998"/>
  </r>
  <r>
    <x v="0"/>
    <n v="34.5"/>
    <x v="1"/>
    <x v="1"/>
    <x v="1"/>
    <x v="2"/>
    <x v="9"/>
    <n v="0"/>
    <x v="525"/>
    <x v="0"/>
    <n v="3021.8092000000001"/>
  </r>
  <r>
    <x v="1"/>
    <n v="25.5"/>
    <x v="0"/>
    <x v="1"/>
    <x v="1"/>
    <x v="1"/>
    <x v="32"/>
    <n v="0"/>
    <x v="535"/>
    <x v="4"/>
    <n v="14478.3302"/>
  </r>
  <r>
    <x v="1"/>
    <n v="27.6"/>
    <x v="0"/>
    <x v="1"/>
    <x v="1"/>
    <x v="1"/>
    <x v="22"/>
    <n v="0"/>
    <x v="536"/>
    <x v="1"/>
    <n v="4747.0528999999997"/>
  </r>
  <r>
    <x v="1"/>
    <n v="27.1"/>
    <x v="0"/>
    <x v="0"/>
    <x v="0"/>
    <x v="1"/>
    <x v="21"/>
    <n v="1"/>
    <x v="537"/>
    <x v="0"/>
    <n v="17043.341400000001"/>
  </r>
  <r>
    <x v="1"/>
    <n v="23.7"/>
    <x v="2"/>
    <x v="1"/>
    <x v="1"/>
    <x v="0"/>
    <x v="37"/>
    <n v="0"/>
    <x v="408"/>
    <x v="0"/>
    <n v="10959.33"/>
  </r>
  <r>
    <x v="0"/>
    <n v="30.4"/>
    <x v="1"/>
    <x v="1"/>
    <x v="1"/>
    <x v="3"/>
    <x v="20"/>
    <n v="0"/>
    <x v="257"/>
    <x v="0"/>
    <n v="2741.9479999999999"/>
  </r>
  <r>
    <x v="0"/>
    <n v="29.7"/>
    <x v="0"/>
    <x v="1"/>
    <x v="1"/>
    <x v="2"/>
    <x v="4"/>
    <n v="0"/>
    <x v="129"/>
    <x v="0"/>
    <n v="4357.0436"/>
  </r>
  <r>
    <x v="1"/>
    <n v="29.9"/>
    <x v="0"/>
    <x v="0"/>
    <x v="0"/>
    <x v="3"/>
    <x v="46"/>
    <n v="1"/>
    <x v="503"/>
    <x v="1"/>
    <n v="22462.043799999999"/>
  </r>
  <r>
    <x v="0"/>
    <n v="26.8"/>
    <x v="0"/>
    <x v="1"/>
    <x v="1"/>
    <x v="2"/>
    <x v="9"/>
    <n v="0"/>
    <x v="471"/>
    <x v="3"/>
    <n v="4189.1130999999996"/>
  </r>
  <r>
    <x v="0"/>
    <n v="33.299999999999997"/>
    <x v="1"/>
    <x v="1"/>
    <x v="1"/>
    <x v="1"/>
    <x v="28"/>
    <n v="0"/>
    <x v="230"/>
    <x v="0"/>
    <n v="8283.6807000000008"/>
  </r>
  <r>
    <x v="0"/>
    <n v="27.6"/>
    <x v="0"/>
    <x v="0"/>
    <x v="0"/>
    <x v="2"/>
    <x v="42"/>
    <n v="1"/>
    <x v="215"/>
    <x v="3"/>
    <n v="24535.6986"/>
  </r>
  <r>
    <x v="0"/>
    <n v="21.7"/>
    <x v="2"/>
    <x v="0"/>
    <x v="0"/>
    <x v="3"/>
    <x v="1"/>
    <n v="1"/>
    <x v="496"/>
    <x v="0"/>
    <n v="14283.4594"/>
  </r>
  <r>
    <x v="1"/>
    <n v="30"/>
    <x v="1"/>
    <x v="1"/>
    <x v="1"/>
    <x v="1"/>
    <x v="1"/>
    <n v="0"/>
    <x v="279"/>
    <x v="1"/>
    <n v="1720.3536999999999"/>
  </r>
  <r>
    <x v="1"/>
    <n v="36.299999999999997"/>
    <x v="1"/>
    <x v="0"/>
    <x v="0"/>
    <x v="0"/>
    <x v="35"/>
    <n v="1"/>
    <x v="29"/>
    <x v="1"/>
    <n v="47403.88"/>
  </r>
  <r>
    <x v="0"/>
    <n v="24.3"/>
    <x v="2"/>
    <x v="1"/>
    <x v="1"/>
    <x v="3"/>
    <x v="42"/>
    <n v="0"/>
    <x v="200"/>
    <x v="0"/>
    <n v="8534.6718000000001"/>
  </r>
  <r>
    <x v="0"/>
    <n v="17.3"/>
    <x v="3"/>
    <x v="1"/>
    <x v="1"/>
    <x v="3"/>
    <x v="2"/>
    <n v="0"/>
    <x v="193"/>
    <x v="0"/>
    <n v="3732.6251000000002"/>
  </r>
  <r>
    <x v="0"/>
    <n v="25.9"/>
    <x v="0"/>
    <x v="1"/>
    <x v="1"/>
    <x v="0"/>
    <x v="26"/>
    <n v="0"/>
    <x v="473"/>
    <x v="1"/>
    <n v="5472.4489999999996"/>
  </r>
  <r>
    <x v="1"/>
    <n v="39.4"/>
    <x v="1"/>
    <x v="0"/>
    <x v="0"/>
    <x v="0"/>
    <x v="34"/>
    <n v="1"/>
    <x v="538"/>
    <x v="3"/>
    <n v="38344.565999999999"/>
  </r>
  <r>
    <x v="1"/>
    <n v="34.299999999999997"/>
    <x v="1"/>
    <x v="1"/>
    <x v="1"/>
    <x v="1"/>
    <x v="36"/>
    <n v="0"/>
    <x v="419"/>
    <x v="1"/>
    <n v="7147.4727999999996"/>
  </r>
  <r>
    <x v="0"/>
    <n v="20"/>
    <x v="2"/>
    <x v="1"/>
    <x v="1"/>
    <x v="3"/>
    <x v="25"/>
    <n v="0"/>
    <x v="91"/>
    <x v="3"/>
    <n v="7133.9025000000001"/>
  </r>
  <r>
    <x v="1"/>
    <n v="34.9"/>
    <x v="1"/>
    <x v="0"/>
    <x v="0"/>
    <x v="0"/>
    <x v="0"/>
    <n v="1"/>
    <x v="539"/>
    <x v="0"/>
    <n v="34828.654000000002"/>
  </r>
  <r>
    <x v="1"/>
    <n v="23.2"/>
    <x v="2"/>
    <x v="1"/>
    <x v="1"/>
    <x v="1"/>
    <x v="27"/>
    <n v="0"/>
    <x v="174"/>
    <x v="0"/>
    <n v="1515.3449000000001"/>
  </r>
  <r>
    <x v="1"/>
    <n v="25.7"/>
    <x v="0"/>
    <x v="1"/>
    <x v="1"/>
    <x v="2"/>
    <x v="6"/>
    <n v="0"/>
    <x v="474"/>
    <x v="2"/>
    <n v="9301.8935999999994"/>
  </r>
  <r>
    <x v="1"/>
    <n v="25.2"/>
    <x v="0"/>
    <x v="1"/>
    <x v="1"/>
    <x v="3"/>
    <x v="30"/>
    <n v="0"/>
    <x v="124"/>
    <x v="0"/>
    <n v="11931.1252"/>
  </r>
  <r>
    <x v="1"/>
    <n v="22"/>
    <x v="2"/>
    <x v="1"/>
    <x v="1"/>
    <x v="0"/>
    <x v="34"/>
    <n v="0"/>
    <x v="540"/>
    <x v="1"/>
    <n v="1964.78"/>
  </r>
  <r>
    <x v="1"/>
    <n v="26.1"/>
    <x v="0"/>
    <x v="1"/>
    <x v="1"/>
    <x v="3"/>
    <x v="1"/>
    <n v="0"/>
    <x v="388"/>
    <x v="0"/>
    <n v="1708.9258"/>
  </r>
  <r>
    <x v="0"/>
    <n v="26.5"/>
    <x v="0"/>
    <x v="1"/>
    <x v="1"/>
    <x v="1"/>
    <x v="2"/>
    <n v="0"/>
    <x v="426"/>
    <x v="3"/>
    <n v="4340.4408999999996"/>
  </r>
  <r>
    <x v="1"/>
    <n v="27.5"/>
    <x v="0"/>
    <x v="1"/>
    <x v="1"/>
    <x v="2"/>
    <x v="3"/>
    <n v="0"/>
    <x v="207"/>
    <x v="3"/>
    <n v="5261.4694"/>
  </r>
  <r>
    <x v="0"/>
    <n v="25.7"/>
    <x v="0"/>
    <x v="1"/>
    <x v="1"/>
    <x v="2"/>
    <x v="0"/>
    <n v="0"/>
    <x v="474"/>
    <x v="1"/>
    <n v="2710.8285999999998"/>
  </r>
  <r>
    <x v="1"/>
    <n v="30.4"/>
    <x v="1"/>
    <x v="0"/>
    <x v="0"/>
    <x v="1"/>
    <x v="39"/>
    <n v="1"/>
    <x v="541"/>
    <x v="0"/>
    <n v="62592.873099999997"/>
  </r>
  <r>
    <x v="1"/>
    <n v="30.9"/>
    <x v="1"/>
    <x v="0"/>
    <x v="0"/>
    <x v="2"/>
    <x v="10"/>
    <n v="1"/>
    <x v="99"/>
    <x v="2"/>
    <n v="46718.163200000003"/>
  </r>
  <r>
    <x v="0"/>
    <n v="20.8"/>
    <x v="2"/>
    <x v="1"/>
    <x v="1"/>
    <x v="0"/>
    <x v="9"/>
    <n v="0"/>
    <x v="37"/>
    <x v="1"/>
    <n v="3208.7869999999998"/>
  </r>
  <r>
    <x v="1"/>
    <n v="27.8"/>
    <x v="0"/>
    <x v="0"/>
    <x v="0"/>
    <x v="0"/>
    <x v="32"/>
    <n v="1"/>
    <x v="542"/>
    <x v="0"/>
    <n v="37829.724199999997"/>
  </r>
  <r>
    <x v="1"/>
    <n v="24.6"/>
    <x v="2"/>
    <x v="0"/>
    <x v="0"/>
    <x v="3"/>
    <x v="44"/>
    <n v="1"/>
    <x v="456"/>
    <x v="3"/>
    <n v="21259.378000000001"/>
  </r>
  <r>
    <x v="0"/>
    <n v="27.7"/>
    <x v="0"/>
    <x v="1"/>
    <x v="1"/>
    <x v="1"/>
    <x v="23"/>
    <n v="0"/>
    <x v="25"/>
    <x v="0"/>
    <n v="2464.6188000000002"/>
  </r>
  <r>
    <x v="0"/>
    <n v="21.9"/>
    <x v="2"/>
    <x v="0"/>
    <x v="0"/>
    <x v="3"/>
    <x v="38"/>
    <n v="1"/>
    <x v="361"/>
    <x v="0"/>
    <n v="16115.3045"/>
  </r>
  <r>
    <x v="1"/>
    <n v="28.1"/>
    <x v="0"/>
    <x v="0"/>
    <x v="0"/>
    <x v="2"/>
    <x v="4"/>
    <n v="1"/>
    <x v="213"/>
    <x v="5"/>
    <n v="21472.478800000001"/>
  </r>
  <r>
    <x v="0"/>
    <n v="30.2"/>
    <x v="1"/>
    <x v="0"/>
    <x v="0"/>
    <x v="0"/>
    <x v="9"/>
    <n v="1"/>
    <x v="204"/>
    <x v="0"/>
    <n v="33900.652999999998"/>
  </r>
  <r>
    <x v="1"/>
    <n v="32.200000000000003"/>
    <x v="1"/>
    <x v="1"/>
    <x v="1"/>
    <x v="0"/>
    <x v="24"/>
    <n v="0"/>
    <x v="158"/>
    <x v="3"/>
    <n v="6875.9610000000002"/>
  </r>
  <r>
    <x v="1"/>
    <n v="26.3"/>
    <x v="0"/>
    <x v="1"/>
    <x v="1"/>
    <x v="2"/>
    <x v="44"/>
    <n v="0"/>
    <x v="31"/>
    <x v="1"/>
    <n v="6940.9098000000004"/>
  </r>
  <r>
    <x v="0"/>
    <n v="26.7"/>
    <x v="0"/>
    <x v="1"/>
    <x v="1"/>
    <x v="2"/>
    <x v="3"/>
    <n v="0"/>
    <x v="301"/>
    <x v="0"/>
    <n v="4571.4129999999996"/>
  </r>
  <r>
    <x v="1"/>
    <n v="42.9"/>
    <x v="1"/>
    <x v="1"/>
    <x v="1"/>
    <x v="0"/>
    <x v="16"/>
    <n v="0"/>
    <x v="470"/>
    <x v="1"/>
    <n v="4536.259"/>
  </r>
  <r>
    <x v="0"/>
    <n v="34.700000000000003"/>
    <x v="1"/>
    <x v="0"/>
    <x v="0"/>
    <x v="0"/>
    <x v="0"/>
    <n v="1"/>
    <x v="118"/>
    <x v="3"/>
    <n v="36397.576000000001"/>
  </r>
  <r>
    <x v="0"/>
    <n v="23.7"/>
    <x v="2"/>
    <x v="0"/>
    <x v="0"/>
    <x v="2"/>
    <x v="15"/>
    <n v="1"/>
    <x v="367"/>
    <x v="2"/>
    <n v="18765.875400000001"/>
  </r>
  <r>
    <x v="1"/>
    <n v="28.3"/>
    <x v="0"/>
    <x v="1"/>
    <x v="1"/>
    <x v="3"/>
    <x v="1"/>
    <n v="0"/>
    <x v="33"/>
    <x v="1"/>
    <n v="11272.331399999999"/>
  </r>
  <r>
    <x v="0"/>
    <n v="20.6"/>
    <x v="2"/>
    <x v="1"/>
    <x v="1"/>
    <x v="0"/>
    <x v="0"/>
    <n v="0"/>
    <x v="272"/>
    <x v="0"/>
    <n v="1731.6769999999999"/>
  </r>
  <r>
    <x v="1"/>
    <n v="53.1"/>
    <x v="1"/>
    <x v="1"/>
    <x v="1"/>
    <x v="1"/>
    <x v="1"/>
    <n v="0"/>
    <x v="543"/>
    <x v="0"/>
    <n v="1163.4627"/>
  </r>
  <r>
    <x v="1"/>
    <n v="39.700000000000003"/>
    <x v="1"/>
    <x v="1"/>
    <x v="1"/>
    <x v="3"/>
    <x v="22"/>
    <n v="0"/>
    <x v="544"/>
    <x v="5"/>
    <n v="19496.7192"/>
  </r>
  <r>
    <x v="0"/>
    <n v="26.3"/>
    <x v="0"/>
    <x v="1"/>
    <x v="1"/>
    <x v="2"/>
    <x v="46"/>
    <n v="0"/>
    <x v="31"/>
    <x v="3"/>
    <n v="7201.7007999999996"/>
  </r>
  <r>
    <x v="1"/>
    <n v="31.1"/>
    <x v="1"/>
    <x v="1"/>
    <x v="1"/>
    <x v="2"/>
    <x v="5"/>
    <n v="0"/>
    <x v="320"/>
    <x v="2"/>
    <n v="5425.0234"/>
  </r>
  <r>
    <x v="1"/>
    <n v="26.7"/>
    <x v="0"/>
    <x v="0"/>
    <x v="0"/>
    <x v="3"/>
    <x v="10"/>
    <n v="1"/>
    <x v="301"/>
    <x v="0"/>
    <n v="28101.332999999999"/>
  </r>
  <r>
    <x v="1"/>
    <n v="38.799999999999997"/>
    <x v="1"/>
    <x v="1"/>
    <x v="1"/>
    <x v="1"/>
    <x v="10"/>
    <n v="0"/>
    <x v="130"/>
    <x v="0"/>
    <n v="12981.3457"/>
  </r>
  <r>
    <x v="0"/>
    <n v="40.4"/>
    <x v="1"/>
    <x v="0"/>
    <x v="0"/>
    <x v="1"/>
    <x v="44"/>
    <n v="1"/>
    <x v="514"/>
    <x v="3"/>
    <n v="43896.376300000004"/>
  </r>
  <r>
    <x v="1"/>
    <n v="25.9"/>
    <x v="0"/>
    <x v="1"/>
    <x v="1"/>
    <x v="2"/>
    <x v="5"/>
    <n v="0"/>
    <x v="63"/>
    <x v="1"/>
    <n v="4239.8926000000001"/>
  </r>
  <r>
    <x v="1"/>
    <n v="33.5"/>
    <x v="1"/>
    <x v="1"/>
    <x v="1"/>
    <x v="3"/>
    <x v="35"/>
    <n v="0"/>
    <x v="371"/>
    <x v="0"/>
    <n v="13143.336600000001"/>
  </r>
  <r>
    <x v="0"/>
    <n v="32.9"/>
    <x v="1"/>
    <x v="1"/>
    <x v="1"/>
    <x v="3"/>
    <x v="44"/>
    <n v="0"/>
    <x v="545"/>
    <x v="0"/>
    <n v="7050.0213000000003"/>
  </r>
  <r>
    <x v="1"/>
    <n v="30"/>
    <x v="1"/>
    <x v="1"/>
    <x v="1"/>
    <x v="1"/>
    <x v="43"/>
    <n v="0"/>
    <x v="279"/>
    <x v="1"/>
    <n v="9377.9046999999991"/>
  </r>
  <r>
    <x v="0"/>
    <n v="24.2"/>
    <x v="2"/>
    <x v="1"/>
    <x v="1"/>
    <x v="3"/>
    <x v="11"/>
    <n v="0"/>
    <x v="432"/>
    <x v="3"/>
    <n v="22395.744200000001"/>
  </r>
  <r>
    <x v="1"/>
    <n v="38.6"/>
    <x v="1"/>
    <x v="1"/>
    <x v="1"/>
    <x v="0"/>
    <x v="14"/>
    <n v="0"/>
    <x v="304"/>
    <x v="3"/>
    <n v="10325.206"/>
  </r>
  <r>
    <x v="0"/>
    <n v="25.7"/>
    <x v="0"/>
    <x v="1"/>
    <x v="1"/>
    <x v="1"/>
    <x v="37"/>
    <n v="0"/>
    <x v="5"/>
    <x v="3"/>
    <n v="12629.1656"/>
  </r>
  <r>
    <x v="0"/>
    <n v="33.4"/>
    <x v="1"/>
    <x v="1"/>
    <x v="1"/>
    <x v="0"/>
    <x v="11"/>
    <n v="0"/>
    <x v="220"/>
    <x v="0"/>
    <n v="10795.9373"/>
  </r>
  <r>
    <x v="0"/>
    <n v="44.7"/>
    <x v="1"/>
    <x v="1"/>
    <x v="1"/>
    <x v="0"/>
    <x v="14"/>
    <n v="0"/>
    <x v="546"/>
    <x v="2"/>
    <n v="11411.684999999999"/>
  </r>
  <r>
    <x v="1"/>
    <n v="31"/>
    <x v="1"/>
    <x v="1"/>
    <x v="1"/>
    <x v="2"/>
    <x v="45"/>
    <n v="0"/>
    <x v="547"/>
    <x v="2"/>
    <n v="10600.5483"/>
  </r>
  <r>
    <x v="0"/>
    <n v="31.9"/>
    <x v="1"/>
    <x v="1"/>
    <x v="1"/>
    <x v="3"/>
    <x v="1"/>
    <n v="0"/>
    <x v="23"/>
    <x v="0"/>
    <n v="2205.9807999999998"/>
  </r>
  <r>
    <x v="0"/>
    <n v="36.9"/>
    <x v="1"/>
    <x v="1"/>
    <x v="1"/>
    <x v="1"/>
    <x v="1"/>
    <n v="0"/>
    <x v="139"/>
    <x v="0"/>
    <n v="1629.8335"/>
  </r>
  <r>
    <x v="0"/>
    <n v="25.8"/>
    <x v="0"/>
    <x v="1"/>
    <x v="1"/>
    <x v="0"/>
    <x v="27"/>
    <n v="0"/>
    <x v="335"/>
    <x v="0"/>
    <n v="2007.9449999999999"/>
  </r>
  <r>
    <x v="0"/>
    <n v="29.1"/>
    <x v="0"/>
    <x v="0"/>
    <x v="0"/>
    <x v="2"/>
    <x v="35"/>
    <n v="1"/>
    <x v="187"/>
    <x v="0"/>
    <n v="29141.36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8BC2799-54FE-44E6-9428-3FE094EABE42}" name="PivotNoOfSubject"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4">
  <location ref="AC3:AD6" firstHeaderRow="1" firstDataRow="1" firstDataCol="1"/>
  <pivotFields count="11">
    <pivotField axis="axisRow" compact="0" outline="0" showAll="0">
      <items count="3">
        <item x="1"/>
        <item x="0"/>
        <item t="default"/>
      </items>
    </pivotField>
    <pivotField compact="0" outline="0" showAll="0"/>
    <pivotField compact="0" outline="0" showAll="0"/>
    <pivotField dataField="1" compact="0" outline="0" showAll="0">
      <items count="3">
        <item x="0"/>
        <item x="1"/>
        <item t="default"/>
      </items>
    </pivotField>
    <pivotField compact="0" outline="0" showAll="0"/>
    <pivotField compact="0" outline="0" showAll="0">
      <items count="5">
        <item x="3"/>
        <item x="2"/>
        <item x="1"/>
        <item x="0"/>
        <item t="default"/>
      </items>
    </pivotField>
    <pivotField compact="0" outline="0" showAll="0">
      <items count="8">
        <item x="0"/>
        <item x="1"/>
        <item x="2"/>
        <item x="3"/>
        <item x="4"/>
        <item x="5"/>
        <item x="6"/>
        <item t="default"/>
      </items>
    </pivotField>
    <pivotField compact="0" outline="0" showAll="0"/>
    <pivotField compact="0" outline="0" showAll="0"/>
    <pivotField compact="0" outline="0" showAll="0"/>
    <pivotField compact="0" outline="0" showAll="0"/>
  </pivotFields>
  <rowFields count="1">
    <field x="0"/>
  </rowFields>
  <rowItems count="3">
    <i>
      <x/>
    </i>
    <i>
      <x v="1"/>
    </i>
    <i t="grand">
      <x/>
    </i>
  </rowItems>
  <colItems count="1">
    <i/>
  </colItems>
  <dataFields count="1">
    <dataField name="Count of smoker" fld="3" subtotal="count" baseField="0" baseItem="0"/>
  </dataFields>
  <chartFormats count="3">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2">
          <reference field="4294967294" count="1" selected="0">
            <x v="0"/>
          </reference>
          <reference field="0" count="1" selected="0">
            <x v="0"/>
          </reference>
        </references>
      </pivotArea>
    </chartFormat>
    <chartFormat chart="1" format="4"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7A46B93-3A29-4FEF-9909-A1CD75B15C0E}" name="PivotSmokerVsCharges"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15">
  <location ref="Y3:Z6" firstHeaderRow="1" firstDataRow="1" firstDataCol="1"/>
  <pivotFields count="11">
    <pivotField compact="0" outline="0" showAll="0">
      <items count="3">
        <item x="0"/>
        <item x="1"/>
        <item t="default"/>
      </items>
    </pivotField>
    <pivotField compact="0" outline="0" showAll="0"/>
    <pivotField compact="0" outline="0" showAll="0"/>
    <pivotField compact="0" outline="0" showAll="0"/>
    <pivotField axis="axisRow" compact="0" outline="0" showAll="0">
      <items count="4">
        <item x="1"/>
        <item m="1" x="2"/>
        <item x="0"/>
        <item t="default"/>
      </items>
    </pivotField>
    <pivotField compact="0" outline="0" showAll="0">
      <items count="5">
        <item x="3"/>
        <item x="2"/>
        <item x="1"/>
        <item x="0"/>
        <item t="default"/>
      </items>
    </pivotField>
    <pivotField compact="0" outline="0" showAll="0">
      <items count="8">
        <item x="0"/>
        <item x="1"/>
        <item x="2"/>
        <item x="3"/>
        <item x="4"/>
        <item x="5"/>
        <item x="6"/>
        <item t="default"/>
      </items>
    </pivotField>
    <pivotField compact="0" outline="0" showAll="0"/>
    <pivotField compact="0" outline="0" showAll="0"/>
    <pivotField compact="0" outline="0" showAll="0"/>
    <pivotField dataField="1" compact="0" outline="0" showAll="0"/>
  </pivotFields>
  <rowFields count="1">
    <field x="4"/>
  </rowFields>
  <rowItems count="3">
    <i>
      <x/>
    </i>
    <i>
      <x v="2"/>
    </i>
    <i t="grand">
      <x/>
    </i>
  </rowItems>
  <colItems count="1">
    <i/>
  </colItems>
  <dataFields count="1">
    <dataField name="Average of charges" fld="10" subtotal="average" baseField="3" baseItem="1" numFmtId="164"/>
  </dataFields>
  <chartFormats count="4">
    <chartFormat chart="4" format="0" series="1">
      <pivotArea type="data" outline="0" fieldPosition="0">
        <references count="1">
          <reference field="4294967294" count="1" selected="0">
            <x v="0"/>
          </reference>
        </references>
      </pivotArea>
    </chartFormat>
    <chartFormat chart="14" format="5" series="1">
      <pivotArea type="data" outline="0" fieldPosition="0">
        <references count="1">
          <reference field="4294967294" count="1" selected="0">
            <x v="0"/>
          </reference>
        </references>
      </pivotArea>
    </chartFormat>
    <chartFormat chart="14" format="6">
      <pivotArea type="data" outline="0" fieldPosition="0">
        <references count="2">
          <reference field="4294967294" count="1" selected="0">
            <x v="0"/>
          </reference>
          <reference field="4" count="1" selected="0">
            <x v="0"/>
          </reference>
        </references>
      </pivotArea>
    </chartFormat>
    <chartFormat chart="14" format="7">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AEC3FB7-61FD-4EAB-9A67-2B6BEBEE963F}" name="PivotTable7"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9">
  <location ref="U3:V8" firstHeaderRow="1" firstDataRow="1" firstDataCol="1"/>
  <pivotFields count="11">
    <pivotField compact="0" outline="0" showAll="0"/>
    <pivotField compact="0" outline="0" showAll="0"/>
    <pivotField compact="0" outline="0" showAll="0"/>
    <pivotField compact="0" outline="0" showAll="0"/>
    <pivotField compact="0" outline="0" showAll="0"/>
    <pivotField axis="axisRow" compact="0" outline="0" showAll="0">
      <items count="5">
        <item x="3"/>
        <item x="2"/>
        <item x="1"/>
        <item x="0"/>
        <item t="default"/>
      </items>
    </pivotField>
    <pivotField compact="0" outline="0" showAll="0">
      <items count="8">
        <item x="0"/>
        <item x="1"/>
        <item x="2"/>
        <item x="3"/>
        <item x="4"/>
        <item x="5"/>
        <item x="6"/>
        <item t="default"/>
      </items>
    </pivotField>
    <pivotField compact="0" outline="0" showAll="0"/>
    <pivotField compact="0" outline="0" showAll="0"/>
    <pivotField compact="0" outline="0" showAll="0"/>
    <pivotField dataField="1" compact="0" outline="0" showAll="0"/>
  </pivotFields>
  <rowFields count="1">
    <field x="5"/>
  </rowFields>
  <rowItems count="5">
    <i>
      <x/>
    </i>
    <i>
      <x v="1"/>
    </i>
    <i>
      <x v="2"/>
    </i>
    <i>
      <x v="3"/>
    </i>
    <i t="grand">
      <x/>
    </i>
  </rowItems>
  <colItems count="1">
    <i/>
  </colItems>
  <dataFields count="1">
    <dataField name="Average of charges" fld="10" subtotal="average" baseField="2" baseItem="3"/>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22610C7-1771-4CE4-B305-2026E57A8E87}" name="PivotTable8"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2">
  <location ref="K3:M9" firstHeaderRow="1" firstDataRow="2" firstDataCol="1"/>
  <pivotFields count="11">
    <pivotField compact="0" outline="0" showAll="0" defaultSubtotal="0"/>
    <pivotField compact="0" outline="0" showAll="0" defaultSubtotal="0"/>
    <pivotField axis="axisRow" compact="0" outline="0" showAll="0" defaultSubtotal="0">
      <items count="5">
        <item x="3"/>
        <item x="2"/>
        <item x="1"/>
        <item x="0"/>
        <item m="1" x="4"/>
      </items>
    </pivotField>
    <pivotField axis="axisCol" compact="0" outline="0" showAll="0" defaultSubtotal="0">
      <items count="2">
        <item x="1"/>
        <item x="0"/>
      </items>
    </pivotField>
    <pivotField compact="0" outline="0" subtotalTop="0" showAll="0" defaultSubtotal="0"/>
    <pivotField compact="0" outline="0" showAll="0" defaultSubtotal="0"/>
    <pivotField compact="0" outline="0" showAll="0" defaultSubtotal="0">
      <items count="7">
        <item x="0"/>
        <item x="1"/>
        <item x="2"/>
        <item x="3"/>
        <item x="4"/>
        <item x="5"/>
        <item x="6"/>
      </items>
    </pivotField>
    <pivotField compact="0" outline="0" subtotalTop="0" showAll="0" defaultSubtotal="0"/>
    <pivotField compact="0" outline="0" showAll="0" defaultSubtotal="0"/>
    <pivotField compact="0" outline="0" showAll="0" defaultSubtotal="0"/>
    <pivotField dataField="1" compact="0" outline="0" showAll="0" defaultSubtotal="0"/>
  </pivotFields>
  <rowFields count="1">
    <field x="2"/>
  </rowFields>
  <rowItems count="5">
    <i>
      <x/>
    </i>
    <i>
      <x v="1"/>
    </i>
    <i>
      <x v="2"/>
    </i>
    <i>
      <x v="3"/>
    </i>
    <i t="grand">
      <x/>
    </i>
  </rowItems>
  <colFields count="1">
    <field x="3"/>
  </colFields>
  <colItems count="2">
    <i>
      <x/>
    </i>
    <i>
      <x v="1"/>
    </i>
  </colItems>
  <dataFields count="1">
    <dataField name="Average of charges" fld="10" subtotal="average" baseField="2" baseItem="3"/>
  </dataFields>
  <chartFormats count="2">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E136DE1-C098-456A-A0F1-708E5F4D99BB}" name="PivotAgeVsCharges"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4">
  <location ref="O3:P9" firstHeaderRow="1" firstDataRow="1" firstDataCol="1"/>
  <pivotFields count="11">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items count="5">
        <item x="3"/>
        <item x="2"/>
        <item x="1"/>
        <item x="0"/>
        <item t="default"/>
      </items>
    </pivotField>
    <pivotField axis="axisRow" compact="0" outline="0" showAll="0">
      <items count="8">
        <item x="0"/>
        <item x="1"/>
        <item x="2"/>
        <item x="3"/>
        <item x="4"/>
        <item x="5"/>
        <item x="6"/>
        <item t="default"/>
      </items>
    </pivotField>
    <pivotField compact="0" outline="0" showAll="0"/>
    <pivotField compact="0" outline="0" showAll="0"/>
    <pivotField compact="0" outline="0" showAll="0"/>
    <pivotField dataField="1" compact="0" outline="0" showAll="0"/>
  </pivotFields>
  <rowFields count="1">
    <field x="6"/>
  </rowFields>
  <rowItems count="6">
    <i>
      <x v="1"/>
    </i>
    <i>
      <x v="2"/>
    </i>
    <i>
      <x v="3"/>
    </i>
    <i>
      <x v="4"/>
    </i>
    <i>
      <x v="5"/>
    </i>
    <i t="grand">
      <x/>
    </i>
  </rowItems>
  <colItems count="1">
    <i/>
  </colItems>
  <dataFields count="1">
    <dataField name="Average of charges" fld="10" subtotal="average" baseField="6" baseItem="3" numFmtId="164"/>
  </dataFields>
  <chartFormats count="4">
    <chartFormat chart="1"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CECE821-3BAE-43EE-A4C2-3A9C03702ED8}" name="PivotBMIVsCharges"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0">
  <location ref="E3:F8" firstHeaderRow="1" firstDataRow="1" firstDataCol="1"/>
  <pivotFields count="11">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items count="5">
        <item x="3"/>
        <item x="2"/>
        <item x="1"/>
        <item x="0"/>
        <item t="default"/>
      </items>
    </pivotField>
    <pivotField compact="0" outline="0" showAll="0">
      <items count="8">
        <item x="0"/>
        <item x="1"/>
        <item x="2"/>
        <item x="3"/>
        <item x="4"/>
        <item x="5"/>
        <item x="6"/>
        <item t="default"/>
      </items>
    </pivotField>
    <pivotField compact="0" outline="0" showAll="0"/>
    <pivotField axis="axisRow" compact="0" outline="0" showAll="0">
      <items count="7">
        <item x="0"/>
        <item x="1"/>
        <item x="2"/>
        <item x="3"/>
        <item x="4"/>
        <item x="5"/>
        <item t="default"/>
      </items>
    </pivotField>
    <pivotField compact="0" outline="0" showAll="0"/>
    <pivotField dataField="1" compact="0" outline="0" showAll="0"/>
  </pivotFields>
  <rowFields count="1">
    <field x="8"/>
  </rowFields>
  <rowItems count="5">
    <i>
      <x v="1"/>
    </i>
    <i>
      <x v="2"/>
    </i>
    <i>
      <x v="3"/>
    </i>
    <i>
      <x v="4"/>
    </i>
    <i t="grand">
      <x/>
    </i>
  </rowItems>
  <colItems count="1">
    <i/>
  </colItems>
  <dataFields count="1">
    <dataField name="Average of charges" fld="10" subtotal="average" baseField="2" baseItem="3"/>
  </dataField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3CF8806-151A-43E4-9241-44A87E12A35F}" name="PivotChildrenVsCharges"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7">
  <location ref="R3:S10" firstHeaderRow="1" firstDataRow="1" firstDataCol="1"/>
  <pivotFields count="11">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items count="5">
        <item x="3"/>
        <item x="2"/>
        <item x="1"/>
        <item x="0"/>
        <item t="default"/>
      </items>
    </pivotField>
    <pivotField compact="0" outline="0" showAll="0">
      <items count="8">
        <item x="0"/>
        <item x="1"/>
        <item x="2"/>
        <item x="3"/>
        <item x="4"/>
        <item x="5"/>
        <item x="6"/>
        <item t="default"/>
      </items>
    </pivotField>
    <pivotField compact="0" outline="0" showAll="0"/>
    <pivotField compact="0" outline="0" showAll="0"/>
    <pivotField axis="axisRow" compact="0" outline="0" showAll="0">
      <items count="7">
        <item x="0"/>
        <item x="1"/>
        <item x="3"/>
        <item x="2"/>
        <item x="5"/>
        <item x="4"/>
        <item t="default"/>
      </items>
    </pivotField>
    <pivotField dataField="1" compact="0" outline="0" showAll="0"/>
  </pivotFields>
  <rowFields count="1">
    <field x="9"/>
  </rowFields>
  <rowItems count="7">
    <i>
      <x/>
    </i>
    <i>
      <x v="1"/>
    </i>
    <i>
      <x v="2"/>
    </i>
    <i>
      <x v="3"/>
    </i>
    <i>
      <x v="4"/>
    </i>
    <i>
      <x v="5"/>
    </i>
    <i t="grand">
      <x/>
    </i>
  </rowItems>
  <colItems count="1">
    <i/>
  </colItems>
  <dataFields count="1">
    <dataField name="Average of charges" fld="10" subtotal="average" baseField="2" baseItem="3"/>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686CDF4-C686-4282-815C-0E9C0DAAFB2C}" name="PivotBMIRangeVsCharges"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2">
  <location ref="H3:I8" firstHeaderRow="1" firstDataRow="1" firstDataCol="1"/>
  <pivotFields count="11">
    <pivotField compact="0" outline="0" showAll="0">
      <items count="3">
        <item x="0"/>
        <item x="1"/>
        <item t="default"/>
      </items>
    </pivotField>
    <pivotField compact="0" outline="0" showAll="0"/>
    <pivotField axis="axisRow" compact="0" outline="0" showAll="0">
      <items count="6">
        <item x="3"/>
        <item x="2"/>
        <item x="1"/>
        <item x="0"/>
        <item m="1" x="4"/>
        <item t="default"/>
      </items>
    </pivotField>
    <pivotField compact="0" outline="0" showAll="0"/>
    <pivotField compact="0" outline="0" showAll="0"/>
    <pivotField compact="0" outline="0" showAll="0">
      <items count="5">
        <item x="3"/>
        <item x="2"/>
        <item x="1"/>
        <item x="0"/>
        <item t="default"/>
      </items>
    </pivotField>
    <pivotField compact="0" outline="0" showAll="0">
      <items count="8">
        <item x="0"/>
        <item x="1"/>
        <item x="2"/>
        <item x="3"/>
        <item x="4"/>
        <item x="5"/>
        <item x="6"/>
        <item t="default"/>
      </items>
    </pivotField>
    <pivotField compact="0" outline="0" showAll="0"/>
    <pivotField compact="0" outline="0" showAll="0"/>
    <pivotField compact="0" outline="0" showAll="0"/>
    <pivotField dataField="1" compact="0" outline="0" showAll="0"/>
  </pivotFields>
  <rowFields count="1">
    <field x="2"/>
  </rowFields>
  <rowItems count="5">
    <i>
      <x/>
    </i>
    <i>
      <x v="1"/>
    </i>
    <i>
      <x v="2"/>
    </i>
    <i>
      <x v="3"/>
    </i>
    <i t="grand">
      <x/>
    </i>
  </rowItems>
  <colItems count="1">
    <i/>
  </colItems>
  <dataFields count="1">
    <dataField name="Average of charges" fld="10" subtotal="average" baseField="2" baseItem="2" numFmtId="164"/>
  </dataFields>
  <chartFormats count="6">
    <chartFormat chart="1"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9" format="3">
      <pivotArea type="data" outline="0" fieldPosition="0">
        <references count="2">
          <reference field="4294967294" count="1" selected="0">
            <x v="0"/>
          </reference>
          <reference field="2" count="1" selected="0">
            <x v="3"/>
          </reference>
        </references>
      </pivotArea>
    </chartFormat>
    <chartFormat chart="9" format="4">
      <pivotArea type="data" outline="0" fieldPosition="0">
        <references count="2">
          <reference field="4294967294" count="1" selected="0">
            <x v="0"/>
          </reference>
          <reference field="2" count="1" selected="0">
            <x v="1"/>
          </reference>
        </references>
      </pivotArea>
    </chartFormat>
    <chartFormat chart="9" format="5">
      <pivotArea type="data" outline="0" fieldPosition="0">
        <references count="2">
          <reference field="4294967294" count="1" selected="0">
            <x v="0"/>
          </reference>
          <reference field="2" count="1" selected="0">
            <x v="0"/>
          </reference>
        </references>
      </pivotArea>
    </chartFormat>
    <chartFormat chart="9" format="6">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ECFDB48-A50E-463C-82A4-36E7ED9F7113}" name="PivotTable1"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3">
  <location ref="A3:C7" firstHeaderRow="1" firstDataRow="2" firstDataCol="1"/>
  <pivotFields count="11">
    <pivotField axis="axisCol" compact="0" outline="0" showAll="0">
      <items count="3">
        <item x="1"/>
        <item x="0"/>
        <item t="default"/>
      </items>
    </pivotField>
    <pivotField compact="0" outline="0" showAll="0"/>
    <pivotField compact="0" outline="0" showAll="0"/>
    <pivotField axis="axisRow" dataField="1" compact="0" outline="0" showAll="0">
      <items count="3">
        <item x="0"/>
        <item x="1"/>
        <item t="default"/>
      </items>
    </pivotField>
    <pivotField compact="0" outline="0" showAll="0"/>
    <pivotField compact="0" outline="0" showAll="0"/>
    <pivotField compact="0" outline="0" showAll="0">
      <items count="8">
        <item x="0"/>
        <item x="1"/>
        <item x="2"/>
        <item x="3"/>
        <item x="4"/>
        <item x="5"/>
        <item x="6"/>
        <item t="default"/>
      </items>
    </pivotField>
    <pivotField compact="0" outline="0" showAll="0"/>
    <pivotField compact="0" outline="0" showAll="0"/>
    <pivotField compact="0" outline="0" showAll="0"/>
    <pivotField compact="0" outline="0" showAll="0"/>
  </pivotFields>
  <rowFields count="1">
    <field x="3"/>
  </rowFields>
  <rowItems count="3">
    <i>
      <x/>
    </i>
    <i>
      <x v="1"/>
    </i>
    <i t="grand">
      <x/>
    </i>
  </rowItems>
  <colFields count="1">
    <field x="0"/>
  </colFields>
  <colItems count="2">
    <i>
      <x/>
    </i>
    <i>
      <x v="1"/>
    </i>
  </colItems>
  <dataFields count="1">
    <dataField name="Count of smoker" fld="3" subtotal="count" baseField="0" baseItem="0"/>
  </dataFields>
  <chartFormats count="5">
    <chartFormat chart="1" format="0" series="1">
      <pivotArea type="data" outline="0" fieldPosition="0">
        <references count="2">
          <reference field="4294967294" count="1" selected="0">
            <x v="0"/>
          </reference>
          <reference field="3" count="1" selected="0">
            <x v="1"/>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2">
          <reference field="4294967294" count="1" selected="0">
            <x v="0"/>
          </reference>
          <reference field="0" count="1" selected="0">
            <x v="0"/>
          </reference>
        </references>
      </pivotArea>
    </chartFormat>
    <chartFormat chart="1" format="4"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F8DFFB6-46F6-4066-8F3F-DE49D16E3BD4}" autoFormatId="16" applyNumberFormats="0" applyBorderFormats="0" applyFontFormats="0" applyPatternFormats="0" applyAlignmentFormats="0" applyWidthHeightFormats="0">
  <queryTableRefresh nextId="16">
    <queryTableFields count="11">
      <queryTableField id="2" name="sex" tableColumnId="2"/>
      <queryTableField id="9" dataBound="0" tableColumnId="9"/>
      <queryTableField id="8" dataBound="0" tableColumnId="8"/>
      <queryTableField id="5" name="smoker" tableColumnId="5"/>
      <queryTableField id="15" dataBound="0" tableColumnId="11"/>
      <queryTableField id="6" name="region" tableColumnId="6"/>
      <queryTableField id="1" name="age" tableColumnId="1"/>
      <queryTableField id="14" dataBound="0" tableColumnId="10"/>
      <queryTableField id="3" name="bmi" tableColumnId="3"/>
      <queryTableField id="4" name="children" tableColumnId="4"/>
      <queryTableField id="7" name="charges"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A48015C4-D241-4C3E-8571-74DF7FEA47D9}" sourceName="sex">
  <pivotTables>
    <pivotTable tabId="4" name="PivotBMIRangeVsCharges"/>
    <pivotTable tabId="4" name="PivotAgeVsCharges"/>
    <pivotTable tabId="4" name="PivotBMIVsCharges"/>
    <pivotTable tabId="4" name="PivotChildrenVsCharges"/>
    <pivotTable tabId="4" name="PivotSmokerVsCharges"/>
    <pivotTable tabId="4" name="PivotNoOfSubject"/>
  </pivotTables>
  <data>
    <tabular pivotCacheId="411180783">
      <items count="2">
        <i x="0"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FA6DABE-00D3-4E54-A03A-16DEF3DBF593}" sourceName="region">
  <pivotTables>
    <pivotTable tabId="4" name="PivotSmokerVsCharges"/>
    <pivotTable tabId="4" name="PivotAgeVsCharges"/>
    <pivotTable tabId="4" name="PivotBMIRangeVsCharges"/>
    <pivotTable tabId="4" name="PivotBMIVsCharges"/>
    <pivotTable tabId="4" name="PivotChildrenVsCharges"/>
    <pivotTable tabId="4" name="PivotNoOfSubject"/>
  </pivotTables>
  <data>
    <tabular pivotCacheId="411180783">
      <items count="4">
        <i x="3" s="1"/>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 xr10:uid="{7A318EB8-D621-4EE6-8644-16C31175392A}" cache="Slicer_sex" caption="Gender" style="SlicerStyleDark1 2" rowHeight="504000"/>
  <slicer name="region" xr10:uid="{AA8AD08F-0A9A-41F6-9DB4-859E165BB863}" cache="Slicer_region" caption="Region" style="SlicerStyleDark1 2" rowHeight="3600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969B1A-1770-4872-8C9B-BCE766F0A18E}" name="Table1" displayName="Table1" ref="A1:G1339" totalsRowShown="0">
  <autoFilter ref="A1:G1339" xr:uid="{E3969B1A-1770-4872-8C9B-BCE766F0A18E}"/>
  <tableColumns count="7">
    <tableColumn id="1" xr3:uid="{96AF66A8-2320-4167-BE30-D8E758135D3A}" name="age"/>
    <tableColumn id="2" xr3:uid="{1AFFE1EC-0FFA-4F20-A8BC-18519BCD34DB}" name="sex"/>
    <tableColumn id="3" xr3:uid="{EA1007D0-3CE4-448D-B362-D830B643363B}" name="bmi"/>
    <tableColumn id="4" xr3:uid="{21F12910-9233-43D4-9C8E-CED86091ACF9}" name="children"/>
    <tableColumn id="5" xr3:uid="{7FE29AE6-E67E-49DD-A1DB-D6EED9458787}" name="smoker"/>
    <tableColumn id="6" xr3:uid="{1C5D0781-AC9F-411F-8861-9A75BE87FBF4}" name="region"/>
    <tableColumn id="7" xr3:uid="{C5BBC73F-6B7D-48EB-906B-321BD65F70D4}" name="charges"/>
  </tableColumns>
  <tableStyleInfo name="TableStyleLight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B1647CC-B1C7-41E2-998B-F15E8DE74C84}" name="Table13" displayName="Table13" ref="A1:G1339" totalsRowShown="0">
  <autoFilter ref="A1:G1339" xr:uid="{E3969B1A-1770-4872-8C9B-BCE766F0A18E}"/>
  <tableColumns count="7">
    <tableColumn id="1" xr3:uid="{54F1F1A2-5B57-4BCD-9080-18740ACBB250}" name="age"/>
    <tableColumn id="2" xr3:uid="{DD564473-1487-47C4-89B3-177304F4193B}" name="sex"/>
    <tableColumn id="3" xr3:uid="{4187E563-9A66-4CBA-A9BC-9312A305B14E}" name="bmi"/>
    <tableColumn id="4" xr3:uid="{3B9A325E-3F94-4D16-BD02-5DE2EDA03D52}" name="children"/>
    <tableColumn id="5" xr3:uid="{2110B608-206C-4462-8BCB-707F1501EE3D}" name="smoker"/>
    <tableColumn id="6" xr3:uid="{5343F80A-E8D3-4E43-9F83-1228FF726CAB}" name="region"/>
    <tableColumn id="7" xr3:uid="{84CB7A9A-5390-4A1D-9F7C-9EA556A394B5}" name="charges"/>
  </tableColumns>
  <tableStyleInfo name="TableStyleLight1"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83AEFD-1A02-418A-A7B7-3BCD5FB92EE4}" name="Table13_1" displayName="Table13_1" ref="A1:K1339" tableType="queryTable" totalsRowShown="0" dataDxfId="15">
  <autoFilter ref="A1:K1339" xr:uid="{F983AEFD-1A02-418A-A7B7-3BCD5FB92EE4}"/>
  <tableColumns count="11">
    <tableColumn id="2" xr3:uid="{93DD0150-ECD1-4452-8845-FBE9B6B34876}" uniqueName="2" name="sex" queryTableFieldId="2" dataDxfId="14"/>
    <tableColumn id="9" xr3:uid="{9743C9E1-36CA-4883-BEB3-530DCA831C20}" uniqueName="9" name="Round BMI" queryTableFieldId="9" dataDxfId="13">
      <calculatedColumnFormula>ROUND(Table13_1[[#This Row],[bmi]],1)</calculatedColumnFormula>
    </tableColumn>
    <tableColumn id="8" xr3:uid="{7B6ADF75-DD32-4D21-ADC2-A90C50C06477}" uniqueName="8" name="BMI Ranges" queryTableFieldId="8" dataDxfId="12">
      <calculatedColumnFormula array="1">_xlfn.IFS(Table13_1[[#This Row],[Round BMI]]&lt;18.5,"Underweight",AND(Table13_1[[#This Row],[Round BMI]]&gt;=18.5,Table13_1[[#This Row],[Round BMI]] &lt;=24.9),"Healthy Weight",AND(Table13_1[[#This Row],[Round BMI]]&gt;=25,Table13_1[[#This Row],[Round BMI]]&lt;=29.9),"Overweight",Table13_1[[#This Row],[Round BMI]]&gt;=30,"Obese")</calculatedColumnFormula>
    </tableColumn>
    <tableColumn id="5" xr3:uid="{42C6E482-DCA9-4461-B880-4458FD36EB83}" uniqueName="5" name="smoker" queryTableFieldId="5" dataDxfId="11"/>
    <tableColumn id="11" xr3:uid="{958FB178-9F69-401B-9E45-88F15500CB33}" uniqueName="11" name="Smoker stat" queryTableFieldId="15" dataDxfId="10">
      <calculatedColumnFormula>IF(Table13_1[[#This Row],[smoker]]="yes","smoker","non-smoker")</calculatedColumnFormula>
    </tableColumn>
    <tableColumn id="6" xr3:uid="{73063795-5E21-4BE6-80C8-9A703DBA1E6F}" uniqueName="6" name="region" queryTableFieldId="6" dataDxfId="9"/>
    <tableColumn id="1" xr3:uid="{413BC1AA-413A-4742-B8F9-414771C32DE7}" uniqueName="1" name="age" queryTableFieldId="1" dataDxfId="8"/>
    <tableColumn id="10" xr3:uid="{C1F6451B-AA25-4E79-ABB5-F77BF9887E22}" uniqueName="10" name="smoker2" queryTableFieldId="14" dataDxfId="7">
      <calculatedColumnFormula>IF(Table13_1[[#This Row],[smoker]]="yes",1,0)</calculatedColumnFormula>
    </tableColumn>
    <tableColumn id="3" xr3:uid="{90C5B836-AB6F-46AA-B2C1-776CA93FF583}" uniqueName="3" name="bmi" queryTableFieldId="3" dataDxfId="6"/>
    <tableColumn id="4" xr3:uid="{FC16C374-C51A-43DE-8ED7-2B39C98EED11}" uniqueName="4" name="children" queryTableFieldId="4" dataDxfId="5"/>
    <tableColumn id="7" xr3:uid="{3A867A3D-6272-4278-AECE-7A0E151C8501}" uniqueName="7" name="charges" queryTableFieldId="7" dataDxfId="4"/>
  </tableColumns>
  <tableStyleInfo name="TableStyleLight1" showFirstColumn="0" showLastColumn="0" showRowStripes="0" showColumnStripes="1"/>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099C5-D371-4CB0-8B18-AF1CA6073671}">
  <sheetPr codeName="Sheet2"/>
  <dimension ref="A1:G1339"/>
  <sheetViews>
    <sheetView workbookViewId="0">
      <selection activeCell="G4" sqref="G4"/>
    </sheetView>
  </sheetViews>
  <sheetFormatPr defaultRowHeight="15" x14ac:dyDescent="0.25"/>
  <cols>
    <col min="4" max="4" width="10.5703125" customWidth="1"/>
    <col min="5" max="5" width="9.85546875" customWidth="1"/>
    <col min="6" max="6" width="12.7109375" customWidth="1"/>
    <col min="7" max="7" width="15.42578125" customWidth="1"/>
  </cols>
  <sheetData>
    <row r="1" spans="1:7" x14ac:dyDescent="0.25">
      <c r="A1" t="s">
        <v>0</v>
      </c>
      <c r="B1" t="s">
        <v>1</v>
      </c>
      <c r="C1" t="s">
        <v>2</v>
      </c>
      <c r="D1" t="s">
        <v>3</v>
      </c>
      <c r="E1" t="s">
        <v>4</v>
      </c>
      <c r="F1" t="s">
        <v>5</v>
      </c>
      <c r="G1" t="s">
        <v>6</v>
      </c>
    </row>
    <row r="2" spans="1:7" x14ac:dyDescent="0.25">
      <c r="A2">
        <v>19</v>
      </c>
      <c r="B2" t="s">
        <v>7</v>
      </c>
      <c r="C2">
        <v>27.9</v>
      </c>
      <c r="D2">
        <v>0</v>
      </c>
      <c r="E2" t="s">
        <v>8</v>
      </c>
      <c r="F2" t="s">
        <v>9</v>
      </c>
      <c r="G2">
        <v>16884.923999999999</v>
      </c>
    </row>
    <row r="3" spans="1:7" x14ac:dyDescent="0.25">
      <c r="A3">
        <v>18</v>
      </c>
      <c r="B3" t="s">
        <v>10</v>
      </c>
      <c r="C3">
        <v>33.770000000000003</v>
      </c>
      <c r="D3">
        <v>1</v>
      </c>
      <c r="E3" t="s">
        <v>11</v>
      </c>
      <c r="F3" t="s">
        <v>12</v>
      </c>
      <c r="G3">
        <v>1725.5523000000001</v>
      </c>
    </row>
    <row r="4" spans="1:7" x14ac:dyDescent="0.25">
      <c r="A4">
        <v>28</v>
      </c>
      <c r="B4" t="s">
        <v>10</v>
      </c>
      <c r="C4">
        <v>33</v>
      </c>
      <c r="D4">
        <v>3</v>
      </c>
      <c r="E4" t="s">
        <v>11</v>
      </c>
      <c r="F4" t="s">
        <v>12</v>
      </c>
      <c r="G4">
        <v>4449.4620000000004</v>
      </c>
    </row>
    <row r="5" spans="1:7" x14ac:dyDescent="0.25">
      <c r="A5">
        <v>33</v>
      </c>
      <c r="B5" t="s">
        <v>10</v>
      </c>
      <c r="C5">
        <v>22.704999999999998</v>
      </c>
      <c r="D5">
        <v>0</v>
      </c>
      <c r="E5" t="s">
        <v>11</v>
      </c>
      <c r="F5" t="s">
        <v>13</v>
      </c>
      <c r="G5">
        <v>21984.47061</v>
      </c>
    </row>
    <row r="6" spans="1:7" x14ac:dyDescent="0.25">
      <c r="A6">
        <v>32</v>
      </c>
      <c r="B6" t="s">
        <v>10</v>
      </c>
      <c r="C6">
        <v>28.88</v>
      </c>
      <c r="D6">
        <v>0</v>
      </c>
      <c r="E6" t="s">
        <v>11</v>
      </c>
      <c r="F6" t="s">
        <v>13</v>
      </c>
      <c r="G6">
        <v>3866.8552</v>
      </c>
    </row>
    <row r="7" spans="1:7" x14ac:dyDescent="0.25">
      <c r="A7">
        <v>31</v>
      </c>
      <c r="B7" t="s">
        <v>7</v>
      </c>
      <c r="C7">
        <v>25.74</v>
      </c>
      <c r="D7">
        <v>0</v>
      </c>
      <c r="E7" t="s">
        <v>11</v>
      </c>
      <c r="F7" t="s">
        <v>12</v>
      </c>
      <c r="G7">
        <v>3756.6215999999999</v>
      </c>
    </row>
    <row r="8" spans="1:7" x14ac:dyDescent="0.25">
      <c r="A8">
        <v>46</v>
      </c>
      <c r="B8" t="s">
        <v>7</v>
      </c>
      <c r="C8">
        <v>33.44</v>
      </c>
      <c r="D8">
        <v>1</v>
      </c>
      <c r="E8" t="s">
        <v>11</v>
      </c>
      <c r="F8" t="s">
        <v>12</v>
      </c>
      <c r="G8">
        <v>8240.5895999999993</v>
      </c>
    </row>
    <row r="9" spans="1:7" x14ac:dyDescent="0.25">
      <c r="A9">
        <v>37</v>
      </c>
      <c r="B9" t="s">
        <v>7</v>
      </c>
      <c r="C9">
        <v>27.74</v>
      </c>
      <c r="D9">
        <v>3</v>
      </c>
      <c r="E9" t="s">
        <v>11</v>
      </c>
      <c r="F9" t="s">
        <v>13</v>
      </c>
      <c r="G9">
        <v>7281.5056000000004</v>
      </c>
    </row>
    <row r="10" spans="1:7" x14ac:dyDescent="0.25">
      <c r="A10">
        <v>37</v>
      </c>
      <c r="B10" t="s">
        <v>10</v>
      </c>
      <c r="C10">
        <v>29.83</v>
      </c>
      <c r="D10">
        <v>2</v>
      </c>
      <c r="E10" t="s">
        <v>11</v>
      </c>
      <c r="F10" t="s">
        <v>14</v>
      </c>
      <c r="G10">
        <v>6406.4107000000004</v>
      </c>
    </row>
    <row r="11" spans="1:7" x14ac:dyDescent="0.25">
      <c r="A11">
        <v>60</v>
      </c>
      <c r="B11" t="s">
        <v>7</v>
      </c>
      <c r="C11">
        <v>25.84</v>
      </c>
      <c r="D11">
        <v>0</v>
      </c>
      <c r="E11" t="s">
        <v>11</v>
      </c>
      <c r="F11" t="s">
        <v>13</v>
      </c>
      <c r="G11">
        <v>28923.136920000001</v>
      </c>
    </row>
    <row r="12" spans="1:7" x14ac:dyDescent="0.25">
      <c r="A12">
        <v>25</v>
      </c>
      <c r="B12" t="s">
        <v>10</v>
      </c>
      <c r="C12">
        <v>26.22</v>
      </c>
      <c r="D12">
        <v>0</v>
      </c>
      <c r="E12" t="s">
        <v>11</v>
      </c>
      <c r="F12" t="s">
        <v>14</v>
      </c>
      <c r="G12">
        <v>2721.3208</v>
      </c>
    </row>
    <row r="13" spans="1:7" x14ac:dyDescent="0.25">
      <c r="A13">
        <v>62</v>
      </c>
      <c r="B13" t="s">
        <v>7</v>
      </c>
      <c r="C13">
        <v>26.29</v>
      </c>
      <c r="D13">
        <v>0</v>
      </c>
      <c r="E13" t="s">
        <v>8</v>
      </c>
      <c r="F13" t="s">
        <v>12</v>
      </c>
      <c r="G13">
        <v>27808.7251</v>
      </c>
    </row>
    <row r="14" spans="1:7" x14ac:dyDescent="0.25">
      <c r="A14">
        <v>23</v>
      </c>
      <c r="B14" t="s">
        <v>10</v>
      </c>
      <c r="C14">
        <v>34.4</v>
      </c>
      <c r="D14">
        <v>0</v>
      </c>
      <c r="E14" t="s">
        <v>11</v>
      </c>
      <c r="F14" t="s">
        <v>9</v>
      </c>
      <c r="G14">
        <v>1826.8430000000001</v>
      </c>
    </row>
    <row r="15" spans="1:7" x14ac:dyDescent="0.25">
      <c r="A15">
        <v>56</v>
      </c>
      <c r="B15" t="s">
        <v>7</v>
      </c>
      <c r="C15">
        <v>39.82</v>
      </c>
      <c r="D15">
        <v>0</v>
      </c>
      <c r="E15" t="s">
        <v>11</v>
      </c>
      <c r="F15" t="s">
        <v>12</v>
      </c>
      <c r="G15">
        <v>11090.7178</v>
      </c>
    </row>
    <row r="16" spans="1:7" x14ac:dyDescent="0.25">
      <c r="A16">
        <v>27</v>
      </c>
      <c r="B16" t="s">
        <v>10</v>
      </c>
      <c r="C16">
        <v>42.13</v>
      </c>
      <c r="D16">
        <v>0</v>
      </c>
      <c r="E16" t="s">
        <v>8</v>
      </c>
      <c r="F16" t="s">
        <v>12</v>
      </c>
      <c r="G16">
        <v>39611.757700000002</v>
      </c>
    </row>
    <row r="17" spans="1:7" x14ac:dyDescent="0.25">
      <c r="A17">
        <v>19</v>
      </c>
      <c r="B17" t="s">
        <v>10</v>
      </c>
      <c r="C17">
        <v>24.6</v>
      </c>
      <c r="D17">
        <v>1</v>
      </c>
      <c r="E17" t="s">
        <v>11</v>
      </c>
      <c r="F17" t="s">
        <v>9</v>
      </c>
      <c r="G17">
        <v>1837.2370000000001</v>
      </c>
    </row>
    <row r="18" spans="1:7" x14ac:dyDescent="0.25">
      <c r="A18">
        <v>52</v>
      </c>
      <c r="B18" t="s">
        <v>7</v>
      </c>
      <c r="C18">
        <v>30.78</v>
      </c>
      <c r="D18">
        <v>1</v>
      </c>
      <c r="E18" t="s">
        <v>11</v>
      </c>
      <c r="F18" t="s">
        <v>14</v>
      </c>
      <c r="G18">
        <v>10797.3362</v>
      </c>
    </row>
    <row r="19" spans="1:7" x14ac:dyDescent="0.25">
      <c r="A19">
        <v>23</v>
      </c>
      <c r="B19" t="s">
        <v>10</v>
      </c>
      <c r="C19">
        <v>23.844999999999999</v>
      </c>
      <c r="D19">
        <v>0</v>
      </c>
      <c r="E19" t="s">
        <v>11</v>
      </c>
      <c r="F19" t="s">
        <v>14</v>
      </c>
      <c r="G19">
        <v>2395.17155</v>
      </c>
    </row>
    <row r="20" spans="1:7" x14ac:dyDescent="0.25">
      <c r="A20">
        <v>56</v>
      </c>
      <c r="B20" t="s">
        <v>10</v>
      </c>
      <c r="C20">
        <v>40.299999999999997</v>
      </c>
      <c r="D20">
        <v>0</v>
      </c>
      <c r="E20" t="s">
        <v>11</v>
      </c>
      <c r="F20" t="s">
        <v>9</v>
      </c>
      <c r="G20">
        <v>10602.385</v>
      </c>
    </row>
    <row r="21" spans="1:7" x14ac:dyDescent="0.25">
      <c r="A21">
        <v>30</v>
      </c>
      <c r="B21" t="s">
        <v>10</v>
      </c>
      <c r="C21">
        <v>35.299999999999997</v>
      </c>
      <c r="D21">
        <v>0</v>
      </c>
      <c r="E21" t="s">
        <v>8</v>
      </c>
      <c r="F21" t="s">
        <v>9</v>
      </c>
      <c r="G21">
        <v>36837.466999999997</v>
      </c>
    </row>
    <row r="22" spans="1:7" x14ac:dyDescent="0.25">
      <c r="A22">
        <v>60</v>
      </c>
      <c r="B22" t="s">
        <v>7</v>
      </c>
      <c r="C22">
        <v>36.005000000000003</v>
      </c>
      <c r="D22">
        <v>0</v>
      </c>
      <c r="E22" t="s">
        <v>11</v>
      </c>
      <c r="F22" t="s">
        <v>14</v>
      </c>
      <c r="G22">
        <v>13228.846949999999</v>
      </c>
    </row>
    <row r="23" spans="1:7" x14ac:dyDescent="0.25">
      <c r="A23">
        <v>30</v>
      </c>
      <c r="B23" t="s">
        <v>7</v>
      </c>
      <c r="C23">
        <v>32.4</v>
      </c>
      <c r="D23">
        <v>1</v>
      </c>
      <c r="E23" t="s">
        <v>11</v>
      </c>
      <c r="F23" t="s">
        <v>9</v>
      </c>
      <c r="G23">
        <v>4149.7359999999999</v>
      </c>
    </row>
    <row r="24" spans="1:7" x14ac:dyDescent="0.25">
      <c r="A24">
        <v>18</v>
      </c>
      <c r="B24" t="s">
        <v>10</v>
      </c>
      <c r="C24">
        <v>34.1</v>
      </c>
      <c r="D24">
        <v>0</v>
      </c>
      <c r="E24" t="s">
        <v>11</v>
      </c>
      <c r="F24" t="s">
        <v>12</v>
      </c>
      <c r="G24">
        <v>1137.011</v>
      </c>
    </row>
    <row r="25" spans="1:7" x14ac:dyDescent="0.25">
      <c r="A25">
        <v>34</v>
      </c>
      <c r="B25" t="s">
        <v>7</v>
      </c>
      <c r="C25">
        <v>31.92</v>
      </c>
      <c r="D25">
        <v>1</v>
      </c>
      <c r="E25" t="s">
        <v>8</v>
      </c>
      <c r="F25" t="s">
        <v>14</v>
      </c>
      <c r="G25">
        <v>37701.876799999998</v>
      </c>
    </row>
    <row r="26" spans="1:7" x14ac:dyDescent="0.25">
      <c r="A26">
        <v>37</v>
      </c>
      <c r="B26" t="s">
        <v>10</v>
      </c>
      <c r="C26">
        <v>28.024999999999999</v>
      </c>
      <c r="D26">
        <v>2</v>
      </c>
      <c r="E26" t="s">
        <v>11</v>
      </c>
      <c r="F26" t="s">
        <v>13</v>
      </c>
      <c r="G26">
        <v>6203.90175</v>
      </c>
    </row>
    <row r="27" spans="1:7" x14ac:dyDescent="0.25">
      <c r="A27">
        <v>59</v>
      </c>
      <c r="B27" t="s">
        <v>7</v>
      </c>
      <c r="C27">
        <v>27.72</v>
      </c>
      <c r="D27">
        <v>3</v>
      </c>
      <c r="E27" t="s">
        <v>11</v>
      </c>
      <c r="F27" t="s">
        <v>12</v>
      </c>
      <c r="G27">
        <v>14001.1338</v>
      </c>
    </row>
    <row r="28" spans="1:7" x14ac:dyDescent="0.25">
      <c r="A28">
        <v>63</v>
      </c>
      <c r="B28" t="s">
        <v>7</v>
      </c>
      <c r="C28">
        <v>23.085000000000001</v>
      </c>
      <c r="D28">
        <v>0</v>
      </c>
      <c r="E28" t="s">
        <v>11</v>
      </c>
      <c r="F28" t="s">
        <v>14</v>
      </c>
      <c r="G28">
        <v>14451.835150000001</v>
      </c>
    </row>
    <row r="29" spans="1:7" x14ac:dyDescent="0.25">
      <c r="A29">
        <v>55</v>
      </c>
      <c r="B29" t="s">
        <v>7</v>
      </c>
      <c r="C29">
        <v>32.774999999999999</v>
      </c>
      <c r="D29">
        <v>2</v>
      </c>
      <c r="E29" t="s">
        <v>11</v>
      </c>
      <c r="F29" t="s">
        <v>13</v>
      </c>
      <c r="G29">
        <v>12268.632250000001</v>
      </c>
    </row>
    <row r="30" spans="1:7" x14ac:dyDescent="0.25">
      <c r="A30">
        <v>23</v>
      </c>
      <c r="B30" t="s">
        <v>10</v>
      </c>
      <c r="C30">
        <v>17.385000000000002</v>
      </c>
      <c r="D30">
        <v>1</v>
      </c>
      <c r="E30" t="s">
        <v>11</v>
      </c>
      <c r="F30" t="s">
        <v>13</v>
      </c>
      <c r="G30">
        <v>2775.1921499999999</v>
      </c>
    </row>
    <row r="31" spans="1:7" x14ac:dyDescent="0.25">
      <c r="A31">
        <v>31</v>
      </c>
      <c r="B31" t="s">
        <v>10</v>
      </c>
      <c r="C31">
        <v>36.299999999999997</v>
      </c>
      <c r="D31">
        <v>2</v>
      </c>
      <c r="E31" t="s">
        <v>8</v>
      </c>
      <c r="F31" t="s">
        <v>9</v>
      </c>
      <c r="G31">
        <v>38711</v>
      </c>
    </row>
    <row r="32" spans="1:7" x14ac:dyDescent="0.25">
      <c r="A32">
        <v>22</v>
      </c>
      <c r="B32" t="s">
        <v>10</v>
      </c>
      <c r="C32">
        <v>35.6</v>
      </c>
      <c r="D32">
        <v>0</v>
      </c>
      <c r="E32" t="s">
        <v>8</v>
      </c>
      <c r="F32" t="s">
        <v>9</v>
      </c>
      <c r="G32">
        <v>35585.576000000001</v>
      </c>
    </row>
    <row r="33" spans="1:7" x14ac:dyDescent="0.25">
      <c r="A33">
        <v>18</v>
      </c>
      <c r="B33" t="s">
        <v>7</v>
      </c>
      <c r="C33">
        <v>26.315000000000001</v>
      </c>
      <c r="D33">
        <v>0</v>
      </c>
      <c r="E33" t="s">
        <v>11</v>
      </c>
      <c r="F33" t="s">
        <v>14</v>
      </c>
      <c r="G33">
        <v>2198.1898500000002</v>
      </c>
    </row>
    <row r="34" spans="1:7" x14ac:dyDescent="0.25">
      <c r="A34">
        <v>19</v>
      </c>
      <c r="B34" t="s">
        <v>7</v>
      </c>
      <c r="C34">
        <v>28.6</v>
      </c>
      <c r="D34">
        <v>5</v>
      </c>
      <c r="E34" t="s">
        <v>11</v>
      </c>
      <c r="F34" t="s">
        <v>9</v>
      </c>
      <c r="G34">
        <v>4687.7969999999996</v>
      </c>
    </row>
    <row r="35" spans="1:7" x14ac:dyDescent="0.25">
      <c r="A35">
        <v>63</v>
      </c>
      <c r="B35" t="s">
        <v>10</v>
      </c>
      <c r="C35">
        <v>28.31</v>
      </c>
      <c r="D35">
        <v>0</v>
      </c>
      <c r="E35" t="s">
        <v>11</v>
      </c>
      <c r="F35" t="s">
        <v>13</v>
      </c>
      <c r="G35">
        <v>13770.097900000001</v>
      </c>
    </row>
    <row r="36" spans="1:7" x14ac:dyDescent="0.25">
      <c r="A36">
        <v>28</v>
      </c>
      <c r="B36" t="s">
        <v>10</v>
      </c>
      <c r="C36">
        <v>36.4</v>
      </c>
      <c r="D36">
        <v>1</v>
      </c>
      <c r="E36" t="s">
        <v>8</v>
      </c>
      <c r="F36" t="s">
        <v>9</v>
      </c>
      <c r="G36">
        <v>51194.559139999998</v>
      </c>
    </row>
    <row r="37" spans="1:7" x14ac:dyDescent="0.25">
      <c r="A37">
        <v>19</v>
      </c>
      <c r="B37" t="s">
        <v>10</v>
      </c>
      <c r="C37">
        <v>20.425000000000001</v>
      </c>
      <c r="D37">
        <v>0</v>
      </c>
      <c r="E37" t="s">
        <v>11</v>
      </c>
      <c r="F37" t="s">
        <v>13</v>
      </c>
      <c r="G37">
        <v>1625.4337499999999</v>
      </c>
    </row>
    <row r="38" spans="1:7" x14ac:dyDescent="0.25">
      <c r="A38">
        <v>62</v>
      </c>
      <c r="B38" t="s">
        <v>7</v>
      </c>
      <c r="C38">
        <v>32.965000000000003</v>
      </c>
      <c r="D38">
        <v>3</v>
      </c>
      <c r="E38" t="s">
        <v>11</v>
      </c>
      <c r="F38" t="s">
        <v>13</v>
      </c>
      <c r="G38">
        <v>15612.19335</v>
      </c>
    </row>
    <row r="39" spans="1:7" x14ac:dyDescent="0.25">
      <c r="A39">
        <v>26</v>
      </c>
      <c r="B39" t="s">
        <v>10</v>
      </c>
      <c r="C39">
        <v>20.8</v>
      </c>
      <c r="D39">
        <v>0</v>
      </c>
      <c r="E39" t="s">
        <v>11</v>
      </c>
      <c r="F39" t="s">
        <v>9</v>
      </c>
      <c r="G39">
        <v>2302.3000000000002</v>
      </c>
    </row>
    <row r="40" spans="1:7" x14ac:dyDescent="0.25">
      <c r="A40">
        <v>35</v>
      </c>
      <c r="B40" t="s">
        <v>10</v>
      </c>
      <c r="C40">
        <v>36.67</v>
      </c>
      <c r="D40">
        <v>1</v>
      </c>
      <c r="E40" t="s">
        <v>8</v>
      </c>
      <c r="F40" t="s">
        <v>14</v>
      </c>
      <c r="G40">
        <v>39774.276299999998</v>
      </c>
    </row>
    <row r="41" spans="1:7" x14ac:dyDescent="0.25">
      <c r="A41">
        <v>60</v>
      </c>
      <c r="B41" t="s">
        <v>10</v>
      </c>
      <c r="C41">
        <v>39.9</v>
      </c>
      <c r="D41">
        <v>0</v>
      </c>
      <c r="E41" t="s">
        <v>8</v>
      </c>
      <c r="F41" t="s">
        <v>9</v>
      </c>
      <c r="G41">
        <v>48173.360999999997</v>
      </c>
    </row>
    <row r="42" spans="1:7" x14ac:dyDescent="0.25">
      <c r="A42">
        <v>24</v>
      </c>
      <c r="B42" t="s">
        <v>7</v>
      </c>
      <c r="C42">
        <v>26.6</v>
      </c>
      <c r="D42">
        <v>0</v>
      </c>
      <c r="E42" t="s">
        <v>11</v>
      </c>
      <c r="F42" t="s">
        <v>14</v>
      </c>
      <c r="G42">
        <v>3046.0619999999999</v>
      </c>
    </row>
    <row r="43" spans="1:7" x14ac:dyDescent="0.25">
      <c r="A43">
        <v>31</v>
      </c>
      <c r="B43" t="s">
        <v>7</v>
      </c>
      <c r="C43">
        <v>36.630000000000003</v>
      </c>
      <c r="D43">
        <v>2</v>
      </c>
      <c r="E43" t="s">
        <v>11</v>
      </c>
      <c r="F43" t="s">
        <v>12</v>
      </c>
      <c r="G43">
        <v>4949.7587000000003</v>
      </c>
    </row>
    <row r="44" spans="1:7" x14ac:dyDescent="0.25">
      <c r="A44">
        <v>41</v>
      </c>
      <c r="B44" t="s">
        <v>10</v>
      </c>
      <c r="C44">
        <v>21.78</v>
      </c>
      <c r="D44">
        <v>1</v>
      </c>
      <c r="E44" t="s">
        <v>11</v>
      </c>
      <c r="F44" t="s">
        <v>12</v>
      </c>
      <c r="G44">
        <v>6272.4772000000003</v>
      </c>
    </row>
    <row r="45" spans="1:7" x14ac:dyDescent="0.25">
      <c r="A45">
        <v>37</v>
      </c>
      <c r="B45" t="s">
        <v>7</v>
      </c>
      <c r="C45">
        <v>30.8</v>
      </c>
      <c r="D45">
        <v>2</v>
      </c>
      <c r="E45" t="s">
        <v>11</v>
      </c>
      <c r="F45" t="s">
        <v>12</v>
      </c>
      <c r="G45">
        <v>6313.759</v>
      </c>
    </row>
    <row r="46" spans="1:7" x14ac:dyDescent="0.25">
      <c r="A46">
        <v>38</v>
      </c>
      <c r="B46" t="s">
        <v>10</v>
      </c>
      <c r="C46">
        <v>37.049999999999997</v>
      </c>
      <c r="D46">
        <v>1</v>
      </c>
      <c r="E46" t="s">
        <v>11</v>
      </c>
      <c r="F46" t="s">
        <v>14</v>
      </c>
      <c r="G46">
        <v>6079.6715000000004</v>
      </c>
    </row>
    <row r="47" spans="1:7" x14ac:dyDescent="0.25">
      <c r="A47">
        <v>55</v>
      </c>
      <c r="B47" t="s">
        <v>10</v>
      </c>
      <c r="C47">
        <v>37.299999999999997</v>
      </c>
      <c r="D47">
        <v>0</v>
      </c>
      <c r="E47" t="s">
        <v>11</v>
      </c>
      <c r="F47" t="s">
        <v>9</v>
      </c>
      <c r="G47">
        <v>20630.283510000001</v>
      </c>
    </row>
    <row r="48" spans="1:7" x14ac:dyDescent="0.25">
      <c r="A48">
        <v>18</v>
      </c>
      <c r="B48" t="s">
        <v>7</v>
      </c>
      <c r="C48">
        <v>38.664999999999999</v>
      </c>
      <c r="D48">
        <v>2</v>
      </c>
      <c r="E48" t="s">
        <v>11</v>
      </c>
      <c r="F48" t="s">
        <v>14</v>
      </c>
      <c r="G48">
        <v>3393.35635</v>
      </c>
    </row>
    <row r="49" spans="1:7" x14ac:dyDescent="0.25">
      <c r="A49">
        <v>28</v>
      </c>
      <c r="B49" t="s">
        <v>7</v>
      </c>
      <c r="C49">
        <v>34.770000000000003</v>
      </c>
      <c r="D49">
        <v>0</v>
      </c>
      <c r="E49" t="s">
        <v>11</v>
      </c>
      <c r="F49" t="s">
        <v>13</v>
      </c>
      <c r="G49">
        <v>3556.9223000000002</v>
      </c>
    </row>
    <row r="50" spans="1:7" x14ac:dyDescent="0.25">
      <c r="A50">
        <v>60</v>
      </c>
      <c r="B50" t="s">
        <v>7</v>
      </c>
      <c r="C50">
        <v>24.53</v>
      </c>
      <c r="D50">
        <v>0</v>
      </c>
      <c r="E50" t="s">
        <v>11</v>
      </c>
      <c r="F50" t="s">
        <v>12</v>
      </c>
      <c r="G50">
        <v>12629.896699999999</v>
      </c>
    </row>
    <row r="51" spans="1:7" x14ac:dyDescent="0.25">
      <c r="A51">
        <v>36</v>
      </c>
      <c r="B51" t="s">
        <v>10</v>
      </c>
      <c r="C51">
        <v>35.200000000000003</v>
      </c>
      <c r="D51">
        <v>1</v>
      </c>
      <c r="E51" t="s">
        <v>8</v>
      </c>
      <c r="F51" t="s">
        <v>12</v>
      </c>
      <c r="G51">
        <v>38709.175999999999</v>
      </c>
    </row>
    <row r="52" spans="1:7" x14ac:dyDescent="0.25">
      <c r="A52">
        <v>18</v>
      </c>
      <c r="B52" t="s">
        <v>7</v>
      </c>
      <c r="C52">
        <v>35.625</v>
      </c>
      <c r="D52">
        <v>0</v>
      </c>
      <c r="E52" t="s">
        <v>11</v>
      </c>
      <c r="F52" t="s">
        <v>14</v>
      </c>
      <c r="G52">
        <v>2211.1307499999998</v>
      </c>
    </row>
    <row r="53" spans="1:7" x14ac:dyDescent="0.25">
      <c r="A53">
        <v>21</v>
      </c>
      <c r="B53" t="s">
        <v>7</v>
      </c>
      <c r="C53">
        <v>33.630000000000003</v>
      </c>
      <c r="D53">
        <v>2</v>
      </c>
      <c r="E53" t="s">
        <v>11</v>
      </c>
      <c r="F53" t="s">
        <v>13</v>
      </c>
      <c r="G53">
        <v>3579.8287</v>
      </c>
    </row>
    <row r="54" spans="1:7" x14ac:dyDescent="0.25">
      <c r="A54">
        <v>48</v>
      </c>
      <c r="B54" t="s">
        <v>10</v>
      </c>
      <c r="C54">
        <v>28</v>
      </c>
      <c r="D54">
        <v>1</v>
      </c>
      <c r="E54" t="s">
        <v>8</v>
      </c>
      <c r="F54" t="s">
        <v>9</v>
      </c>
      <c r="G54">
        <v>23568.272000000001</v>
      </c>
    </row>
    <row r="55" spans="1:7" x14ac:dyDescent="0.25">
      <c r="A55">
        <v>36</v>
      </c>
      <c r="B55" t="s">
        <v>10</v>
      </c>
      <c r="C55">
        <v>34.43</v>
      </c>
      <c r="D55">
        <v>0</v>
      </c>
      <c r="E55" t="s">
        <v>8</v>
      </c>
      <c r="F55" t="s">
        <v>12</v>
      </c>
      <c r="G55">
        <v>37742.575700000001</v>
      </c>
    </row>
    <row r="56" spans="1:7" x14ac:dyDescent="0.25">
      <c r="A56">
        <v>40</v>
      </c>
      <c r="B56" t="s">
        <v>7</v>
      </c>
      <c r="C56">
        <v>28.69</v>
      </c>
      <c r="D56">
        <v>3</v>
      </c>
      <c r="E56" t="s">
        <v>11</v>
      </c>
      <c r="F56" t="s">
        <v>13</v>
      </c>
      <c r="G56">
        <v>8059.6791000000003</v>
      </c>
    </row>
    <row r="57" spans="1:7" x14ac:dyDescent="0.25">
      <c r="A57">
        <v>58</v>
      </c>
      <c r="B57" t="s">
        <v>10</v>
      </c>
      <c r="C57">
        <v>36.954999999999998</v>
      </c>
      <c r="D57">
        <v>2</v>
      </c>
      <c r="E57" t="s">
        <v>8</v>
      </c>
      <c r="F57" t="s">
        <v>13</v>
      </c>
      <c r="G57">
        <v>47496.494449999998</v>
      </c>
    </row>
    <row r="58" spans="1:7" x14ac:dyDescent="0.25">
      <c r="A58">
        <v>58</v>
      </c>
      <c r="B58" t="s">
        <v>7</v>
      </c>
      <c r="C58">
        <v>31.824999999999999</v>
      </c>
      <c r="D58">
        <v>2</v>
      </c>
      <c r="E58" t="s">
        <v>11</v>
      </c>
      <c r="F58" t="s">
        <v>14</v>
      </c>
      <c r="G58">
        <v>13607.36875</v>
      </c>
    </row>
    <row r="59" spans="1:7" x14ac:dyDescent="0.25">
      <c r="A59">
        <v>18</v>
      </c>
      <c r="B59" t="s">
        <v>10</v>
      </c>
      <c r="C59">
        <v>31.68</v>
      </c>
      <c r="D59">
        <v>2</v>
      </c>
      <c r="E59" t="s">
        <v>8</v>
      </c>
      <c r="F59" t="s">
        <v>12</v>
      </c>
      <c r="G59">
        <v>34303.167200000004</v>
      </c>
    </row>
    <row r="60" spans="1:7" x14ac:dyDescent="0.25">
      <c r="A60">
        <v>53</v>
      </c>
      <c r="B60" t="s">
        <v>7</v>
      </c>
      <c r="C60">
        <v>22.88</v>
      </c>
      <c r="D60">
        <v>1</v>
      </c>
      <c r="E60" t="s">
        <v>8</v>
      </c>
      <c r="F60" t="s">
        <v>12</v>
      </c>
      <c r="G60">
        <v>23244.790199999999</v>
      </c>
    </row>
    <row r="61" spans="1:7" x14ac:dyDescent="0.25">
      <c r="A61">
        <v>34</v>
      </c>
      <c r="B61" t="s">
        <v>7</v>
      </c>
      <c r="C61">
        <v>37.335000000000001</v>
      </c>
      <c r="D61">
        <v>2</v>
      </c>
      <c r="E61" t="s">
        <v>11</v>
      </c>
      <c r="F61" t="s">
        <v>13</v>
      </c>
      <c r="G61">
        <v>5989.5236500000001</v>
      </c>
    </row>
    <row r="62" spans="1:7" x14ac:dyDescent="0.25">
      <c r="A62">
        <v>43</v>
      </c>
      <c r="B62" t="s">
        <v>10</v>
      </c>
      <c r="C62">
        <v>27.36</v>
      </c>
      <c r="D62">
        <v>3</v>
      </c>
      <c r="E62" t="s">
        <v>11</v>
      </c>
      <c r="F62" t="s">
        <v>14</v>
      </c>
      <c r="G62">
        <v>8606.2173999999995</v>
      </c>
    </row>
    <row r="63" spans="1:7" x14ac:dyDescent="0.25">
      <c r="A63">
        <v>25</v>
      </c>
      <c r="B63" t="s">
        <v>10</v>
      </c>
      <c r="C63">
        <v>33.659999999999997</v>
      </c>
      <c r="D63">
        <v>4</v>
      </c>
      <c r="E63" t="s">
        <v>11</v>
      </c>
      <c r="F63" t="s">
        <v>12</v>
      </c>
      <c r="G63">
        <v>4504.6624000000002</v>
      </c>
    </row>
    <row r="64" spans="1:7" x14ac:dyDescent="0.25">
      <c r="A64">
        <v>64</v>
      </c>
      <c r="B64" t="s">
        <v>10</v>
      </c>
      <c r="C64">
        <v>24.7</v>
      </c>
      <c r="D64">
        <v>1</v>
      </c>
      <c r="E64" t="s">
        <v>11</v>
      </c>
      <c r="F64" t="s">
        <v>13</v>
      </c>
      <c r="G64">
        <v>30166.618170000002</v>
      </c>
    </row>
    <row r="65" spans="1:7" x14ac:dyDescent="0.25">
      <c r="A65">
        <v>28</v>
      </c>
      <c r="B65" t="s">
        <v>7</v>
      </c>
      <c r="C65">
        <v>25.934999999999999</v>
      </c>
      <c r="D65">
        <v>1</v>
      </c>
      <c r="E65" t="s">
        <v>11</v>
      </c>
      <c r="F65" t="s">
        <v>13</v>
      </c>
      <c r="G65">
        <v>4133.6416499999996</v>
      </c>
    </row>
    <row r="66" spans="1:7" x14ac:dyDescent="0.25">
      <c r="A66">
        <v>20</v>
      </c>
      <c r="B66" t="s">
        <v>7</v>
      </c>
      <c r="C66">
        <v>22.42</v>
      </c>
      <c r="D66">
        <v>0</v>
      </c>
      <c r="E66" t="s">
        <v>8</v>
      </c>
      <c r="F66" t="s">
        <v>13</v>
      </c>
      <c r="G66">
        <v>14711.7438</v>
      </c>
    </row>
    <row r="67" spans="1:7" x14ac:dyDescent="0.25">
      <c r="A67">
        <v>19</v>
      </c>
      <c r="B67" t="s">
        <v>7</v>
      </c>
      <c r="C67">
        <v>28.9</v>
      </c>
      <c r="D67">
        <v>0</v>
      </c>
      <c r="E67" t="s">
        <v>11</v>
      </c>
      <c r="F67" t="s">
        <v>9</v>
      </c>
      <c r="G67">
        <v>1743.2139999999999</v>
      </c>
    </row>
    <row r="68" spans="1:7" x14ac:dyDescent="0.25">
      <c r="A68">
        <v>61</v>
      </c>
      <c r="B68" t="s">
        <v>7</v>
      </c>
      <c r="C68">
        <v>39.1</v>
      </c>
      <c r="D68">
        <v>2</v>
      </c>
      <c r="E68" t="s">
        <v>11</v>
      </c>
      <c r="F68" t="s">
        <v>9</v>
      </c>
      <c r="G68">
        <v>14235.072</v>
      </c>
    </row>
    <row r="69" spans="1:7" x14ac:dyDescent="0.25">
      <c r="A69">
        <v>40</v>
      </c>
      <c r="B69" t="s">
        <v>10</v>
      </c>
      <c r="C69">
        <v>26.315000000000001</v>
      </c>
      <c r="D69">
        <v>1</v>
      </c>
      <c r="E69" t="s">
        <v>11</v>
      </c>
      <c r="F69" t="s">
        <v>13</v>
      </c>
      <c r="G69">
        <v>6389.3778499999999</v>
      </c>
    </row>
    <row r="70" spans="1:7" x14ac:dyDescent="0.25">
      <c r="A70">
        <v>40</v>
      </c>
      <c r="B70" t="s">
        <v>7</v>
      </c>
      <c r="C70">
        <v>36.19</v>
      </c>
      <c r="D70">
        <v>0</v>
      </c>
      <c r="E70" t="s">
        <v>11</v>
      </c>
      <c r="F70" t="s">
        <v>12</v>
      </c>
      <c r="G70">
        <v>5920.1040999999996</v>
      </c>
    </row>
    <row r="71" spans="1:7" x14ac:dyDescent="0.25">
      <c r="A71">
        <v>28</v>
      </c>
      <c r="B71" t="s">
        <v>10</v>
      </c>
      <c r="C71">
        <v>23.98</v>
      </c>
      <c r="D71">
        <v>3</v>
      </c>
      <c r="E71" t="s">
        <v>8</v>
      </c>
      <c r="F71" t="s">
        <v>12</v>
      </c>
      <c r="G71">
        <v>17663.144199999999</v>
      </c>
    </row>
    <row r="72" spans="1:7" x14ac:dyDescent="0.25">
      <c r="A72">
        <v>27</v>
      </c>
      <c r="B72" t="s">
        <v>7</v>
      </c>
      <c r="C72">
        <v>24.75</v>
      </c>
      <c r="D72">
        <v>0</v>
      </c>
      <c r="E72" t="s">
        <v>8</v>
      </c>
      <c r="F72" t="s">
        <v>12</v>
      </c>
      <c r="G72">
        <v>16577.779500000001</v>
      </c>
    </row>
    <row r="73" spans="1:7" x14ac:dyDescent="0.25">
      <c r="A73">
        <v>31</v>
      </c>
      <c r="B73" t="s">
        <v>10</v>
      </c>
      <c r="C73">
        <v>28.5</v>
      </c>
      <c r="D73">
        <v>5</v>
      </c>
      <c r="E73" t="s">
        <v>11</v>
      </c>
      <c r="F73" t="s">
        <v>14</v>
      </c>
      <c r="G73">
        <v>6799.4579999999996</v>
      </c>
    </row>
    <row r="74" spans="1:7" x14ac:dyDescent="0.25">
      <c r="A74">
        <v>53</v>
      </c>
      <c r="B74" t="s">
        <v>7</v>
      </c>
      <c r="C74">
        <v>28.1</v>
      </c>
      <c r="D74">
        <v>3</v>
      </c>
      <c r="E74" t="s">
        <v>11</v>
      </c>
      <c r="F74" t="s">
        <v>9</v>
      </c>
      <c r="G74">
        <v>11741.726000000001</v>
      </c>
    </row>
    <row r="75" spans="1:7" x14ac:dyDescent="0.25">
      <c r="A75">
        <v>58</v>
      </c>
      <c r="B75" t="s">
        <v>10</v>
      </c>
      <c r="C75">
        <v>32.01</v>
      </c>
      <c r="D75">
        <v>1</v>
      </c>
      <c r="E75" t="s">
        <v>11</v>
      </c>
      <c r="F75" t="s">
        <v>12</v>
      </c>
      <c r="G75">
        <v>11946.625899999999</v>
      </c>
    </row>
    <row r="76" spans="1:7" x14ac:dyDescent="0.25">
      <c r="A76">
        <v>44</v>
      </c>
      <c r="B76" t="s">
        <v>10</v>
      </c>
      <c r="C76">
        <v>27.4</v>
      </c>
      <c r="D76">
        <v>2</v>
      </c>
      <c r="E76" t="s">
        <v>11</v>
      </c>
      <c r="F76" t="s">
        <v>9</v>
      </c>
      <c r="G76">
        <v>7726.8540000000003</v>
      </c>
    </row>
    <row r="77" spans="1:7" x14ac:dyDescent="0.25">
      <c r="A77">
        <v>57</v>
      </c>
      <c r="B77" t="s">
        <v>10</v>
      </c>
      <c r="C77">
        <v>34.01</v>
      </c>
      <c r="D77">
        <v>0</v>
      </c>
      <c r="E77" t="s">
        <v>11</v>
      </c>
      <c r="F77" t="s">
        <v>13</v>
      </c>
      <c r="G77">
        <v>11356.660900000001</v>
      </c>
    </row>
    <row r="78" spans="1:7" x14ac:dyDescent="0.25">
      <c r="A78">
        <v>29</v>
      </c>
      <c r="B78" t="s">
        <v>7</v>
      </c>
      <c r="C78">
        <v>29.59</v>
      </c>
      <c r="D78">
        <v>1</v>
      </c>
      <c r="E78" t="s">
        <v>11</v>
      </c>
      <c r="F78" t="s">
        <v>12</v>
      </c>
      <c r="G78">
        <v>3947.4131000000002</v>
      </c>
    </row>
    <row r="79" spans="1:7" x14ac:dyDescent="0.25">
      <c r="A79">
        <v>21</v>
      </c>
      <c r="B79" t="s">
        <v>10</v>
      </c>
      <c r="C79">
        <v>35.53</v>
      </c>
      <c r="D79">
        <v>0</v>
      </c>
      <c r="E79" t="s">
        <v>11</v>
      </c>
      <c r="F79" t="s">
        <v>12</v>
      </c>
      <c r="G79">
        <v>1532.4697000000001</v>
      </c>
    </row>
    <row r="80" spans="1:7" x14ac:dyDescent="0.25">
      <c r="A80">
        <v>22</v>
      </c>
      <c r="B80" t="s">
        <v>7</v>
      </c>
      <c r="C80">
        <v>39.805</v>
      </c>
      <c r="D80">
        <v>0</v>
      </c>
      <c r="E80" t="s">
        <v>11</v>
      </c>
      <c r="F80" t="s">
        <v>14</v>
      </c>
      <c r="G80">
        <v>2755.0209500000001</v>
      </c>
    </row>
    <row r="81" spans="1:7" x14ac:dyDescent="0.25">
      <c r="A81">
        <v>41</v>
      </c>
      <c r="B81" t="s">
        <v>7</v>
      </c>
      <c r="C81">
        <v>32.965000000000003</v>
      </c>
      <c r="D81">
        <v>0</v>
      </c>
      <c r="E81" t="s">
        <v>11</v>
      </c>
      <c r="F81" t="s">
        <v>13</v>
      </c>
      <c r="G81">
        <v>6571.0243499999997</v>
      </c>
    </row>
    <row r="82" spans="1:7" x14ac:dyDescent="0.25">
      <c r="A82">
        <v>31</v>
      </c>
      <c r="B82" t="s">
        <v>10</v>
      </c>
      <c r="C82">
        <v>26.885000000000002</v>
      </c>
      <c r="D82">
        <v>1</v>
      </c>
      <c r="E82" t="s">
        <v>11</v>
      </c>
      <c r="F82" t="s">
        <v>14</v>
      </c>
      <c r="G82">
        <v>4441.2131499999996</v>
      </c>
    </row>
    <row r="83" spans="1:7" x14ac:dyDescent="0.25">
      <c r="A83">
        <v>45</v>
      </c>
      <c r="B83" t="s">
        <v>7</v>
      </c>
      <c r="C83">
        <v>38.284999999999997</v>
      </c>
      <c r="D83">
        <v>0</v>
      </c>
      <c r="E83" t="s">
        <v>11</v>
      </c>
      <c r="F83" t="s">
        <v>14</v>
      </c>
      <c r="G83">
        <v>7935.29115</v>
      </c>
    </row>
    <row r="84" spans="1:7" x14ac:dyDescent="0.25">
      <c r="A84">
        <v>22</v>
      </c>
      <c r="B84" t="s">
        <v>10</v>
      </c>
      <c r="C84">
        <v>37.619999999999997</v>
      </c>
      <c r="D84">
        <v>1</v>
      </c>
      <c r="E84" t="s">
        <v>8</v>
      </c>
      <c r="F84" t="s">
        <v>12</v>
      </c>
      <c r="G84">
        <v>37165.163800000002</v>
      </c>
    </row>
    <row r="85" spans="1:7" x14ac:dyDescent="0.25">
      <c r="A85">
        <v>48</v>
      </c>
      <c r="B85" t="s">
        <v>7</v>
      </c>
      <c r="C85">
        <v>41.23</v>
      </c>
      <c r="D85">
        <v>4</v>
      </c>
      <c r="E85" t="s">
        <v>11</v>
      </c>
      <c r="F85" t="s">
        <v>13</v>
      </c>
      <c r="G85">
        <v>11033.661700000001</v>
      </c>
    </row>
    <row r="86" spans="1:7" x14ac:dyDescent="0.25">
      <c r="A86">
        <v>37</v>
      </c>
      <c r="B86" t="s">
        <v>7</v>
      </c>
      <c r="C86">
        <v>34.799999999999997</v>
      </c>
      <c r="D86">
        <v>2</v>
      </c>
      <c r="E86" t="s">
        <v>8</v>
      </c>
      <c r="F86" t="s">
        <v>9</v>
      </c>
      <c r="G86">
        <v>39836.519</v>
      </c>
    </row>
    <row r="87" spans="1:7" x14ac:dyDescent="0.25">
      <c r="A87">
        <v>45</v>
      </c>
      <c r="B87" t="s">
        <v>10</v>
      </c>
      <c r="C87">
        <v>22.895</v>
      </c>
      <c r="D87">
        <v>2</v>
      </c>
      <c r="E87" t="s">
        <v>8</v>
      </c>
      <c r="F87" t="s">
        <v>13</v>
      </c>
      <c r="G87">
        <v>21098.554049999999</v>
      </c>
    </row>
    <row r="88" spans="1:7" x14ac:dyDescent="0.25">
      <c r="A88">
        <v>57</v>
      </c>
      <c r="B88" t="s">
        <v>7</v>
      </c>
      <c r="C88">
        <v>31.16</v>
      </c>
      <c r="D88">
        <v>0</v>
      </c>
      <c r="E88" t="s">
        <v>8</v>
      </c>
      <c r="F88" t="s">
        <v>13</v>
      </c>
      <c r="G88">
        <v>43578.939400000003</v>
      </c>
    </row>
    <row r="89" spans="1:7" x14ac:dyDescent="0.25">
      <c r="A89">
        <v>56</v>
      </c>
      <c r="B89" t="s">
        <v>7</v>
      </c>
      <c r="C89">
        <v>27.2</v>
      </c>
      <c r="D89">
        <v>0</v>
      </c>
      <c r="E89" t="s">
        <v>11</v>
      </c>
      <c r="F89" t="s">
        <v>9</v>
      </c>
      <c r="G89">
        <v>11073.175999999999</v>
      </c>
    </row>
    <row r="90" spans="1:7" x14ac:dyDescent="0.25">
      <c r="A90">
        <v>46</v>
      </c>
      <c r="B90" t="s">
        <v>7</v>
      </c>
      <c r="C90">
        <v>27.74</v>
      </c>
      <c r="D90">
        <v>0</v>
      </c>
      <c r="E90" t="s">
        <v>11</v>
      </c>
      <c r="F90" t="s">
        <v>13</v>
      </c>
      <c r="G90">
        <v>8026.6665999999996</v>
      </c>
    </row>
    <row r="91" spans="1:7" x14ac:dyDescent="0.25">
      <c r="A91">
        <v>55</v>
      </c>
      <c r="B91" t="s">
        <v>7</v>
      </c>
      <c r="C91">
        <v>26.98</v>
      </c>
      <c r="D91">
        <v>0</v>
      </c>
      <c r="E91" t="s">
        <v>11</v>
      </c>
      <c r="F91" t="s">
        <v>13</v>
      </c>
      <c r="G91">
        <v>11082.5772</v>
      </c>
    </row>
    <row r="92" spans="1:7" x14ac:dyDescent="0.25">
      <c r="A92">
        <v>21</v>
      </c>
      <c r="B92" t="s">
        <v>7</v>
      </c>
      <c r="C92">
        <v>39.49</v>
      </c>
      <c r="D92">
        <v>0</v>
      </c>
      <c r="E92" t="s">
        <v>11</v>
      </c>
      <c r="F92" t="s">
        <v>12</v>
      </c>
      <c r="G92">
        <v>2026.9740999999999</v>
      </c>
    </row>
    <row r="93" spans="1:7" x14ac:dyDescent="0.25">
      <c r="A93">
        <v>53</v>
      </c>
      <c r="B93" t="s">
        <v>7</v>
      </c>
      <c r="C93">
        <v>24.795000000000002</v>
      </c>
      <c r="D93">
        <v>1</v>
      </c>
      <c r="E93" t="s">
        <v>11</v>
      </c>
      <c r="F93" t="s">
        <v>13</v>
      </c>
      <c r="G93">
        <v>10942.13205</v>
      </c>
    </row>
    <row r="94" spans="1:7" x14ac:dyDescent="0.25">
      <c r="A94">
        <v>59</v>
      </c>
      <c r="B94" t="s">
        <v>10</v>
      </c>
      <c r="C94">
        <v>29.83</v>
      </c>
      <c r="D94">
        <v>3</v>
      </c>
      <c r="E94" t="s">
        <v>8</v>
      </c>
      <c r="F94" t="s">
        <v>14</v>
      </c>
      <c r="G94">
        <v>30184.936699999998</v>
      </c>
    </row>
    <row r="95" spans="1:7" x14ac:dyDescent="0.25">
      <c r="A95">
        <v>35</v>
      </c>
      <c r="B95" t="s">
        <v>10</v>
      </c>
      <c r="C95">
        <v>34.770000000000003</v>
      </c>
      <c r="D95">
        <v>2</v>
      </c>
      <c r="E95" t="s">
        <v>11</v>
      </c>
      <c r="F95" t="s">
        <v>13</v>
      </c>
      <c r="G95">
        <v>5729.0052999999998</v>
      </c>
    </row>
    <row r="96" spans="1:7" x14ac:dyDescent="0.25">
      <c r="A96">
        <v>64</v>
      </c>
      <c r="B96" t="s">
        <v>7</v>
      </c>
      <c r="C96">
        <v>31.3</v>
      </c>
      <c r="D96">
        <v>2</v>
      </c>
      <c r="E96" t="s">
        <v>8</v>
      </c>
      <c r="F96" t="s">
        <v>9</v>
      </c>
      <c r="G96">
        <v>47291.055</v>
      </c>
    </row>
    <row r="97" spans="1:7" x14ac:dyDescent="0.25">
      <c r="A97">
        <v>28</v>
      </c>
      <c r="B97" t="s">
        <v>7</v>
      </c>
      <c r="C97">
        <v>37.619999999999997</v>
      </c>
      <c r="D97">
        <v>1</v>
      </c>
      <c r="E97" t="s">
        <v>11</v>
      </c>
      <c r="F97" t="s">
        <v>12</v>
      </c>
      <c r="G97">
        <v>3766.8838000000001</v>
      </c>
    </row>
    <row r="98" spans="1:7" x14ac:dyDescent="0.25">
      <c r="A98">
        <v>54</v>
      </c>
      <c r="B98" t="s">
        <v>7</v>
      </c>
      <c r="C98">
        <v>30.8</v>
      </c>
      <c r="D98">
        <v>3</v>
      </c>
      <c r="E98" t="s">
        <v>11</v>
      </c>
      <c r="F98" t="s">
        <v>9</v>
      </c>
      <c r="G98">
        <v>12105.32</v>
      </c>
    </row>
    <row r="99" spans="1:7" x14ac:dyDescent="0.25">
      <c r="A99">
        <v>55</v>
      </c>
      <c r="B99" t="s">
        <v>10</v>
      </c>
      <c r="C99">
        <v>38.28</v>
      </c>
      <c r="D99">
        <v>0</v>
      </c>
      <c r="E99" t="s">
        <v>11</v>
      </c>
      <c r="F99" t="s">
        <v>12</v>
      </c>
      <c r="G99">
        <v>10226.2842</v>
      </c>
    </row>
    <row r="100" spans="1:7" x14ac:dyDescent="0.25">
      <c r="A100">
        <v>56</v>
      </c>
      <c r="B100" t="s">
        <v>10</v>
      </c>
      <c r="C100">
        <v>19.95</v>
      </c>
      <c r="D100">
        <v>0</v>
      </c>
      <c r="E100" t="s">
        <v>8</v>
      </c>
      <c r="F100" t="s">
        <v>14</v>
      </c>
      <c r="G100">
        <v>22412.648499999999</v>
      </c>
    </row>
    <row r="101" spans="1:7" x14ac:dyDescent="0.25">
      <c r="A101">
        <v>38</v>
      </c>
      <c r="B101" t="s">
        <v>10</v>
      </c>
      <c r="C101">
        <v>19.3</v>
      </c>
      <c r="D101">
        <v>0</v>
      </c>
      <c r="E101" t="s">
        <v>8</v>
      </c>
      <c r="F101" t="s">
        <v>9</v>
      </c>
      <c r="G101">
        <v>15820.699000000001</v>
      </c>
    </row>
    <row r="102" spans="1:7" x14ac:dyDescent="0.25">
      <c r="A102">
        <v>41</v>
      </c>
      <c r="B102" t="s">
        <v>7</v>
      </c>
      <c r="C102">
        <v>31.6</v>
      </c>
      <c r="D102">
        <v>0</v>
      </c>
      <c r="E102" t="s">
        <v>11</v>
      </c>
      <c r="F102" t="s">
        <v>9</v>
      </c>
      <c r="G102">
        <v>6186.1270000000004</v>
      </c>
    </row>
    <row r="103" spans="1:7" x14ac:dyDescent="0.25">
      <c r="A103">
        <v>30</v>
      </c>
      <c r="B103" t="s">
        <v>10</v>
      </c>
      <c r="C103">
        <v>25.46</v>
      </c>
      <c r="D103">
        <v>0</v>
      </c>
      <c r="E103" t="s">
        <v>11</v>
      </c>
      <c r="F103" t="s">
        <v>14</v>
      </c>
      <c r="G103">
        <v>3645.0893999999998</v>
      </c>
    </row>
    <row r="104" spans="1:7" x14ac:dyDescent="0.25">
      <c r="A104">
        <v>18</v>
      </c>
      <c r="B104" t="s">
        <v>7</v>
      </c>
      <c r="C104">
        <v>30.114999999999998</v>
      </c>
      <c r="D104">
        <v>0</v>
      </c>
      <c r="E104" t="s">
        <v>11</v>
      </c>
      <c r="F104" t="s">
        <v>14</v>
      </c>
      <c r="G104">
        <v>21344.846699999998</v>
      </c>
    </row>
    <row r="105" spans="1:7" x14ac:dyDescent="0.25">
      <c r="A105">
        <v>61</v>
      </c>
      <c r="B105" t="s">
        <v>7</v>
      </c>
      <c r="C105">
        <v>29.92</v>
      </c>
      <c r="D105">
        <v>3</v>
      </c>
      <c r="E105" t="s">
        <v>8</v>
      </c>
      <c r="F105" t="s">
        <v>12</v>
      </c>
      <c r="G105">
        <v>30942.191800000001</v>
      </c>
    </row>
    <row r="106" spans="1:7" x14ac:dyDescent="0.25">
      <c r="A106">
        <v>34</v>
      </c>
      <c r="B106" t="s">
        <v>7</v>
      </c>
      <c r="C106">
        <v>27.5</v>
      </c>
      <c r="D106">
        <v>1</v>
      </c>
      <c r="E106" t="s">
        <v>11</v>
      </c>
      <c r="F106" t="s">
        <v>9</v>
      </c>
      <c r="G106">
        <v>5003.8530000000001</v>
      </c>
    </row>
    <row r="107" spans="1:7" x14ac:dyDescent="0.25">
      <c r="A107">
        <v>20</v>
      </c>
      <c r="B107" t="s">
        <v>10</v>
      </c>
      <c r="C107">
        <v>28.024999999999999</v>
      </c>
      <c r="D107">
        <v>1</v>
      </c>
      <c r="E107" t="s">
        <v>8</v>
      </c>
      <c r="F107" t="s">
        <v>13</v>
      </c>
      <c r="G107">
        <v>17560.37975</v>
      </c>
    </row>
    <row r="108" spans="1:7" x14ac:dyDescent="0.25">
      <c r="A108">
        <v>19</v>
      </c>
      <c r="B108" t="s">
        <v>7</v>
      </c>
      <c r="C108">
        <v>28.4</v>
      </c>
      <c r="D108">
        <v>1</v>
      </c>
      <c r="E108" t="s">
        <v>11</v>
      </c>
      <c r="F108" t="s">
        <v>9</v>
      </c>
      <c r="G108">
        <v>2331.5189999999998</v>
      </c>
    </row>
    <row r="109" spans="1:7" x14ac:dyDescent="0.25">
      <c r="A109">
        <v>26</v>
      </c>
      <c r="B109" t="s">
        <v>10</v>
      </c>
      <c r="C109">
        <v>30.875</v>
      </c>
      <c r="D109">
        <v>2</v>
      </c>
      <c r="E109" t="s">
        <v>11</v>
      </c>
      <c r="F109" t="s">
        <v>13</v>
      </c>
      <c r="G109">
        <v>3877.3042500000001</v>
      </c>
    </row>
    <row r="110" spans="1:7" x14ac:dyDescent="0.25">
      <c r="A110">
        <v>29</v>
      </c>
      <c r="B110" t="s">
        <v>10</v>
      </c>
      <c r="C110">
        <v>27.94</v>
      </c>
      <c r="D110">
        <v>0</v>
      </c>
      <c r="E110" t="s">
        <v>11</v>
      </c>
      <c r="F110" t="s">
        <v>12</v>
      </c>
      <c r="G110">
        <v>2867.1196</v>
      </c>
    </row>
    <row r="111" spans="1:7" x14ac:dyDescent="0.25">
      <c r="A111">
        <v>63</v>
      </c>
      <c r="B111" t="s">
        <v>10</v>
      </c>
      <c r="C111">
        <v>35.090000000000003</v>
      </c>
      <c r="D111">
        <v>0</v>
      </c>
      <c r="E111" t="s">
        <v>8</v>
      </c>
      <c r="F111" t="s">
        <v>12</v>
      </c>
      <c r="G111">
        <v>47055.532099999997</v>
      </c>
    </row>
    <row r="112" spans="1:7" x14ac:dyDescent="0.25">
      <c r="A112">
        <v>54</v>
      </c>
      <c r="B112" t="s">
        <v>10</v>
      </c>
      <c r="C112">
        <v>33.630000000000003</v>
      </c>
      <c r="D112">
        <v>1</v>
      </c>
      <c r="E112" t="s">
        <v>11</v>
      </c>
      <c r="F112" t="s">
        <v>13</v>
      </c>
      <c r="G112">
        <v>10825.253699999999</v>
      </c>
    </row>
    <row r="113" spans="1:7" x14ac:dyDescent="0.25">
      <c r="A113">
        <v>55</v>
      </c>
      <c r="B113" t="s">
        <v>7</v>
      </c>
      <c r="C113">
        <v>29.7</v>
      </c>
      <c r="D113">
        <v>2</v>
      </c>
      <c r="E113" t="s">
        <v>11</v>
      </c>
      <c r="F113" t="s">
        <v>9</v>
      </c>
      <c r="G113">
        <v>11881.358</v>
      </c>
    </row>
    <row r="114" spans="1:7" x14ac:dyDescent="0.25">
      <c r="A114">
        <v>37</v>
      </c>
      <c r="B114" t="s">
        <v>10</v>
      </c>
      <c r="C114">
        <v>30.8</v>
      </c>
      <c r="D114">
        <v>0</v>
      </c>
      <c r="E114" t="s">
        <v>11</v>
      </c>
      <c r="F114" t="s">
        <v>9</v>
      </c>
      <c r="G114">
        <v>4646.759</v>
      </c>
    </row>
    <row r="115" spans="1:7" x14ac:dyDescent="0.25">
      <c r="A115">
        <v>21</v>
      </c>
      <c r="B115" t="s">
        <v>7</v>
      </c>
      <c r="C115">
        <v>35.72</v>
      </c>
      <c r="D115">
        <v>0</v>
      </c>
      <c r="E115" t="s">
        <v>11</v>
      </c>
      <c r="F115" t="s">
        <v>13</v>
      </c>
      <c r="G115">
        <v>2404.7338</v>
      </c>
    </row>
    <row r="116" spans="1:7" x14ac:dyDescent="0.25">
      <c r="A116">
        <v>52</v>
      </c>
      <c r="B116" t="s">
        <v>10</v>
      </c>
      <c r="C116">
        <v>32.204999999999998</v>
      </c>
      <c r="D116">
        <v>3</v>
      </c>
      <c r="E116" t="s">
        <v>11</v>
      </c>
      <c r="F116" t="s">
        <v>14</v>
      </c>
      <c r="G116">
        <v>11488.31695</v>
      </c>
    </row>
    <row r="117" spans="1:7" x14ac:dyDescent="0.25">
      <c r="A117">
        <v>60</v>
      </c>
      <c r="B117" t="s">
        <v>10</v>
      </c>
      <c r="C117">
        <v>28.594999999999999</v>
      </c>
      <c r="D117">
        <v>0</v>
      </c>
      <c r="E117" t="s">
        <v>11</v>
      </c>
      <c r="F117" t="s">
        <v>14</v>
      </c>
      <c r="G117">
        <v>30259.995559999999</v>
      </c>
    </row>
    <row r="118" spans="1:7" x14ac:dyDescent="0.25">
      <c r="A118">
        <v>58</v>
      </c>
      <c r="B118" t="s">
        <v>10</v>
      </c>
      <c r="C118">
        <v>49.06</v>
      </c>
      <c r="D118">
        <v>0</v>
      </c>
      <c r="E118" t="s">
        <v>11</v>
      </c>
      <c r="F118" t="s">
        <v>12</v>
      </c>
      <c r="G118">
        <v>11381.3254</v>
      </c>
    </row>
    <row r="119" spans="1:7" x14ac:dyDescent="0.25">
      <c r="A119">
        <v>29</v>
      </c>
      <c r="B119" t="s">
        <v>7</v>
      </c>
      <c r="C119">
        <v>27.94</v>
      </c>
      <c r="D119">
        <v>1</v>
      </c>
      <c r="E119" t="s">
        <v>8</v>
      </c>
      <c r="F119" t="s">
        <v>12</v>
      </c>
      <c r="G119">
        <v>19107.779600000002</v>
      </c>
    </row>
    <row r="120" spans="1:7" x14ac:dyDescent="0.25">
      <c r="A120">
        <v>49</v>
      </c>
      <c r="B120" t="s">
        <v>7</v>
      </c>
      <c r="C120">
        <v>27.17</v>
      </c>
      <c r="D120">
        <v>0</v>
      </c>
      <c r="E120" t="s">
        <v>11</v>
      </c>
      <c r="F120" t="s">
        <v>12</v>
      </c>
      <c r="G120">
        <v>8601.3292999999994</v>
      </c>
    </row>
    <row r="121" spans="1:7" x14ac:dyDescent="0.25">
      <c r="A121">
        <v>37</v>
      </c>
      <c r="B121" t="s">
        <v>7</v>
      </c>
      <c r="C121">
        <v>23.37</v>
      </c>
      <c r="D121">
        <v>2</v>
      </c>
      <c r="E121" t="s">
        <v>11</v>
      </c>
      <c r="F121" t="s">
        <v>13</v>
      </c>
      <c r="G121">
        <v>6686.4313000000002</v>
      </c>
    </row>
    <row r="122" spans="1:7" x14ac:dyDescent="0.25">
      <c r="A122">
        <v>44</v>
      </c>
      <c r="B122" t="s">
        <v>10</v>
      </c>
      <c r="C122">
        <v>37.1</v>
      </c>
      <c r="D122">
        <v>2</v>
      </c>
      <c r="E122" t="s">
        <v>11</v>
      </c>
      <c r="F122" t="s">
        <v>9</v>
      </c>
      <c r="G122">
        <v>7740.3370000000004</v>
      </c>
    </row>
    <row r="123" spans="1:7" x14ac:dyDescent="0.25">
      <c r="A123">
        <v>18</v>
      </c>
      <c r="B123" t="s">
        <v>10</v>
      </c>
      <c r="C123">
        <v>23.75</v>
      </c>
      <c r="D123">
        <v>0</v>
      </c>
      <c r="E123" t="s">
        <v>11</v>
      </c>
      <c r="F123" t="s">
        <v>14</v>
      </c>
      <c r="G123">
        <v>1705.6244999999999</v>
      </c>
    </row>
    <row r="124" spans="1:7" x14ac:dyDescent="0.25">
      <c r="A124">
        <v>20</v>
      </c>
      <c r="B124" t="s">
        <v>7</v>
      </c>
      <c r="C124">
        <v>28.975000000000001</v>
      </c>
      <c r="D124">
        <v>0</v>
      </c>
      <c r="E124" t="s">
        <v>11</v>
      </c>
      <c r="F124" t="s">
        <v>13</v>
      </c>
      <c r="G124">
        <v>2257.47525</v>
      </c>
    </row>
    <row r="125" spans="1:7" x14ac:dyDescent="0.25">
      <c r="A125">
        <v>44</v>
      </c>
      <c r="B125" t="s">
        <v>10</v>
      </c>
      <c r="C125">
        <v>31.35</v>
      </c>
      <c r="D125">
        <v>1</v>
      </c>
      <c r="E125" t="s">
        <v>8</v>
      </c>
      <c r="F125" t="s">
        <v>14</v>
      </c>
      <c r="G125">
        <v>39556.494500000001</v>
      </c>
    </row>
    <row r="126" spans="1:7" x14ac:dyDescent="0.25">
      <c r="A126">
        <v>47</v>
      </c>
      <c r="B126" t="s">
        <v>7</v>
      </c>
      <c r="C126">
        <v>33.914999999999999</v>
      </c>
      <c r="D126">
        <v>3</v>
      </c>
      <c r="E126" t="s">
        <v>11</v>
      </c>
      <c r="F126" t="s">
        <v>13</v>
      </c>
      <c r="G126">
        <v>10115.00885</v>
      </c>
    </row>
    <row r="127" spans="1:7" x14ac:dyDescent="0.25">
      <c r="A127">
        <v>26</v>
      </c>
      <c r="B127" t="s">
        <v>7</v>
      </c>
      <c r="C127">
        <v>28.785</v>
      </c>
      <c r="D127">
        <v>0</v>
      </c>
      <c r="E127" t="s">
        <v>11</v>
      </c>
      <c r="F127" t="s">
        <v>14</v>
      </c>
      <c r="G127">
        <v>3385.3991500000002</v>
      </c>
    </row>
    <row r="128" spans="1:7" x14ac:dyDescent="0.25">
      <c r="A128">
        <v>19</v>
      </c>
      <c r="B128" t="s">
        <v>7</v>
      </c>
      <c r="C128">
        <v>28.3</v>
      </c>
      <c r="D128">
        <v>0</v>
      </c>
      <c r="E128" t="s">
        <v>8</v>
      </c>
      <c r="F128" t="s">
        <v>9</v>
      </c>
      <c r="G128">
        <v>17081.080000000002</v>
      </c>
    </row>
    <row r="129" spans="1:7" x14ac:dyDescent="0.25">
      <c r="A129">
        <v>52</v>
      </c>
      <c r="B129" t="s">
        <v>7</v>
      </c>
      <c r="C129">
        <v>37.4</v>
      </c>
      <c r="D129">
        <v>0</v>
      </c>
      <c r="E129" t="s">
        <v>11</v>
      </c>
      <c r="F129" t="s">
        <v>9</v>
      </c>
      <c r="G129">
        <v>9634.5380000000005</v>
      </c>
    </row>
    <row r="130" spans="1:7" x14ac:dyDescent="0.25">
      <c r="A130">
        <v>32</v>
      </c>
      <c r="B130" t="s">
        <v>7</v>
      </c>
      <c r="C130">
        <v>17.765000000000001</v>
      </c>
      <c r="D130">
        <v>2</v>
      </c>
      <c r="E130" t="s">
        <v>8</v>
      </c>
      <c r="F130" t="s">
        <v>13</v>
      </c>
      <c r="G130">
        <v>32734.186300000001</v>
      </c>
    </row>
    <row r="131" spans="1:7" x14ac:dyDescent="0.25">
      <c r="A131">
        <v>38</v>
      </c>
      <c r="B131" t="s">
        <v>10</v>
      </c>
      <c r="C131">
        <v>34.700000000000003</v>
      </c>
      <c r="D131">
        <v>2</v>
      </c>
      <c r="E131" t="s">
        <v>11</v>
      </c>
      <c r="F131" t="s">
        <v>9</v>
      </c>
      <c r="G131">
        <v>6082.4049999999997</v>
      </c>
    </row>
    <row r="132" spans="1:7" x14ac:dyDescent="0.25">
      <c r="A132">
        <v>59</v>
      </c>
      <c r="B132" t="s">
        <v>7</v>
      </c>
      <c r="C132">
        <v>26.504999999999999</v>
      </c>
      <c r="D132">
        <v>0</v>
      </c>
      <c r="E132" t="s">
        <v>11</v>
      </c>
      <c r="F132" t="s">
        <v>14</v>
      </c>
      <c r="G132">
        <v>12815.444949999999</v>
      </c>
    </row>
    <row r="133" spans="1:7" x14ac:dyDescent="0.25">
      <c r="A133">
        <v>61</v>
      </c>
      <c r="B133" t="s">
        <v>7</v>
      </c>
      <c r="C133">
        <v>22.04</v>
      </c>
      <c r="D133">
        <v>0</v>
      </c>
      <c r="E133" t="s">
        <v>11</v>
      </c>
      <c r="F133" t="s">
        <v>14</v>
      </c>
      <c r="G133">
        <v>13616.3586</v>
      </c>
    </row>
    <row r="134" spans="1:7" x14ac:dyDescent="0.25">
      <c r="A134">
        <v>53</v>
      </c>
      <c r="B134" t="s">
        <v>7</v>
      </c>
      <c r="C134">
        <v>35.9</v>
      </c>
      <c r="D134">
        <v>2</v>
      </c>
      <c r="E134" t="s">
        <v>11</v>
      </c>
      <c r="F134" t="s">
        <v>9</v>
      </c>
      <c r="G134">
        <v>11163.567999999999</v>
      </c>
    </row>
    <row r="135" spans="1:7" x14ac:dyDescent="0.25">
      <c r="A135">
        <v>19</v>
      </c>
      <c r="B135" t="s">
        <v>10</v>
      </c>
      <c r="C135">
        <v>25.555</v>
      </c>
      <c r="D135">
        <v>0</v>
      </c>
      <c r="E135" t="s">
        <v>11</v>
      </c>
      <c r="F135" t="s">
        <v>13</v>
      </c>
      <c r="G135">
        <v>1632.5644500000001</v>
      </c>
    </row>
    <row r="136" spans="1:7" x14ac:dyDescent="0.25">
      <c r="A136">
        <v>20</v>
      </c>
      <c r="B136" t="s">
        <v>7</v>
      </c>
      <c r="C136">
        <v>28.785</v>
      </c>
      <c r="D136">
        <v>0</v>
      </c>
      <c r="E136" t="s">
        <v>11</v>
      </c>
      <c r="F136" t="s">
        <v>14</v>
      </c>
      <c r="G136">
        <v>2457.2111500000001</v>
      </c>
    </row>
    <row r="137" spans="1:7" x14ac:dyDescent="0.25">
      <c r="A137">
        <v>22</v>
      </c>
      <c r="B137" t="s">
        <v>7</v>
      </c>
      <c r="C137">
        <v>28.05</v>
      </c>
      <c r="D137">
        <v>0</v>
      </c>
      <c r="E137" t="s">
        <v>11</v>
      </c>
      <c r="F137" t="s">
        <v>12</v>
      </c>
      <c r="G137">
        <v>2155.6815000000001</v>
      </c>
    </row>
    <row r="138" spans="1:7" x14ac:dyDescent="0.25">
      <c r="A138">
        <v>19</v>
      </c>
      <c r="B138" t="s">
        <v>10</v>
      </c>
      <c r="C138">
        <v>34.1</v>
      </c>
      <c r="D138">
        <v>0</v>
      </c>
      <c r="E138" t="s">
        <v>11</v>
      </c>
      <c r="F138" t="s">
        <v>9</v>
      </c>
      <c r="G138">
        <v>1261.442</v>
      </c>
    </row>
    <row r="139" spans="1:7" x14ac:dyDescent="0.25">
      <c r="A139">
        <v>22</v>
      </c>
      <c r="B139" t="s">
        <v>10</v>
      </c>
      <c r="C139">
        <v>25.175000000000001</v>
      </c>
      <c r="D139">
        <v>0</v>
      </c>
      <c r="E139" t="s">
        <v>11</v>
      </c>
      <c r="F139" t="s">
        <v>13</v>
      </c>
      <c r="G139">
        <v>2045.68525</v>
      </c>
    </row>
    <row r="140" spans="1:7" x14ac:dyDescent="0.25">
      <c r="A140">
        <v>54</v>
      </c>
      <c r="B140" t="s">
        <v>7</v>
      </c>
      <c r="C140">
        <v>31.9</v>
      </c>
      <c r="D140">
        <v>3</v>
      </c>
      <c r="E140" t="s">
        <v>11</v>
      </c>
      <c r="F140" t="s">
        <v>12</v>
      </c>
      <c r="G140">
        <v>27322.73386</v>
      </c>
    </row>
    <row r="141" spans="1:7" x14ac:dyDescent="0.25">
      <c r="A141">
        <v>22</v>
      </c>
      <c r="B141" t="s">
        <v>7</v>
      </c>
      <c r="C141">
        <v>36</v>
      </c>
      <c r="D141">
        <v>0</v>
      </c>
      <c r="E141" t="s">
        <v>11</v>
      </c>
      <c r="F141" t="s">
        <v>9</v>
      </c>
      <c r="G141">
        <v>2166.732</v>
      </c>
    </row>
    <row r="142" spans="1:7" x14ac:dyDescent="0.25">
      <c r="A142">
        <v>34</v>
      </c>
      <c r="B142" t="s">
        <v>10</v>
      </c>
      <c r="C142">
        <v>22.42</v>
      </c>
      <c r="D142">
        <v>2</v>
      </c>
      <c r="E142" t="s">
        <v>11</v>
      </c>
      <c r="F142" t="s">
        <v>14</v>
      </c>
      <c r="G142">
        <v>27375.904780000001</v>
      </c>
    </row>
    <row r="143" spans="1:7" x14ac:dyDescent="0.25">
      <c r="A143">
        <v>26</v>
      </c>
      <c r="B143" t="s">
        <v>10</v>
      </c>
      <c r="C143">
        <v>32.49</v>
      </c>
      <c r="D143">
        <v>1</v>
      </c>
      <c r="E143" t="s">
        <v>11</v>
      </c>
      <c r="F143" t="s">
        <v>14</v>
      </c>
      <c r="G143">
        <v>3490.5491000000002</v>
      </c>
    </row>
    <row r="144" spans="1:7" x14ac:dyDescent="0.25">
      <c r="A144">
        <v>34</v>
      </c>
      <c r="B144" t="s">
        <v>10</v>
      </c>
      <c r="C144">
        <v>25.3</v>
      </c>
      <c r="D144">
        <v>2</v>
      </c>
      <c r="E144" t="s">
        <v>8</v>
      </c>
      <c r="F144" t="s">
        <v>12</v>
      </c>
      <c r="G144">
        <v>18972.494999999999</v>
      </c>
    </row>
    <row r="145" spans="1:7" x14ac:dyDescent="0.25">
      <c r="A145">
        <v>29</v>
      </c>
      <c r="B145" t="s">
        <v>10</v>
      </c>
      <c r="C145">
        <v>29.734999999999999</v>
      </c>
      <c r="D145">
        <v>2</v>
      </c>
      <c r="E145" t="s">
        <v>11</v>
      </c>
      <c r="F145" t="s">
        <v>13</v>
      </c>
      <c r="G145">
        <v>18157.876</v>
      </c>
    </row>
    <row r="146" spans="1:7" x14ac:dyDescent="0.25">
      <c r="A146">
        <v>30</v>
      </c>
      <c r="B146" t="s">
        <v>10</v>
      </c>
      <c r="C146">
        <v>28.69</v>
      </c>
      <c r="D146">
        <v>3</v>
      </c>
      <c r="E146" t="s">
        <v>8</v>
      </c>
      <c r="F146" t="s">
        <v>13</v>
      </c>
      <c r="G146">
        <v>20745.989099999999</v>
      </c>
    </row>
    <row r="147" spans="1:7" x14ac:dyDescent="0.25">
      <c r="A147">
        <v>29</v>
      </c>
      <c r="B147" t="s">
        <v>7</v>
      </c>
      <c r="C147">
        <v>38.83</v>
      </c>
      <c r="D147">
        <v>3</v>
      </c>
      <c r="E147" t="s">
        <v>11</v>
      </c>
      <c r="F147" t="s">
        <v>12</v>
      </c>
      <c r="G147">
        <v>5138.2566999999999</v>
      </c>
    </row>
    <row r="148" spans="1:7" x14ac:dyDescent="0.25">
      <c r="A148">
        <v>46</v>
      </c>
      <c r="B148" t="s">
        <v>10</v>
      </c>
      <c r="C148">
        <v>30.495000000000001</v>
      </c>
      <c r="D148">
        <v>3</v>
      </c>
      <c r="E148" t="s">
        <v>8</v>
      </c>
      <c r="F148" t="s">
        <v>13</v>
      </c>
      <c r="G148">
        <v>40720.551050000002</v>
      </c>
    </row>
    <row r="149" spans="1:7" x14ac:dyDescent="0.25">
      <c r="A149">
        <v>51</v>
      </c>
      <c r="B149" t="s">
        <v>7</v>
      </c>
      <c r="C149">
        <v>37.729999999999997</v>
      </c>
      <c r="D149">
        <v>1</v>
      </c>
      <c r="E149" t="s">
        <v>11</v>
      </c>
      <c r="F149" t="s">
        <v>12</v>
      </c>
      <c r="G149">
        <v>9877.6077000000005</v>
      </c>
    </row>
    <row r="150" spans="1:7" x14ac:dyDescent="0.25">
      <c r="A150">
        <v>53</v>
      </c>
      <c r="B150" t="s">
        <v>7</v>
      </c>
      <c r="C150">
        <v>37.43</v>
      </c>
      <c r="D150">
        <v>1</v>
      </c>
      <c r="E150" t="s">
        <v>11</v>
      </c>
      <c r="F150" t="s">
        <v>13</v>
      </c>
      <c r="G150">
        <v>10959.6947</v>
      </c>
    </row>
    <row r="151" spans="1:7" x14ac:dyDescent="0.25">
      <c r="A151">
        <v>19</v>
      </c>
      <c r="B151" t="s">
        <v>10</v>
      </c>
      <c r="C151">
        <v>28.4</v>
      </c>
      <c r="D151">
        <v>1</v>
      </c>
      <c r="E151" t="s">
        <v>11</v>
      </c>
      <c r="F151" t="s">
        <v>9</v>
      </c>
      <c r="G151">
        <v>1842.519</v>
      </c>
    </row>
    <row r="152" spans="1:7" x14ac:dyDescent="0.25">
      <c r="A152">
        <v>35</v>
      </c>
      <c r="B152" t="s">
        <v>10</v>
      </c>
      <c r="C152">
        <v>24.13</v>
      </c>
      <c r="D152">
        <v>1</v>
      </c>
      <c r="E152" t="s">
        <v>11</v>
      </c>
      <c r="F152" t="s">
        <v>13</v>
      </c>
      <c r="G152">
        <v>5125.2156999999997</v>
      </c>
    </row>
    <row r="153" spans="1:7" x14ac:dyDescent="0.25">
      <c r="A153">
        <v>48</v>
      </c>
      <c r="B153" t="s">
        <v>10</v>
      </c>
      <c r="C153">
        <v>29.7</v>
      </c>
      <c r="D153">
        <v>0</v>
      </c>
      <c r="E153" t="s">
        <v>11</v>
      </c>
      <c r="F153" t="s">
        <v>12</v>
      </c>
      <c r="G153">
        <v>7789.6350000000002</v>
      </c>
    </row>
    <row r="154" spans="1:7" x14ac:dyDescent="0.25">
      <c r="A154">
        <v>32</v>
      </c>
      <c r="B154" t="s">
        <v>7</v>
      </c>
      <c r="C154">
        <v>37.145000000000003</v>
      </c>
      <c r="D154">
        <v>3</v>
      </c>
      <c r="E154" t="s">
        <v>11</v>
      </c>
      <c r="F154" t="s">
        <v>14</v>
      </c>
      <c r="G154">
        <v>6334.3435499999996</v>
      </c>
    </row>
    <row r="155" spans="1:7" x14ac:dyDescent="0.25">
      <c r="A155">
        <v>42</v>
      </c>
      <c r="B155" t="s">
        <v>7</v>
      </c>
      <c r="C155">
        <v>23.37</v>
      </c>
      <c r="D155">
        <v>0</v>
      </c>
      <c r="E155" t="s">
        <v>8</v>
      </c>
      <c r="F155" t="s">
        <v>14</v>
      </c>
      <c r="G155">
        <v>19964.746299999999</v>
      </c>
    </row>
    <row r="156" spans="1:7" x14ac:dyDescent="0.25">
      <c r="A156">
        <v>40</v>
      </c>
      <c r="B156" t="s">
        <v>7</v>
      </c>
      <c r="C156">
        <v>25.46</v>
      </c>
      <c r="D156">
        <v>1</v>
      </c>
      <c r="E156" t="s">
        <v>11</v>
      </c>
      <c r="F156" t="s">
        <v>14</v>
      </c>
      <c r="G156">
        <v>7077.1894000000002</v>
      </c>
    </row>
    <row r="157" spans="1:7" x14ac:dyDescent="0.25">
      <c r="A157">
        <v>44</v>
      </c>
      <c r="B157" t="s">
        <v>10</v>
      </c>
      <c r="C157">
        <v>39.520000000000003</v>
      </c>
      <c r="D157">
        <v>0</v>
      </c>
      <c r="E157" t="s">
        <v>11</v>
      </c>
      <c r="F157" t="s">
        <v>13</v>
      </c>
      <c r="G157">
        <v>6948.7007999999996</v>
      </c>
    </row>
    <row r="158" spans="1:7" x14ac:dyDescent="0.25">
      <c r="A158">
        <v>48</v>
      </c>
      <c r="B158" t="s">
        <v>10</v>
      </c>
      <c r="C158">
        <v>24.42</v>
      </c>
      <c r="D158">
        <v>0</v>
      </c>
      <c r="E158" t="s">
        <v>8</v>
      </c>
      <c r="F158" t="s">
        <v>12</v>
      </c>
      <c r="G158">
        <v>21223.675800000001</v>
      </c>
    </row>
    <row r="159" spans="1:7" x14ac:dyDescent="0.25">
      <c r="A159">
        <v>18</v>
      </c>
      <c r="B159" t="s">
        <v>10</v>
      </c>
      <c r="C159">
        <v>25.175000000000001</v>
      </c>
      <c r="D159">
        <v>0</v>
      </c>
      <c r="E159" t="s">
        <v>8</v>
      </c>
      <c r="F159" t="s">
        <v>14</v>
      </c>
      <c r="G159">
        <v>15518.180249999999</v>
      </c>
    </row>
    <row r="160" spans="1:7" x14ac:dyDescent="0.25">
      <c r="A160">
        <v>30</v>
      </c>
      <c r="B160" t="s">
        <v>10</v>
      </c>
      <c r="C160">
        <v>35.53</v>
      </c>
      <c r="D160">
        <v>0</v>
      </c>
      <c r="E160" t="s">
        <v>8</v>
      </c>
      <c r="F160" t="s">
        <v>12</v>
      </c>
      <c r="G160">
        <v>36950.256699999998</v>
      </c>
    </row>
    <row r="161" spans="1:7" x14ac:dyDescent="0.25">
      <c r="A161">
        <v>50</v>
      </c>
      <c r="B161" t="s">
        <v>7</v>
      </c>
      <c r="C161">
        <v>27.83</v>
      </c>
      <c r="D161">
        <v>3</v>
      </c>
      <c r="E161" t="s">
        <v>11</v>
      </c>
      <c r="F161" t="s">
        <v>12</v>
      </c>
      <c r="G161">
        <v>19749.383379999999</v>
      </c>
    </row>
    <row r="162" spans="1:7" x14ac:dyDescent="0.25">
      <c r="A162">
        <v>42</v>
      </c>
      <c r="B162" t="s">
        <v>7</v>
      </c>
      <c r="C162">
        <v>26.6</v>
      </c>
      <c r="D162">
        <v>0</v>
      </c>
      <c r="E162" t="s">
        <v>8</v>
      </c>
      <c r="F162" t="s">
        <v>13</v>
      </c>
      <c r="G162">
        <v>21348.705999999998</v>
      </c>
    </row>
    <row r="163" spans="1:7" x14ac:dyDescent="0.25">
      <c r="A163">
        <v>18</v>
      </c>
      <c r="B163" t="s">
        <v>7</v>
      </c>
      <c r="C163">
        <v>36.85</v>
      </c>
      <c r="D163">
        <v>0</v>
      </c>
      <c r="E163" t="s">
        <v>8</v>
      </c>
      <c r="F163" t="s">
        <v>12</v>
      </c>
      <c r="G163">
        <v>36149.483500000002</v>
      </c>
    </row>
    <row r="164" spans="1:7" x14ac:dyDescent="0.25">
      <c r="A164">
        <v>54</v>
      </c>
      <c r="B164" t="s">
        <v>10</v>
      </c>
      <c r="C164">
        <v>39.6</v>
      </c>
      <c r="D164">
        <v>1</v>
      </c>
      <c r="E164" t="s">
        <v>11</v>
      </c>
      <c r="F164" t="s">
        <v>9</v>
      </c>
      <c r="G164">
        <v>10450.552</v>
      </c>
    </row>
    <row r="165" spans="1:7" x14ac:dyDescent="0.25">
      <c r="A165">
        <v>32</v>
      </c>
      <c r="B165" t="s">
        <v>7</v>
      </c>
      <c r="C165">
        <v>29.8</v>
      </c>
      <c r="D165">
        <v>2</v>
      </c>
      <c r="E165" t="s">
        <v>11</v>
      </c>
      <c r="F165" t="s">
        <v>9</v>
      </c>
      <c r="G165">
        <v>5152.134</v>
      </c>
    </row>
    <row r="166" spans="1:7" x14ac:dyDescent="0.25">
      <c r="A166">
        <v>37</v>
      </c>
      <c r="B166" t="s">
        <v>10</v>
      </c>
      <c r="C166">
        <v>29.64</v>
      </c>
      <c r="D166">
        <v>0</v>
      </c>
      <c r="E166" t="s">
        <v>11</v>
      </c>
      <c r="F166" t="s">
        <v>13</v>
      </c>
      <c r="G166">
        <v>5028.1466</v>
      </c>
    </row>
    <row r="167" spans="1:7" x14ac:dyDescent="0.25">
      <c r="A167">
        <v>47</v>
      </c>
      <c r="B167" t="s">
        <v>10</v>
      </c>
      <c r="C167">
        <v>28.215</v>
      </c>
      <c r="D167">
        <v>4</v>
      </c>
      <c r="E167" t="s">
        <v>11</v>
      </c>
      <c r="F167" t="s">
        <v>14</v>
      </c>
      <c r="G167">
        <v>10407.085849999999</v>
      </c>
    </row>
    <row r="168" spans="1:7" x14ac:dyDescent="0.25">
      <c r="A168">
        <v>20</v>
      </c>
      <c r="B168" t="s">
        <v>7</v>
      </c>
      <c r="C168">
        <v>37</v>
      </c>
      <c r="D168">
        <v>5</v>
      </c>
      <c r="E168" t="s">
        <v>11</v>
      </c>
      <c r="F168" t="s">
        <v>9</v>
      </c>
      <c r="G168">
        <v>4830.63</v>
      </c>
    </row>
    <row r="169" spans="1:7" x14ac:dyDescent="0.25">
      <c r="A169">
        <v>32</v>
      </c>
      <c r="B169" t="s">
        <v>7</v>
      </c>
      <c r="C169">
        <v>33.155000000000001</v>
      </c>
      <c r="D169">
        <v>3</v>
      </c>
      <c r="E169" t="s">
        <v>11</v>
      </c>
      <c r="F169" t="s">
        <v>13</v>
      </c>
      <c r="G169">
        <v>6128.79745</v>
      </c>
    </row>
    <row r="170" spans="1:7" x14ac:dyDescent="0.25">
      <c r="A170">
        <v>19</v>
      </c>
      <c r="B170" t="s">
        <v>7</v>
      </c>
      <c r="C170">
        <v>31.824999999999999</v>
      </c>
      <c r="D170">
        <v>1</v>
      </c>
      <c r="E170" t="s">
        <v>11</v>
      </c>
      <c r="F170" t="s">
        <v>13</v>
      </c>
      <c r="G170">
        <v>2719.2797500000001</v>
      </c>
    </row>
    <row r="171" spans="1:7" x14ac:dyDescent="0.25">
      <c r="A171">
        <v>27</v>
      </c>
      <c r="B171" t="s">
        <v>10</v>
      </c>
      <c r="C171">
        <v>18.905000000000001</v>
      </c>
      <c r="D171">
        <v>3</v>
      </c>
      <c r="E171" t="s">
        <v>11</v>
      </c>
      <c r="F171" t="s">
        <v>14</v>
      </c>
      <c r="G171">
        <v>4827.9049500000001</v>
      </c>
    </row>
    <row r="172" spans="1:7" x14ac:dyDescent="0.25">
      <c r="A172">
        <v>63</v>
      </c>
      <c r="B172" t="s">
        <v>10</v>
      </c>
      <c r="C172">
        <v>41.47</v>
      </c>
      <c r="D172">
        <v>0</v>
      </c>
      <c r="E172" t="s">
        <v>11</v>
      </c>
      <c r="F172" t="s">
        <v>12</v>
      </c>
      <c r="G172">
        <v>13405.390299999999</v>
      </c>
    </row>
    <row r="173" spans="1:7" x14ac:dyDescent="0.25">
      <c r="A173">
        <v>49</v>
      </c>
      <c r="B173" t="s">
        <v>10</v>
      </c>
      <c r="C173">
        <v>30.3</v>
      </c>
      <c r="D173">
        <v>0</v>
      </c>
      <c r="E173" t="s">
        <v>11</v>
      </c>
      <c r="F173" t="s">
        <v>9</v>
      </c>
      <c r="G173">
        <v>8116.68</v>
      </c>
    </row>
    <row r="174" spans="1:7" x14ac:dyDescent="0.25">
      <c r="A174">
        <v>18</v>
      </c>
      <c r="B174" t="s">
        <v>10</v>
      </c>
      <c r="C174">
        <v>15.96</v>
      </c>
      <c r="D174">
        <v>0</v>
      </c>
      <c r="E174" t="s">
        <v>11</v>
      </c>
      <c r="F174" t="s">
        <v>14</v>
      </c>
      <c r="G174">
        <v>1694.7963999999999</v>
      </c>
    </row>
    <row r="175" spans="1:7" x14ac:dyDescent="0.25">
      <c r="A175">
        <v>35</v>
      </c>
      <c r="B175" t="s">
        <v>7</v>
      </c>
      <c r="C175">
        <v>34.799999999999997</v>
      </c>
      <c r="D175">
        <v>1</v>
      </c>
      <c r="E175" t="s">
        <v>11</v>
      </c>
      <c r="F175" t="s">
        <v>9</v>
      </c>
      <c r="G175">
        <v>5246.0469999999996</v>
      </c>
    </row>
    <row r="176" spans="1:7" x14ac:dyDescent="0.25">
      <c r="A176">
        <v>24</v>
      </c>
      <c r="B176" t="s">
        <v>7</v>
      </c>
      <c r="C176">
        <v>33.344999999999999</v>
      </c>
      <c r="D176">
        <v>0</v>
      </c>
      <c r="E176" t="s">
        <v>11</v>
      </c>
      <c r="F176" t="s">
        <v>13</v>
      </c>
      <c r="G176">
        <v>2855.4375500000001</v>
      </c>
    </row>
    <row r="177" spans="1:7" x14ac:dyDescent="0.25">
      <c r="A177">
        <v>63</v>
      </c>
      <c r="B177" t="s">
        <v>7</v>
      </c>
      <c r="C177">
        <v>37.700000000000003</v>
      </c>
      <c r="D177">
        <v>0</v>
      </c>
      <c r="E177" t="s">
        <v>8</v>
      </c>
      <c r="F177" t="s">
        <v>9</v>
      </c>
      <c r="G177">
        <v>48824.45</v>
      </c>
    </row>
    <row r="178" spans="1:7" x14ac:dyDescent="0.25">
      <c r="A178">
        <v>38</v>
      </c>
      <c r="B178" t="s">
        <v>10</v>
      </c>
      <c r="C178">
        <v>27.835000000000001</v>
      </c>
      <c r="D178">
        <v>2</v>
      </c>
      <c r="E178" t="s">
        <v>11</v>
      </c>
      <c r="F178" t="s">
        <v>13</v>
      </c>
      <c r="G178">
        <v>6455.86265</v>
      </c>
    </row>
    <row r="179" spans="1:7" x14ac:dyDescent="0.25">
      <c r="A179">
        <v>54</v>
      </c>
      <c r="B179" t="s">
        <v>10</v>
      </c>
      <c r="C179">
        <v>29.2</v>
      </c>
      <c r="D179">
        <v>1</v>
      </c>
      <c r="E179" t="s">
        <v>11</v>
      </c>
      <c r="F179" t="s">
        <v>9</v>
      </c>
      <c r="G179">
        <v>10436.096</v>
      </c>
    </row>
    <row r="180" spans="1:7" x14ac:dyDescent="0.25">
      <c r="A180">
        <v>46</v>
      </c>
      <c r="B180" t="s">
        <v>7</v>
      </c>
      <c r="C180">
        <v>28.9</v>
      </c>
      <c r="D180">
        <v>2</v>
      </c>
      <c r="E180" t="s">
        <v>11</v>
      </c>
      <c r="F180" t="s">
        <v>9</v>
      </c>
      <c r="G180">
        <v>8823.2790000000005</v>
      </c>
    </row>
    <row r="181" spans="1:7" x14ac:dyDescent="0.25">
      <c r="A181">
        <v>41</v>
      </c>
      <c r="B181" t="s">
        <v>7</v>
      </c>
      <c r="C181">
        <v>33.155000000000001</v>
      </c>
      <c r="D181">
        <v>3</v>
      </c>
      <c r="E181" t="s">
        <v>11</v>
      </c>
      <c r="F181" t="s">
        <v>14</v>
      </c>
      <c r="G181">
        <v>8538.28845</v>
      </c>
    </row>
    <row r="182" spans="1:7" x14ac:dyDescent="0.25">
      <c r="A182">
        <v>58</v>
      </c>
      <c r="B182" t="s">
        <v>10</v>
      </c>
      <c r="C182">
        <v>28.594999999999999</v>
      </c>
      <c r="D182">
        <v>0</v>
      </c>
      <c r="E182" t="s">
        <v>11</v>
      </c>
      <c r="F182" t="s">
        <v>13</v>
      </c>
      <c r="G182">
        <v>11735.87905</v>
      </c>
    </row>
    <row r="183" spans="1:7" x14ac:dyDescent="0.25">
      <c r="A183">
        <v>18</v>
      </c>
      <c r="B183" t="s">
        <v>7</v>
      </c>
      <c r="C183">
        <v>38.28</v>
      </c>
      <c r="D183">
        <v>0</v>
      </c>
      <c r="E183" t="s">
        <v>11</v>
      </c>
      <c r="F183" t="s">
        <v>12</v>
      </c>
      <c r="G183">
        <v>1631.8212000000001</v>
      </c>
    </row>
    <row r="184" spans="1:7" x14ac:dyDescent="0.25">
      <c r="A184">
        <v>22</v>
      </c>
      <c r="B184" t="s">
        <v>10</v>
      </c>
      <c r="C184">
        <v>19.95</v>
      </c>
      <c r="D184">
        <v>3</v>
      </c>
      <c r="E184" t="s">
        <v>11</v>
      </c>
      <c r="F184" t="s">
        <v>14</v>
      </c>
      <c r="G184">
        <v>4005.4225000000001</v>
      </c>
    </row>
    <row r="185" spans="1:7" x14ac:dyDescent="0.25">
      <c r="A185">
        <v>44</v>
      </c>
      <c r="B185" t="s">
        <v>7</v>
      </c>
      <c r="C185">
        <v>26.41</v>
      </c>
      <c r="D185">
        <v>0</v>
      </c>
      <c r="E185" t="s">
        <v>11</v>
      </c>
      <c r="F185" t="s">
        <v>13</v>
      </c>
      <c r="G185">
        <v>7419.4778999999999</v>
      </c>
    </row>
    <row r="186" spans="1:7" x14ac:dyDescent="0.25">
      <c r="A186">
        <v>44</v>
      </c>
      <c r="B186" t="s">
        <v>10</v>
      </c>
      <c r="C186">
        <v>30.69</v>
      </c>
      <c r="D186">
        <v>2</v>
      </c>
      <c r="E186" t="s">
        <v>11</v>
      </c>
      <c r="F186" t="s">
        <v>12</v>
      </c>
      <c r="G186">
        <v>7731.4270999999999</v>
      </c>
    </row>
    <row r="187" spans="1:7" x14ac:dyDescent="0.25">
      <c r="A187">
        <v>36</v>
      </c>
      <c r="B187" t="s">
        <v>10</v>
      </c>
      <c r="C187">
        <v>41.895000000000003</v>
      </c>
      <c r="D187">
        <v>3</v>
      </c>
      <c r="E187" t="s">
        <v>8</v>
      </c>
      <c r="F187" t="s">
        <v>14</v>
      </c>
      <c r="G187">
        <v>43753.337050000002</v>
      </c>
    </row>
    <row r="188" spans="1:7" x14ac:dyDescent="0.25">
      <c r="A188">
        <v>26</v>
      </c>
      <c r="B188" t="s">
        <v>7</v>
      </c>
      <c r="C188">
        <v>29.92</v>
      </c>
      <c r="D188">
        <v>2</v>
      </c>
      <c r="E188" t="s">
        <v>11</v>
      </c>
      <c r="F188" t="s">
        <v>12</v>
      </c>
      <c r="G188">
        <v>3981.9767999999999</v>
      </c>
    </row>
    <row r="189" spans="1:7" x14ac:dyDescent="0.25">
      <c r="A189">
        <v>30</v>
      </c>
      <c r="B189" t="s">
        <v>7</v>
      </c>
      <c r="C189">
        <v>30.9</v>
      </c>
      <c r="D189">
        <v>3</v>
      </c>
      <c r="E189" t="s">
        <v>11</v>
      </c>
      <c r="F189" t="s">
        <v>9</v>
      </c>
      <c r="G189">
        <v>5325.6509999999998</v>
      </c>
    </row>
    <row r="190" spans="1:7" x14ac:dyDescent="0.25">
      <c r="A190">
        <v>41</v>
      </c>
      <c r="B190" t="s">
        <v>7</v>
      </c>
      <c r="C190">
        <v>32.200000000000003</v>
      </c>
      <c r="D190">
        <v>1</v>
      </c>
      <c r="E190" t="s">
        <v>11</v>
      </c>
      <c r="F190" t="s">
        <v>9</v>
      </c>
      <c r="G190">
        <v>6775.9610000000002</v>
      </c>
    </row>
    <row r="191" spans="1:7" x14ac:dyDescent="0.25">
      <c r="A191">
        <v>29</v>
      </c>
      <c r="B191" t="s">
        <v>7</v>
      </c>
      <c r="C191">
        <v>32.11</v>
      </c>
      <c r="D191">
        <v>2</v>
      </c>
      <c r="E191" t="s">
        <v>11</v>
      </c>
      <c r="F191" t="s">
        <v>13</v>
      </c>
      <c r="G191">
        <v>4922.9159</v>
      </c>
    </row>
    <row r="192" spans="1:7" x14ac:dyDescent="0.25">
      <c r="A192">
        <v>61</v>
      </c>
      <c r="B192" t="s">
        <v>10</v>
      </c>
      <c r="C192">
        <v>31.57</v>
      </c>
      <c r="D192">
        <v>0</v>
      </c>
      <c r="E192" t="s">
        <v>11</v>
      </c>
      <c r="F192" t="s">
        <v>12</v>
      </c>
      <c r="G192">
        <v>12557.605299999999</v>
      </c>
    </row>
    <row r="193" spans="1:7" x14ac:dyDescent="0.25">
      <c r="A193">
        <v>36</v>
      </c>
      <c r="B193" t="s">
        <v>7</v>
      </c>
      <c r="C193">
        <v>26.2</v>
      </c>
      <c r="D193">
        <v>0</v>
      </c>
      <c r="E193" t="s">
        <v>11</v>
      </c>
      <c r="F193" t="s">
        <v>9</v>
      </c>
      <c r="G193">
        <v>4883.866</v>
      </c>
    </row>
    <row r="194" spans="1:7" x14ac:dyDescent="0.25">
      <c r="A194">
        <v>25</v>
      </c>
      <c r="B194" t="s">
        <v>10</v>
      </c>
      <c r="C194">
        <v>25.74</v>
      </c>
      <c r="D194">
        <v>0</v>
      </c>
      <c r="E194" t="s">
        <v>11</v>
      </c>
      <c r="F194" t="s">
        <v>12</v>
      </c>
      <c r="G194">
        <v>2137.6536000000001</v>
      </c>
    </row>
    <row r="195" spans="1:7" x14ac:dyDescent="0.25">
      <c r="A195">
        <v>56</v>
      </c>
      <c r="B195" t="s">
        <v>7</v>
      </c>
      <c r="C195">
        <v>26.6</v>
      </c>
      <c r="D195">
        <v>1</v>
      </c>
      <c r="E195" t="s">
        <v>11</v>
      </c>
      <c r="F195" t="s">
        <v>13</v>
      </c>
      <c r="G195">
        <v>12044.342000000001</v>
      </c>
    </row>
    <row r="196" spans="1:7" x14ac:dyDescent="0.25">
      <c r="A196">
        <v>18</v>
      </c>
      <c r="B196" t="s">
        <v>10</v>
      </c>
      <c r="C196">
        <v>34.43</v>
      </c>
      <c r="D196">
        <v>0</v>
      </c>
      <c r="E196" t="s">
        <v>11</v>
      </c>
      <c r="F196" t="s">
        <v>12</v>
      </c>
      <c r="G196">
        <v>1137.4697000000001</v>
      </c>
    </row>
    <row r="197" spans="1:7" x14ac:dyDescent="0.25">
      <c r="A197">
        <v>19</v>
      </c>
      <c r="B197" t="s">
        <v>10</v>
      </c>
      <c r="C197">
        <v>30.59</v>
      </c>
      <c r="D197">
        <v>0</v>
      </c>
      <c r="E197" t="s">
        <v>11</v>
      </c>
      <c r="F197" t="s">
        <v>13</v>
      </c>
      <c r="G197">
        <v>1639.5631000000001</v>
      </c>
    </row>
    <row r="198" spans="1:7" x14ac:dyDescent="0.25">
      <c r="A198">
        <v>39</v>
      </c>
      <c r="B198" t="s">
        <v>7</v>
      </c>
      <c r="C198">
        <v>32.799999999999997</v>
      </c>
      <c r="D198">
        <v>0</v>
      </c>
      <c r="E198" t="s">
        <v>11</v>
      </c>
      <c r="F198" t="s">
        <v>9</v>
      </c>
      <c r="G198">
        <v>5649.7150000000001</v>
      </c>
    </row>
    <row r="199" spans="1:7" x14ac:dyDescent="0.25">
      <c r="A199">
        <v>45</v>
      </c>
      <c r="B199" t="s">
        <v>7</v>
      </c>
      <c r="C199">
        <v>28.6</v>
      </c>
      <c r="D199">
        <v>2</v>
      </c>
      <c r="E199" t="s">
        <v>11</v>
      </c>
      <c r="F199" t="s">
        <v>12</v>
      </c>
      <c r="G199">
        <v>8516.8289999999997</v>
      </c>
    </row>
    <row r="200" spans="1:7" x14ac:dyDescent="0.25">
      <c r="A200">
        <v>51</v>
      </c>
      <c r="B200" t="s">
        <v>7</v>
      </c>
      <c r="C200">
        <v>18.05</v>
      </c>
      <c r="D200">
        <v>0</v>
      </c>
      <c r="E200" t="s">
        <v>11</v>
      </c>
      <c r="F200" t="s">
        <v>13</v>
      </c>
      <c r="G200">
        <v>9644.2525000000005</v>
      </c>
    </row>
    <row r="201" spans="1:7" x14ac:dyDescent="0.25">
      <c r="A201">
        <v>64</v>
      </c>
      <c r="B201" t="s">
        <v>7</v>
      </c>
      <c r="C201">
        <v>39.33</v>
      </c>
      <c r="D201">
        <v>0</v>
      </c>
      <c r="E201" t="s">
        <v>11</v>
      </c>
      <c r="F201" t="s">
        <v>14</v>
      </c>
      <c r="G201">
        <v>14901.5167</v>
      </c>
    </row>
    <row r="202" spans="1:7" x14ac:dyDescent="0.25">
      <c r="A202">
        <v>19</v>
      </c>
      <c r="B202" t="s">
        <v>7</v>
      </c>
      <c r="C202">
        <v>32.11</v>
      </c>
      <c r="D202">
        <v>0</v>
      </c>
      <c r="E202" t="s">
        <v>11</v>
      </c>
      <c r="F202" t="s">
        <v>13</v>
      </c>
      <c r="G202">
        <v>2130.6759000000002</v>
      </c>
    </row>
    <row r="203" spans="1:7" x14ac:dyDescent="0.25">
      <c r="A203">
        <v>48</v>
      </c>
      <c r="B203" t="s">
        <v>7</v>
      </c>
      <c r="C203">
        <v>32.229999999999997</v>
      </c>
      <c r="D203">
        <v>1</v>
      </c>
      <c r="E203" t="s">
        <v>11</v>
      </c>
      <c r="F203" t="s">
        <v>12</v>
      </c>
      <c r="G203">
        <v>8871.1517000000003</v>
      </c>
    </row>
    <row r="204" spans="1:7" x14ac:dyDescent="0.25">
      <c r="A204">
        <v>60</v>
      </c>
      <c r="B204" t="s">
        <v>7</v>
      </c>
      <c r="C204">
        <v>24.035</v>
      </c>
      <c r="D204">
        <v>0</v>
      </c>
      <c r="E204" t="s">
        <v>11</v>
      </c>
      <c r="F204" t="s">
        <v>13</v>
      </c>
      <c r="G204">
        <v>13012.20865</v>
      </c>
    </row>
    <row r="205" spans="1:7" x14ac:dyDescent="0.25">
      <c r="A205">
        <v>27</v>
      </c>
      <c r="B205" t="s">
        <v>7</v>
      </c>
      <c r="C205">
        <v>36.08</v>
      </c>
      <c r="D205">
        <v>0</v>
      </c>
      <c r="E205" t="s">
        <v>8</v>
      </c>
      <c r="F205" t="s">
        <v>12</v>
      </c>
      <c r="G205">
        <v>37133.898200000003</v>
      </c>
    </row>
    <row r="206" spans="1:7" x14ac:dyDescent="0.25">
      <c r="A206">
        <v>46</v>
      </c>
      <c r="B206" t="s">
        <v>10</v>
      </c>
      <c r="C206">
        <v>22.3</v>
      </c>
      <c r="D206">
        <v>0</v>
      </c>
      <c r="E206" t="s">
        <v>11</v>
      </c>
      <c r="F206" t="s">
        <v>9</v>
      </c>
      <c r="G206">
        <v>7147.1049999999996</v>
      </c>
    </row>
    <row r="207" spans="1:7" x14ac:dyDescent="0.25">
      <c r="A207">
        <v>28</v>
      </c>
      <c r="B207" t="s">
        <v>7</v>
      </c>
      <c r="C207">
        <v>28.88</v>
      </c>
      <c r="D207">
        <v>1</v>
      </c>
      <c r="E207" t="s">
        <v>11</v>
      </c>
      <c r="F207" t="s">
        <v>14</v>
      </c>
      <c r="G207">
        <v>4337.7352000000001</v>
      </c>
    </row>
    <row r="208" spans="1:7" x14ac:dyDescent="0.25">
      <c r="A208">
        <v>59</v>
      </c>
      <c r="B208" t="s">
        <v>10</v>
      </c>
      <c r="C208">
        <v>26.4</v>
      </c>
      <c r="D208">
        <v>0</v>
      </c>
      <c r="E208" t="s">
        <v>11</v>
      </c>
      <c r="F208" t="s">
        <v>12</v>
      </c>
      <c r="G208">
        <v>11743.299000000001</v>
      </c>
    </row>
    <row r="209" spans="1:7" x14ac:dyDescent="0.25">
      <c r="A209">
        <v>35</v>
      </c>
      <c r="B209" t="s">
        <v>10</v>
      </c>
      <c r="C209">
        <v>27.74</v>
      </c>
      <c r="D209">
        <v>2</v>
      </c>
      <c r="E209" t="s">
        <v>8</v>
      </c>
      <c r="F209" t="s">
        <v>14</v>
      </c>
      <c r="G209">
        <v>20984.0936</v>
      </c>
    </row>
    <row r="210" spans="1:7" x14ac:dyDescent="0.25">
      <c r="A210">
        <v>63</v>
      </c>
      <c r="B210" t="s">
        <v>7</v>
      </c>
      <c r="C210">
        <v>31.8</v>
      </c>
      <c r="D210">
        <v>0</v>
      </c>
      <c r="E210" t="s">
        <v>11</v>
      </c>
      <c r="F210" t="s">
        <v>9</v>
      </c>
      <c r="G210">
        <v>13880.949000000001</v>
      </c>
    </row>
    <row r="211" spans="1:7" x14ac:dyDescent="0.25">
      <c r="A211">
        <v>40</v>
      </c>
      <c r="B211" t="s">
        <v>10</v>
      </c>
      <c r="C211">
        <v>41.23</v>
      </c>
      <c r="D211">
        <v>1</v>
      </c>
      <c r="E211" t="s">
        <v>11</v>
      </c>
      <c r="F211" t="s">
        <v>14</v>
      </c>
      <c r="G211">
        <v>6610.1097</v>
      </c>
    </row>
    <row r="212" spans="1:7" x14ac:dyDescent="0.25">
      <c r="A212">
        <v>20</v>
      </c>
      <c r="B212" t="s">
        <v>10</v>
      </c>
      <c r="C212">
        <v>33</v>
      </c>
      <c r="D212">
        <v>1</v>
      </c>
      <c r="E212" t="s">
        <v>11</v>
      </c>
      <c r="F212" t="s">
        <v>9</v>
      </c>
      <c r="G212">
        <v>1980.07</v>
      </c>
    </row>
    <row r="213" spans="1:7" x14ac:dyDescent="0.25">
      <c r="A213">
        <v>40</v>
      </c>
      <c r="B213" t="s">
        <v>10</v>
      </c>
      <c r="C213">
        <v>30.875</v>
      </c>
      <c r="D213">
        <v>4</v>
      </c>
      <c r="E213" t="s">
        <v>11</v>
      </c>
      <c r="F213" t="s">
        <v>13</v>
      </c>
      <c r="G213">
        <v>8162.7162500000004</v>
      </c>
    </row>
    <row r="214" spans="1:7" x14ac:dyDescent="0.25">
      <c r="A214">
        <v>24</v>
      </c>
      <c r="B214" t="s">
        <v>10</v>
      </c>
      <c r="C214">
        <v>28.5</v>
      </c>
      <c r="D214">
        <v>2</v>
      </c>
      <c r="E214" t="s">
        <v>11</v>
      </c>
      <c r="F214" t="s">
        <v>13</v>
      </c>
      <c r="G214">
        <v>3537.703</v>
      </c>
    </row>
    <row r="215" spans="1:7" x14ac:dyDescent="0.25">
      <c r="A215">
        <v>34</v>
      </c>
      <c r="B215" t="s">
        <v>7</v>
      </c>
      <c r="C215">
        <v>26.73</v>
      </c>
      <c r="D215">
        <v>1</v>
      </c>
      <c r="E215" t="s">
        <v>11</v>
      </c>
      <c r="F215" t="s">
        <v>12</v>
      </c>
      <c r="G215">
        <v>5002.7826999999997</v>
      </c>
    </row>
    <row r="216" spans="1:7" x14ac:dyDescent="0.25">
      <c r="A216">
        <v>45</v>
      </c>
      <c r="B216" t="s">
        <v>7</v>
      </c>
      <c r="C216">
        <v>30.9</v>
      </c>
      <c r="D216">
        <v>2</v>
      </c>
      <c r="E216" t="s">
        <v>11</v>
      </c>
      <c r="F216" t="s">
        <v>9</v>
      </c>
      <c r="G216">
        <v>8520.0259999999998</v>
      </c>
    </row>
    <row r="217" spans="1:7" x14ac:dyDescent="0.25">
      <c r="A217">
        <v>41</v>
      </c>
      <c r="B217" t="s">
        <v>7</v>
      </c>
      <c r="C217">
        <v>37.1</v>
      </c>
      <c r="D217">
        <v>2</v>
      </c>
      <c r="E217" t="s">
        <v>11</v>
      </c>
      <c r="F217" t="s">
        <v>9</v>
      </c>
      <c r="G217">
        <v>7371.7719999999999</v>
      </c>
    </row>
    <row r="218" spans="1:7" x14ac:dyDescent="0.25">
      <c r="A218">
        <v>53</v>
      </c>
      <c r="B218" t="s">
        <v>7</v>
      </c>
      <c r="C218">
        <v>26.6</v>
      </c>
      <c r="D218">
        <v>0</v>
      </c>
      <c r="E218" t="s">
        <v>11</v>
      </c>
      <c r="F218" t="s">
        <v>13</v>
      </c>
      <c r="G218">
        <v>10355.641</v>
      </c>
    </row>
    <row r="219" spans="1:7" x14ac:dyDescent="0.25">
      <c r="A219">
        <v>27</v>
      </c>
      <c r="B219" t="s">
        <v>10</v>
      </c>
      <c r="C219">
        <v>23.1</v>
      </c>
      <c r="D219">
        <v>0</v>
      </c>
      <c r="E219" t="s">
        <v>11</v>
      </c>
      <c r="F219" t="s">
        <v>12</v>
      </c>
      <c r="G219">
        <v>2483.7359999999999</v>
      </c>
    </row>
    <row r="220" spans="1:7" x14ac:dyDescent="0.25">
      <c r="A220">
        <v>26</v>
      </c>
      <c r="B220" t="s">
        <v>7</v>
      </c>
      <c r="C220">
        <v>29.92</v>
      </c>
      <c r="D220">
        <v>1</v>
      </c>
      <c r="E220" t="s">
        <v>11</v>
      </c>
      <c r="F220" t="s">
        <v>12</v>
      </c>
      <c r="G220">
        <v>3392.9767999999999</v>
      </c>
    </row>
    <row r="221" spans="1:7" x14ac:dyDescent="0.25">
      <c r="A221">
        <v>24</v>
      </c>
      <c r="B221" t="s">
        <v>7</v>
      </c>
      <c r="C221">
        <v>23.21</v>
      </c>
      <c r="D221">
        <v>0</v>
      </c>
      <c r="E221" t="s">
        <v>11</v>
      </c>
      <c r="F221" t="s">
        <v>12</v>
      </c>
      <c r="G221">
        <v>25081.76784</v>
      </c>
    </row>
    <row r="222" spans="1:7" x14ac:dyDescent="0.25">
      <c r="A222">
        <v>34</v>
      </c>
      <c r="B222" t="s">
        <v>7</v>
      </c>
      <c r="C222">
        <v>33.700000000000003</v>
      </c>
      <c r="D222">
        <v>1</v>
      </c>
      <c r="E222" t="s">
        <v>11</v>
      </c>
      <c r="F222" t="s">
        <v>9</v>
      </c>
      <c r="G222">
        <v>5012.4709999999995</v>
      </c>
    </row>
    <row r="223" spans="1:7" x14ac:dyDescent="0.25">
      <c r="A223">
        <v>53</v>
      </c>
      <c r="B223" t="s">
        <v>7</v>
      </c>
      <c r="C223">
        <v>33.25</v>
      </c>
      <c r="D223">
        <v>0</v>
      </c>
      <c r="E223" t="s">
        <v>11</v>
      </c>
      <c r="F223" t="s">
        <v>14</v>
      </c>
      <c r="G223">
        <v>10564.8845</v>
      </c>
    </row>
    <row r="224" spans="1:7" x14ac:dyDescent="0.25">
      <c r="A224">
        <v>32</v>
      </c>
      <c r="B224" t="s">
        <v>10</v>
      </c>
      <c r="C224">
        <v>30.8</v>
      </c>
      <c r="D224">
        <v>3</v>
      </c>
      <c r="E224" t="s">
        <v>11</v>
      </c>
      <c r="F224" t="s">
        <v>9</v>
      </c>
      <c r="G224">
        <v>5253.5240000000003</v>
      </c>
    </row>
    <row r="225" spans="1:7" x14ac:dyDescent="0.25">
      <c r="A225">
        <v>19</v>
      </c>
      <c r="B225" t="s">
        <v>10</v>
      </c>
      <c r="C225">
        <v>34.799999999999997</v>
      </c>
      <c r="D225">
        <v>0</v>
      </c>
      <c r="E225" t="s">
        <v>8</v>
      </c>
      <c r="F225" t="s">
        <v>9</v>
      </c>
      <c r="G225">
        <v>34779.614999999998</v>
      </c>
    </row>
    <row r="226" spans="1:7" x14ac:dyDescent="0.25">
      <c r="A226">
        <v>42</v>
      </c>
      <c r="B226" t="s">
        <v>10</v>
      </c>
      <c r="C226">
        <v>24.64</v>
      </c>
      <c r="D226">
        <v>0</v>
      </c>
      <c r="E226" t="s">
        <v>8</v>
      </c>
      <c r="F226" t="s">
        <v>12</v>
      </c>
      <c r="G226">
        <v>19515.5416</v>
      </c>
    </row>
    <row r="227" spans="1:7" x14ac:dyDescent="0.25">
      <c r="A227">
        <v>55</v>
      </c>
      <c r="B227" t="s">
        <v>10</v>
      </c>
      <c r="C227">
        <v>33.880000000000003</v>
      </c>
      <c r="D227">
        <v>3</v>
      </c>
      <c r="E227" t="s">
        <v>11</v>
      </c>
      <c r="F227" t="s">
        <v>12</v>
      </c>
      <c r="G227">
        <v>11987.1682</v>
      </c>
    </row>
    <row r="228" spans="1:7" x14ac:dyDescent="0.25">
      <c r="A228">
        <v>28</v>
      </c>
      <c r="B228" t="s">
        <v>10</v>
      </c>
      <c r="C228">
        <v>38.06</v>
      </c>
      <c r="D228">
        <v>0</v>
      </c>
      <c r="E228" t="s">
        <v>11</v>
      </c>
      <c r="F228" t="s">
        <v>12</v>
      </c>
      <c r="G228">
        <v>2689.4953999999998</v>
      </c>
    </row>
    <row r="229" spans="1:7" x14ac:dyDescent="0.25">
      <c r="A229">
        <v>58</v>
      </c>
      <c r="B229" t="s">
        <v>7</v>
      </c>
      <c r="C229">
        <v>41.91</v>
      </c>
      <c r="D229">
        <v>0</v>
      </c>
      <c r="E229" t="s">
        <v>11</v>
      </c>
      <c r="F229" t="s">
        <v>12</v>
      </c>
      <c r="G229">
        <v>24227.337240000001</v>
      </c>
    </row>
    <row r="230" spans="1:7" x14ac:dyDescent="0.25">
      <c r="A230">
        <v>41</v>
      </c>
      <c r="B230" t="s">
        <v>7</v>
      </c>
      <c r="C230">
        <v>31.635000000000002</v>
      </c>
      <c r="D230">
        <v>1</v>
      </c>
      <c r="E230" t="s">
        <v>11</v>
      </c>
      <c r="F230" t="s">
        <v>14</v>
      </c>
      <c r="G230">
        <v>7358.1756500000001</v>
      </c>
    </row>
    <row r="231" spans="1:7" x14ac:dyDescent="0.25">
      <c r="A231">
        <v>47</v>
      </c>
      <c r="B231" t="s">
        <v>10</v>
      </c>
      <c r="C231">
        <v>25.46</v>
      </c>
      <c r="D231">
        <v>2</v>
      </c>
      <c r="E231" t="s">
        <v>11</v>
      </c>
      <c r="F231" t="s">
        <v>14</v>
      </c>
      <c r="G231">
        <v>9225.2564000000002</v>
      </c>
    </row>
    <row r="232" spans="1:7" x14ac:dyDescent="0.25">
      <c r="A232">
        <v>42</v>
      </c>
      <c r="B232" t="s">
        <v>7</v>
      </c>
      <c r="C232">
        <v>36.195</v>
      </c>
      <c r="D232">
        <v>1</v>
      </c>
      <c r="E232" t="s">
        <v>11</v>
      </c>
      <c r="F232" t="s">
        <v>13</v>
      </c>
      <c r="G232">
        <v>7443.6430499999997</v>
      </c>
    </row>
    <row r="233" spans="1:7" x14ac:dyDescent="0.25">
      <c r="A233">
        <v>59</v>
      </c>
      <c r="B233" t="s">
        <v>7</v>
      </c>
      <c r="C233">
        <v>27.83</v>
      </c>
      <c r="D233">
        <v>3</v>
      </c>
      <c r="E233" t="s">
        <v>11</v>
      </c>
      <c r="F233" t="s">
        <v>12</v>
      </c>
      <c r="G233">
        <v>14001.286700000001</v>
      </c>
    </row>
    <row r="234" spans="1:7" x14ac:dyDescent="0.25">
      <c r="A234">
        <v>19</v>
      </c>
      <c r="B234" t="s">
        <v>7</v>
      </c>
      <c r="C234">
        <v>17.8</v>
      </c>
      <c r="D234">
        <v>0</v>
      </c>
      <c r="E234" t="s">
        <v>11</v>
      </c>
      <c r="F234" t="s">
        <v>9</v>
      </c>
      <c r="G234">
        <v>1727.7850000000001</v>
      </c>
    </row>
    <row r="235" spans="1:7" x14ac:dyDescent="0.25">
      <c r="A235">
        <v>59</v>
      </c>
      <c r="B235" t="s">
        <v>10</v>
      </c>
      <c r="C235">
        <v>27.5</v>
      </c>
      <c r="D235">
        <v>1</v>
      </c>
      <c r="E235" t="s">
        <v>11</v>
      </c>
      <c r="F235" t="s">
        <v>9</v>
      </c>
      <c r="G235">
        <v>12333.828</v>
      </c>
    </row>
    <row r="236" spans="1:7" x14ac:dyDescent="0.25">
      <c r="A236">
        <v>39</v>
      </c>
      <c r="B236" t="s">
        <v>10</v>
      </c>
      <c r="C236">
        <v>24.51</v>
      </c>
      <c r="D236">
        <v>2</v>
      </c>
      <c r="E236" t="s">
        <v>11</v>
      </c>
      <c r="F236" t="s">
        <v>13</v>
      </c>
      <c r="G236">
        <v>6710.1918999999998</v>
      </c>
    </row>
    <row r="237" spans="1:7" x14ac:dyDescent="0.25">
      <c r="A237">
        <v>40</v>
      </c>
      <c r="B237" t="s">
        <v>7</v>
      </c>
      <c r="C237">
        <v>22.22</v>
      </c>
      <c r="D237">
        <v>2</v>
      </c>
      <c r="E237" t="s">
        <v>8</v>
      </c>
      <c r="F237" t="s">
        <v>12</v>
      </c>
      <c r="G237">
        <v>19444.265800000001</v>
      </c>
    </row>
    <row r="238" spans="1:7" x14ac:dyDescent="0.25">
      <c r="A238">
        <v>18</v>
      </c>
      <c r="B238" t="s">
        <v>7</v>
      </c>
      <c r="C238">
        <v>26.73</v>
      </c>
      <c r="D238">
        <v>0</v>
      </c>
      <c r="E238" t="s">
        <v>11</v>
      </c>
      <c r="F238" t="s">
        <v>12</v>
      </c>
      <c r="G238">
        <v>1615.7666999999999</v>
      </c>
    </row>
    <row r="239" spans="1:7" x14ac:dyDescent="0.25">
      <c r="A239">
        <v>31</v>
      </c>
      <c r="B239" t="s">
        <v>10</v>
      </c>
      <c r="C239">
        <v>38.39</v>
      </c>
      <c r="D239">
        <v>2</v>
      </c>
      <c r="E239" t="s">
        <v>11</v>
      </c>
      <c r="F239" t="s">
        <v>12</v>
      </c>
      <c r="G239">
        <v>4463.2051000000001</v>
      </c>
    </row>
    <row r="240" spans="1:7" x14ac:dyDescent="0.25">
      <c r="A240">
        <v>19</v>
      </c>
      <c r="B240" t="s">
        <v>10</v>
      </c>
      <c r="C240">
        <v>29.07</v>
      </c>
      <c r="D240">
        <v>0</v>
      </c>
      <c r="E240" t="s">
        <v>8</v>
      </c>
      <c r="F240" t="s">
        <v>13</v>
      </c>
      <c r="G240">
        <v>17352.6803</v>
      </c>
    </row>
    <row r="241" spans="1:7" x14ac:dyDescent="0.25">
      <c r="A241">
        <v>44</v>
      </c>
      <c r="B241" t="s">
        <v>10</v>
      </c>
      <c r="C241">
        <v>38.06</v>
      </c>
      <c r="D241">
        <v>1</v>
      </c>
      <c r="E241" t="s">
        <v>11</v>
      </c>
      <c r="F241" t="s">
        <v>12</v>
      </c>
      <c r="G241">
        <v>7152.6714000000002</v>
      </c>
    </row>
    <row r="242" spans="1:7" x14ac:dyDescent="0.25">
      <c r="A242">
        <v>23</v>
      </c>
      <c r="B242" t="s">
        <v>7</v>
      </c>
      <c r="C242">
        <v>36.67</v>
      </c>
      <c r="D242">
        <v>2</v>
      </c>
      <c r="E242" t="s">
        <v>8</v>
      </c>
      <c r="F242" t="s">
        <v>14</v>
      </c>
      <c r="G242">
        <v>38511.628299999997</v>
      </c>
    </row>
    <row r="243" spans="1:7" x14ac:dyDescent="0.25">
      <c r="A243">
        <v>33</v>
      </c>
      <c r="B243" t="s">
        <v>7</v>
      </c>
      <c r="C243">
        <v>22.135000000000002</v>
      </c>
      <c r="D243">
        <v>1</v>
      </c>
      <c r="E243" t="s">
        <v>11</v>
      </c>
      <c r="F243" t="s">
        <v>14</v>
      </c>
      <c r="G243">
        <v>5354.0746499999996</v>
      </c>
    </row>
    <row r="244" spans="1:7" x14ac:dyDescent="0.25">
      <c r="A244">
        <v>55</v>
      </c>
      <c r="B244" t="s">
        <v>7</v>
      </c>
      <c r="C244">
        <v>26.8</v>
      </c>
      <c r="D244">
        <v>1</v>
      </c>
      <c r="E244" t="s">
        <v>11</v>
      </c>
      <c r="F244" t="s">
        <v>9</v>
      </c>
      <c r="G244">
        <v>35160.134570000002</v>
      </c>
    </row>
    <row r="245" spans="1:7" x14ac:dyDescent="0.25">
      <c r="A245">
        <v>40</v>
      </c>
      <c r="B245" t="s">
        <v>10</v>
      </c>
      <c r="C245">
        <v>35.299999999999997</v>
      </c>
      <c r="D245">
        <v>3</v>
      </c>
      <c r="E245" t="s">
        <v>11</v>
      </c>
      <c r="F245" t="s">
        <v>9</v>
      </c>
      <c r="G245">
        <v>7196.8670000000002</v>
      </c>
    </row>
    <row r="246" spans="1:7" x14ac:dyDescent="0.25">
      <c r="A246">
        <v>63</v>
      </c>
      <c r="B246" t="s">
        <v>7</v>
      </c>
      <c r="C246">
        <v>27.74</v>
      </c>
      <c r="D246">
        <v>0</v>
      </c>
      <c r="E246" t="s">
        <v>8</v>
      </c>
      <c r="F246" t="s">
        <v>14</v>
      </c>
      <c r="G246">
        <v>29523.1656</v>
      </c>
    </row>
    <row r="247" spans="1:7" x14ac:dyDescent="0.25">
      <c r="A247">
        <v>54</v>
      </c>
      <c r="B247" t="s">
        <v>10</v>
      </c>
      <c r="C247">
        <v>30.02</v>
      </c>
      <c r="D247">
        <v>0</v>
      </c>
      <c r="E247" t="s">
        <v>11</v>
      </c>
      <c r="F247" t="s">
        <v>13</v>
      </c>
      <c r="G247">
        <v>24476.478510000001</v>
      </c>
    </row>
    <row r="248" spans="1:7" x14ac:dyDescent="0.25">
      <c r="A248">
        <v>60</v>
      </c>
      <c r="B248" t="s">
        <v>7</v>
      </c>
      <c r="C248">
        <v>38.06</v>
      </c>
      <c r="D248">
        <v>0</v>
      </c>
      <c r="E248" t="s">
        <v>11</v>
      </c>
      <c r="F248" t="s">
        <v>12</v>
      </c>
      <c r="G248">
        <v>12648.7034</v>
      </c>
    </row>
    <row r="249" spans="1:7" x14ac:dyDescent="0.25">
      <c r="A249">
        <v>24</v>
      </c>
      <c r="B249" t="s">
        <v>10</v>
      </c>
      <c r="C249">
        <v>35.86</v>
      </c>
      <c r="D249">
        <v>0</v>
      </c>
      <c r="E249" t="s">
        <v>11</v>
      </c>
      <c r="F249" t="s">
        <v>12</v>
      </c>
      <c r="G249">
        <v>1986.9333999999999</v>
      </c>
    </row>
    <row r="250" spans="1:7" x14ac:dyDescent="0.25">
      <c r="A250">
        <v>19</v>
      </c>
      <c r="B250" t="s">
        <v>10</v>
      </c>
      <c r="C250">
        <v>20.9</v>
      </c>
      <c r="D250">
        <v>1</v>
      </c>
      <c r="E250" t="s">
        <v>11</v>
      </c>
      <c r="F250" t="s">
        <v>9</v>
      </c>
      <c r="G250">
        <v>1832.0940000000001</v>
      </c>
    </row>
    <row r="251" spans="1:7" x14ac:dyDescent="0.25">
      <c r="A251">
        <v>29</v>
      </c>
      <c r="B251" t="s">
        <v>10</v>
      </c>
      <c r="C251">
        <v>28.975000000000001</v>
      </c>
      <c r="D251">
        <v>1</v>
      </c>
      <c r="E251" t="s">
        <v>11</v>
      </c>
      <c r="F251" t="s">
        <v>14</v>
      </c>
      <c r="G251">
        <v>4040.55825</v>
      </c>
    </row>
    <row r="252" spans="1:7" x14ac:dyDescent="0.25">
      <c r="A252">
        <v>18</v>
      </c>
      <c r="B252" t="s">
        <v>10</v>
      </c>
      <c r="C252">
        <v>17.29</v>
      </c>
      <c r="D252">
        <v>2</v>
      </c>
      <c r="E252" t="s">
        <v>8</v>
      </c>
      <c r="F252" t="s">
        <v>14</v>
      </c>
      <c r="G252">
        <v>12829.455099999999</v>
      </c>
    </row>
    <row r="253" spans="1:7" x14ac:dyDescent="0.25">
      <c r="A253">
        <v>63</v>
      </c>
      <c r="B253" t="s">
        <v>7</v>
      </c>
      <c r="C253">
        <v>32.200000000000003</v>
      </c>
      <c r="D253">
        <v>2</v>
      </c>
      <c r="E253" t="s">
        <v>8</v>
      </c>
      <c r="F253" t="s">
        <v>9</v>
      </c>
      <c r="G253">
        <v>47305.305</v>
      </c>
    </row>
    <row r="254" spans="1:7" x14ac:dyDescent="0.25">
      <c r="A254">
        <v>54</v>
      </c>
      <c r="B254" t="s">
        <v>10</v>
      </c>
      <c r="C254">
        <v>34.21</v>
      </c>
      <c r="D254">
        <v>2</v>
      </c>
      <c r="E254" t="s">
        <v>8</v>
      </c>
      <c r="F254" t="s">
        <v>12</v>
      </c>
      <c r="G254">
        <v>44260.749900000003</v>
      </c>
    </row>
    <row r="255" spans="1:7" x14ac:dyDescent="0.25">
      <c r="A255">
        <v>27</v>
      </c>
      <c r="B255" t="s">
        <v>10</v>
      </c>
      <c r="C255">
        <v>30.3</v>
      </c>
      <c r="D255">
        <v>3</v>
      </c>
      <c r="E255" t="s">
        <v>11</v>
      </c>
      <c r="F255" t="s">
        <v>9</v>
      </c>
      <c r="G255">
        <v>4260.7439999999997</v>
      </c>
    </row>
    <row r="256" spans="1:7" x14ac:dyDescent="0.25">
      <c r="A256">
        <v>50</v>
      </c>
      <c r="B256" t="s">
        <v>10</v>
      </c>
      <c r="C256">
        <v>31.824999999999999</v>
      </c>
      <c r="D256">
        <v>0</v>
      </c>
      <c r="E256" t="s">
        <v>8</v>
      </c>
      <c r="F256" t="s">
        <v>14</v>
      </c>
      <c r="G256">
        <v>41097.161749999999</v>
      </c>
    </row>
    <row r="257" spans="1:7" x14ac:dyDescent="0.25">
      <c r="A257">
        <v>55</v>
      </c>
      <c r="B257" t="s">
        <v>7</v>
      </c>
      <c r="C257">
        <v>25.364999999999998</v>
      </c>
      <c r="D257">
        <v>3</v>
      </c>
      <c r="E257" t="s">
        <v>11</v>
      </c>
      <c r="F257" t="s">
        <v>14</v>
      </c>
      <c r="G257">
        <v>13047.332350000001</v>
      </c>
    </row>
    <row r="258" spans="1:7" x14ac:dyDescent="0.25">
      <c r="A258">
        <v>56</v>
      </c>
      <c r="B258" t="s">
        <v>10</v>
      </c>
      <c r="C258">
        <v>33.630000000000003</v>
      </c>
      <c r="D258">
        <v>0</v>
      </c>
      <c r="E258" t="s">
        <v>8</v>
      </c>
      <c r="F258" t="s">
        <v>13</v>
      </c>
      <c r="G258">
        <v>43921.183700000001</v>
      </c>
    </row>
    <row r="259" spans="1:7" x14ac:dyDescent="0.25">
      <c r="A259">
        <v>38</v>
      </c>
      <c r="B259" t="s">
        <v>7</v>
      </c>
      <c r="C259">
        <v>40.15</v>
      </c>
      <c r="D259">
        <v>0</v>
      </c>
      <c r="E259" t="s">
        <v>11</v>
      </c>
      <c r="F259" t="s">
        <v>12</v>
      </c>
      <c r="G259">
        <v>5400.9804999999997</v>
      </c>
    </row>
    <row r="260" spans="1:7" x14ac:dyDescent="0.25">
      <c r="A260">
        <v>51</v>
      </c>
      <c r="B260" t="s">
        <v>10</v>
      </c>
      <c r="C260">
        <v>24.414999999999999</v>
      </c>
      <c r="D260">
        <v>4</v>
      </c>
      <c r="E260" t="s">
        <v>11</v>
      </c>
      <c r="F260" t="s">
        <v>13</v>
      </c>
      <c r="G260">
        <v>11520.099850000001</v>
      </c>
    </row>
    <row r="261" spans="1:7" x14ac:dyDescent="0.25">
      <c r="A261">
        <v>19</v>
      </c>
      <c r="B261" t="s">
        <v>10</v>
      </c>
      <c r="C261">
        <v>31.92</v>
      </c>
      <c r="D261">
        <v>0</v>
      </c>
      <c r="E261" t="s">
        <v>8</v>
      </c>
      <c r="F261" t="s">
        <v>13</v>
      </c>
      <c r="G261">
        <v>33750.291799999999</v>
      </c>
    </row>
    <row r="262" spans="1:7" x14ac:dyDescent="0.25">
      <c r="A262">
        <v>58</v>
      </c>
      <c r="B262" t="s">
        <v>7</v>
      </c>
      <c r="C262">
        <v>25.2</v>
      </c>
      <c r="D262">
        <v>0</v>
      </c>
      <c r="E262" t="s">
        <v>11</v>
      </c>
      <c r="F262" t="s">
        <v>9</v>
      </c>
      <c r="G262">
        <v>11837.16</v>
      </c>
    </row>
    <row r="263" spans="1:7" x14ac:dyDescent="0.25">
      <c r="A263">
        <v>20</v>
      </c>
      <c r="B263" t="s">
        <v>7</v>
      </c>
      <c r="C263">
        <v>26.84</v>
      </c>
      <c r="D263">
        <v>1</v>
      </c>
      <c r="E263" t="s">
        <v>8</v>
      </c>
      <c r="F263" t="s">
        <v>12</v>
      </c>
      <c r="G263">
        <v>17085.267599999999</v>
      </c>
    </row>
    <row r="264" spans="1:7" x14ac:dyDescent="0.25">
      <c r="A264">
        <v>52</v>
      </c>
      <c r="B264" t="s">
        <v>10</v>
      </c>
      <c r="C264">
        <v>24.32</v>
      </c>
      <c r="D264">
        <v>3</v>
      </c>
      <c r="E264" t="s">
        <v>8</v>
      </c>
      <c r="F264" t="s">
        <v>14</v>
      </c>
      <c r="G264">
        <v>24869.836800000001</v>
      </c>
    </row>
    <row r="265" spans="1:7" x14ac:dyDescent="0.25">
      <c r="A265">
        <v>19</v>
      </c>
      <c r="B265" t="s">
        <v>10</v>
      </c>
      <c r="C265">
        <v>36.954999999999998</v>
      </c>
      <c r="D265">
        <v>0</v>
      </c>
      <c r="E265" t="s">
        <v>8</v>
      </c>
      <c r="F265" t="s">
        <v>13</v>
      </c>
      <c r="G265">
        <v>36219.405449999998</v>
      </c>
    </row>
    <row r="266" spans="1:7" x14ac:dyDescent="0.25">
      <c r="A266">
        <v>53</v>
      </c>
      <c r="B266" t="s">
        <v>7</v>
      </c>
      <c r="C266">
        <v>38.06</v>
      </c>
      <c r="D266">
        <v>3</v>
      </c>
      <c r="E266" t="s">
        <v>11</v>
      </c>
      <c r="F266" t="s">
        <v>12</v>
      </c>
      <c r="G266">
        <v>20462.997660000001</v>
      </c>
    </row>
    <row r="267" spans="1:7" x14ac:dyDescent="0.25">
      <c r="A267">
        <v>46</v>
      </c>
      <c r="B267" t="s">
        <v>10</v>
      </c>
      <c r="C267">
        <v>42.35</v>
      </c>
      <c r="D267">
        <v>3</v>
      </c>
      <c r="E267" t="s">
        <v>8</v>
      </c>
      <c r="F267" t="s">
        <v>12</v>
      </c>
      <c r="G267">
        <v>46151.124499999998</v>
      </c>
    </row>
    <row r="268" spans="1:7" x14ac:dyDescent="0.25">
      <c r="A268">
        <v>40</v>
      </c>
      <c r="B268" t="s">
        <v>10</v>
      </c>
      <c r="C268">
        <v>19.8</v>
      </c>
      <c r="D268">
        <v>1</v>
      </c>
      <c r="E268" t="s">
        <v>8</v>
      </c>
      <c r="F268" t="s">
        <v>12</v>
      </c>
      <c r="G268">
        <v>17179.522000000001</v>
      </c>
    </row>
    <row r="269" spans="1:7" x14ac:dyDescent="0.25">
      <c r="A269">
        <v>59</v>
      </c>
      <c r="B269" t="s">
        <v>7</v>
      </c>
      <c r="C269">
        <v>32.395000000000003</v>
      </c>
      <c r="D269">
        <v>3</v>
      </c>
      <c r="E269" t="s">
        <v>11</v>
      </c>
      <c r="F269" t="s">
        <v>14</v>
      </c>
      <c r="G269">
        <v>14590.63205</v>
      </c>
    </row>
    <row r="270" spans="1:7" x14ac:dyDescent="0.25">
      <c r="A270">
        <v>45</v>
      </c>
      <c r="B270" t="s">
        <v>10</v>
      </c>
      <c r="C270">
        <v>30.2</v>
      </c>
      <c r="D270">
        <v>1</v>
      </c>
      <c r="E270" t="s">
        <v>11</v>
      </c>
      <c r="F270" t="s">
        <v>9</v>
      </c>
      <c r="G270">
        <v>7441.0529999999999</v>
      </c>
    </row>
    <row r="271" spans="1:7" x14ac:dyDescent="0.25">
      <c r="A271">
        <v>49</v>
      </c>
      <c r="B271" t="s">
        <v>10</v>
      </c>
      <c r="C271">
        <v>25.84</v>
      </c>
      <c r="D271">
        <v>1</v>
      </c>
      <c r="E271" t="s">
        <v>11</v>
      </c>
      <c r="F271" t="s">
        <v>14</v>
      </c>
      <c r="G271">
        <v>9282.4806000000008</v>
      </c>
    </row>
    <row r="272" spans="1:7" x14ac:dyDescent="0.25">
      <c r="A272">
        <v>18</v>
      </c>
      <c r="B272" t="s">
        <v>10</v>
      </c>
      <c r="C272">
        <v>29.37</v>
      </c>
      <c r="D272">
        <v>1</v>
      </c>
      <c r="E272" t="s">
        <v>11</v>
      </c>
      <c r="F272" t="s">
        <v>12</v>
      </c>
      <c r="G272">
        <v>1719.4363000000001</v>
      </c>
    </row>
    <row r="273" spans="1:7" x14ac:dyDescent="0.25">
      <c r="A273">
        <v>50</v>
      </c>
      <c r="B273" t="s">
        <v>10</v>
      </c>
      <c r="C273">
        <v>34.200000000000003</v>
      </c>
      <c r="D273">
        <v>2</v>
      </c>
      <c r="E273" t="s">
        <v>8</v>
      </c>
      <c r="F273" t="s">
        <v>9</v>
      </c>
      <c r="G273">
        <v>42856.838000000003</v>
      </c>
    </row>
    <row r="274" spans="1:7" x14ac:dyDescent="0.25">
      <c r="A274">
        <v>41</v>
      </c>
      <c r="B274" t="s">
        <v>10</v>
      </c>
      <c r="C274">
        <v>37.049999999999997</v>
      </c>
      <c r="D274">
        <v>2</v>
      </c>
      <c r="E274" t="s">
        <v>11</v>
      </c>
      <c r="F274" t="s">
        <v>13</v>
      </c>
      <c r="G274">
        <v>7265.7025000000003</v>
      </c>
    </row>
    <row r="275" spans="1:7" x14ac:dyDescent="0.25">
      <c r="A275">
        <v>50</v>
      </c>
      <c r="B275" t="s">
        <v>10</v>
      </c>
      <c r="C275">
        <v>27.454999999999998</v>
      </c>
      <c r="D275">
        <v>1</v>
      </c>
      <c r="E275" t="s">
        <v>11</v>
      </c>
      <c r="F275" t="s">
        <v>14</v>
      </c>
      <c r="G275">
        <v>9617.6624499999998</v>
      </c>
    </row>
    <row r="276" spans="1:7" x14ac:dyDescent="0.25">
      <c r="A276">
        <v>25</v>
      </c>
      <c r="B276" t="s">
        <v>10</v>
      </c>
      <c r="C276">
        <v>27.55</v>
      </c>
      <c r="D276">
        <v>0</v>
      </c>
      <c r="E276" t="s">
        <v>11</v>
      </c>
      <c r="F276" t="s">
        <v>13</v>
      </c>
      <c r="G276">
        <v>2523.1695</v>
      </c>
    </row>
    <row r="277" spans="1:7" x14ac:dyDescent="0.25">
      <c r="A277">
        <v>47</v>
      </c>
      <c r="B277" t="s">
        <v>7</v>
      </c>
      <c r="C277">
        <v>26.6</v>
      </c>
      <c r="D277">
        <v>2</v>
      </c>
      <c r="E277" t="s">
        <v>11</v>
      </c>
      <c r="F277" t="s">
        <v>14</v>
      </c>
      <c r="G277">
        <v>9715.8410000000003</v>
      </c>
    </row>
    <row r="278" spans="1:7" x14ac:dyDescent="0.25">
      <c r="A278">
        <v>19</v>
      </c>
      <c r="B278" t="s">
        <v>10</v>
      </c>
      <c r="C278">
        <v>20.614999999999998</v>
      </c>
      <c r="D278">
        <v>2</v>
      </c>
      <c r="E278" t="s">
        <v>11</v>
      </c>
      <c r="F278" t="s">
        <v>13</v>
      </c>
      <c r="G278">
        <v>2803.69785</v>
      </c>
    </row>
    <row r="279" spans="1:7" x14ac:dyDescent="0.25">
      <c r="A279">
        <v>22</v>
      </c>
      <c r="B279" t="s">
        <v>7</v>
      </c>
      <c r="C279">
        <v>24.3</v>
      </c>
      <c r="D279">
        <v>0</v>
      </c>
      <c r="E279" t="s">
        <v>11</v>
      </c>
      <c r="F279" t="s">
        <v>9</v>
      </c>
      <c r="G279">
        <v>2150.4690000000001</v>
      </c>
    </row>
    <row r="280" spans="1:7" x14ac:dyDescent="0.25">
      <c r="A280">
        <v>59</v>
      </c>
      <c r="B280" t="s">
        <v>10</v>
      </c>
      <c r="C280">
        <v>31.79</v>
      </c>
      <c r="D280">
        <v>2</v>
      </c>
      <c r="E280" t="s">
        <v>11</v>
      </c>
      <c r="F280" t="s">
        <v>12</v>
      </c>
      <c r="G280">
        <v>12928.7911</v>
      </c>
    </row>
    <row r="281" spans="1:7" x14ac:dyDescent="0.25">
      <c r="A281">
        <v>51</v>
      </c>
      <c r="B281" t="s">
        <v>7</v>
      </c>
      <c r="C281">
        <v>21.56</v>
      </c>
      <c r="D281">
        <v>1</v>
      </c>
      <c r="E281" t="s">
        <v>11</v>
      </c>
      <c r="F281" t="s">
        <v>12</v>
      </c>
      <c r="G281">
        <v>9855.1314000000002</v>
      </c>
    </row>
    <row r="282" spans="1:7" x14ac:dyDescent="0.25">
      <c r="A282">
        <v>40</v>
      </c>
      <c r="B282" t="s">
        <v>7</v>
      </c>
      <c r="C282">
        <v>28.12</v>
      </c>
      <c r="D282">
        <v>1</v>
      </c>
      <c r="E282" t="s">
        <v>8</v>
      </c>
      <c r="F282" t="s">
        <v>14</v>
      </c>
      <c r="G282">
        <v>22331.566800000001</v>
      </c>
    </row>
    <row r="283" spans="1:7" x14ac:dyDescent="0.25">
      <c r="A283">
        <v>54</v>
      </c>
      <c r="B283" t="s">
        <v>10</v>
      </c>
      <c r="C283">
        <v>40.564999999999998</v>
      </c>
      <c r="D283">
        <v>3</v>
      </c>
      <c r="E283" t="s">
        <v>8</v>
      </c>
      <c r="F283" t="s">
        <v>14</v>
      </c>
      <c r="G283">
        <v>48549.178350000002</v>
      </c>
    </row>
    <row r="284" spans="1:7" x14ac:dyDescent="0.25">
      <c r="A284">
        <v>30</v>
      </c>
      <c r="B284" t="s">
        <v>10</v>
      </c>
      <c r="C284">
        <v>27.645</v>
      </c>
      <c r="D284">
        <v>1</v>
      </c>
      <c r="E284" t="s">
        <v>11</v>
      </c>
      <c r="F284" t="s">
        <v>14</v>
      </c>
      <c r="G284">
        <v>4237.12655</v>
      </c>
    </row>
    <row r="285" spans="1:7" x14ac:dyDescent="0.25">
      <c r="A285">
        <v>55</v>
      </c>
      <c r="B285" t="s">
        <v>7</v>
      </c>
      <c r="C285">
        <v>32.395000000000003</v>
      </c>
      <c r="D285">
        <v>1</v>
      </c>
      <c r="E285" t="s">
        <v>11</v>
      </c>
      <c r="F285" t="s">
        <v>14</v>
      </c>
      <c r="G285">
        <v>11879.10405</v>
      </c>
    </row>
    <row r="286" spans="1:7" x14ac:dyDescent="0.25">
      <c r="A286">
        <v>52</v>
      </c>
      <c r="B286" t="s">
        <v>7</v>
      </c>
      <c r="C286">
        <v>31.2</v>
      </c>
      <c r="D286">
        <v>0</v>
      </c>
      <c r="E286" t="s">
        <v>11</v>
      </c>
      <c r="F286" t="s">
        <v>9</v>
      </c>
      <c r="G286">
        <v>9625.92</v>
      </c>
    </row>
    <row r="287" spans="1:7" x14ac:dyDescent="0.25">
      <c r="A287">
        <v>46</v>
      </c>
      <c r="B287" t="s">
        <v>10</v>
      </c>
      <c r="C287">
        <v>26.62</v>
      </c>
      <c r="D287">
        <v>1</v>
      </c>
      <c r="E287" t="s">
        <v>11</v>
      </c>
      <c r="F287" t="s">
        <v>12</v>
      </c>
      <c r="G287">
        <v>7742.1098000000002</v>
      </c>
    </row>
    <row r="288" spans="1:7" x14ac:dyDescent="0.25">
      <c r="A288">
        <v>46</v>
      </c>
      <c r="B288" t="s">
        <v>7</v>
      </c>
      <c r="C288">
        <v>48.07</v>
      </c>
      <c r="D288">
        <v>2</v>
      </c>
      <c r="E288" t="s">
        <v>11</v>
      </c>
      <c r="F288" t="s">
        <v>14</v>
      </c>
      <c r="G288">
        <v>9432.9253000000008</v>
      </c>
    </row>
    <row r="289" spans="1:7" x14ac:dyDescent="0.25">
      <c r="A289">
        <v>63</v>
      </c>
      <c r="B289" t="s">
        <v>7</v>
      </c>
      <c r="C289">
        <v>26.22</v>
      </c>
      <c r="D289">
        <v>0</v>
      </c>
      <c r="E289" t="s">
        <v>11</v>
      </c>
      <c r="F289" t="s">
        <v>13</v>
      </c>
      <c r="G289">
        <v>14256.192800000001</v>
      </c>
    </row>
    <row r="290" spans="1:7" x14ac:dyDescent="0.25">
      <c r="A290">
        <v>59</v>
      </c>
      <c r="B290" t="s">
        <v>7</v>
      </c>
      <c r="C290">
        <v>36.765000000000001</v>
      </c>
      <c r="D290">
        <v>1</v>
      </c>
      <c r="E290" t="s">
        <v>8</v>
      </c>
      <c r="F290" t="s">
        <v>14</v>
      </c>
      <c r="G290">
        <v>47896.79135</v>
      </c>
    </row>
    <row r="291" spans="1:7" x14ac:dyDescent="0.25">
      <c r="A291">
        <v>52</v>
      </c>
      <c r="B291" t="s">
        <v>10</v>
      </c>
      <c r="C291">
        <v>26.4</v>
      </c>
      <c r="D291">
        <v>3</v>
      </c>
      <c r="E291" t="s">
        <v>11</v>
      </c>
      <c r="F291" t="s">
        <v>12</v>
      </c>
      <c r="G291">
        <v>25992.821039999999</v>
      </c>
    </row>
    <row r="292" spans="1:7" x14ac:dyDescent="0.25">
      <c r="A292">
        <v>28</v>
      </c>
      <c r="B292" t="s">
        <v>7</v>
      </c>
      <c r="C292">
        <v>33.4</v>
      </c>
      <c r="D292">
        <v>0</v>
      </c>
      <c r="E292" t="s">
        <v>11</v>
      </c>
      <c r="F292" t="s">
        <v>9</v>
      </c>
      <c r="G292">
        <v>3172.018</v>
      </c>
    </row>
    <row r="293" spans="1:7" x14ac:dyDescent="0.25">
      <c r="A293">
        <v>29</v>
      </c>
      <c r="B293" t="s">
        <v>10</v>
      </c>
      <c r="C293">
        <v>29.64</v>
      </c>
      <c r="D293">
        <v>1</v>
      </c>
      <c r="E293" t="s">
        <v>11</v>
      </c>
      <c r="F293" t="s">
        <v>14</v>
      </c>
      <c r="G293">
        <v>20277.807509999999</v>
      </c>
    </row>
    <row r="294" spans="1:7" x14ac:dyDescent="0.25">
      <c r="A294">
        <v>25</v>
      </c>
      <c r="B294" t="s">
        <v>10</v>
      </c>
      <c r="C294">
        <v>45.54</v>
      </c>
      <c r="D294">
        <v>2</v>
      </c>
      <c r="E294" t="s">
        <v>8</v>
      </c>
      <c r="F294" t="s">
        <v>12</v>
      </c>
      <c r="G294">
        <v>42112.2356</v>
      </c>
    </row>
    <row r="295" spans="1:7" x14ac:dyDescent="0.25">
      <c r="A295">
        <v>22</v>
      </c>
      <c r="B295" t="s">
        <v>7</v>
      </c>
      <c r="C295">
        <v>28.82</v>
      </c>
      <c r="D295">
        <v>0</v>
      </c>
      <c r="E295" t="s">
        <v>11</v>
      </c>
      <c r="F295" t="s">
        <v>12</v>
      </c>
      <c r="G295">
        <v>2156.7518</v>
      </c>
    </row>
    <row r="296" spans="1:7" x14ac:dyDescent="0.25">
      <c r="A296">
        <v>25</v>
      </c>
      <c r="B296" t="s">
        <v>10</v>
      </c>
      <c r="C296">
        <v>26.8</v>
      </c>
      <c r="D296">
        <v>3</v>
      </c>
      <c r="E296" t="s">
        <v>11</v>
      </c>
      <c r="F296" t="s">
        <v>9</v>
      </c>
      <c r="G296">
        <v>3906.127</v>
      </c>
    </row>
    <row r="297" spans="1:7" x14ac:dyDescent="0.25">
      <c r="A297">
        <v>18</v>
      </c>
      <c r="B297" t="s">
        <v>10</v>
      </c>
      <c r="C297">
        <v>22.99</v>
      </c>
      <c r="D297">
        <v>0</v>
      </c>
      <c r="E297" t="s">
        <v>11</v>
      </c>
      <c r="F297" t="s">
        <v>14</v>
      </c>
      <c r="G297">
        <v>1704.5681</v>
      </c>
    </row>
    <row r="298" spans="1:7" x14ac:dyDescent="0.25">
      <c r="A298">
        <v>19</v>
      </c>
      <c r="B298" t="s">
        <v>10</v>
      </c>
      <c r="C298">
        <v>27.7</v>
      </c>
      <c r="D298">
        <v>0</v>
      </c>
      <c r="E298" t="s">
        <v>8</v>
      </c>
      <c r="F298" t="s">
        <v>9</v>
      </c>
      <c r="G298">
        <v>16297.846</v>
      </c>
    </row>
    <row r="299" spans="1:7" x14ac:dyDescent="0.25">
      <c r="A299">
        <v>47</v>
      </c>
      <c r="B299" t="s">
        <v>10</v>
      </c>
      <c r="C299">
        <v>25.41</v>
      </c>
      <c r="D299">
        <v>1</v>
      </c>
      <c r="E299" t="s">
        <v>8</v>
      </c>
      <c r="F299" t="s">
        <v>12</v>
      </c>
      <c r="G299">
        <v>21978.676899999999</v>
      </c>
    </row>
    <row r="300" spans="1:7" x14ac:dyDescent="0.25">
      <c r="A300">
        <v>31</v>
      </c>
      <c r="B300" t="s">
        <v>10</v>
      </c>
      <c r="C300">
        <v>34.39</v>
      </c>
      <c r="D300">
        <v>3</v>
      </c>
      <c r="E300" t="s">
        <v>8</v>
      </c>
      <c r="F300" t="s">
        <v>13</v>
      </c>
      <c r="G300">
        <v>38746.355100000001</v>
      </c>
    </row>
    <row r="301" spans="1:7" x14ac:dyDescent="0.25">
      <c r="A301">
        <v>48</v>
      </c>
      <c r="B301" t="s">
        <v>7</v>
      </c>
      <c r="C301">
        <v>28.88</v>
      </c>
      <c r="D301">
        <v>1</v>
      </c>
      <c r="E301" t="s">
        <v>11</v>
      </c>
      <c r="F301" t="s">
        <v>13</v>
      </c>
      <c r="G301">
        <v>9249.4951999999994</v>
      </c>
    </row>
    <row r="302" spans="1:7" x14ac:dyDescent="0.25">
      <c r="A302">
        <v>36</v>
      </c>
      <c r="B302" t="s">
        <v>10</v>
      </c>
      <c r="C302">
        <v>27.55</v>
      </c>
      <c r="D302">
        <v>3</v>
      </c>
      <c r="E302" t="s">
        <v>11</v>
      </c>
      <c r="F302" t="s">
        <v>14</v>
      </c>
      <c r="G302">
        <v>6746.7425000000003</v>
      </c>
    </row>
    <row r="303" spans="1:7" x14ac:dyDescent="0.25">
      <c r="A303">
        <v>53</v>
      </c>
      <c r="B303" t="s">
        <v>7</v>
      </c>
      <c r="C303">
        <v>22.61</v>
      </c>
      <c r="D303">
        <v>3</v>
      </c>
      <c r="E303" t="s">
        <v>8</v>
      </c>
      <c r="F303" t="s">
        <v>14</v>
      </c>
      <c r="G303">
        <v>24873.384900000001</v>
      </c>
    </row>
    <row r="304" spans="1:7" x14ac:dyDescent="0.25">
      <c r="A304">
        <v>56</v>
      </c>
      <c r="B304" t="s">
        <v>7</v>
      </c>
      <c r="C304">
        <v>37.51</v>
      </c>
      <c r="D304">
        <v>2</v>
      </c>
      <c r="E304" t="s">
        <v>11</v>
      </c>
      <c r="F304" t="s">
        <v>12</v>
      </c>
      <c r="G304">
        <v>12265.5069</v>
      </c>
    </row>
    <row r="305" spans="1:7" x14ac:dyDescent="0.25">
      <c r="A305">
        <v>28</v>
      </c>
      <c r="B305" t="s">
        <v>7</v>
      </c>
      <c r="C305">
        <v>33</v>
      </c>
      <c r="D305">
        <v>2</v>
      </c>
      <c r="E305" t="s">
        <v>11</v>
      </c>
      <c r="F305" t="s">
        <v>12</v>
      </c>
      <c r="G305">
        <v>4349.4620000000004</v>
      </c>
    </row>
    <row r="306" spans="1:7" x14ac:dyDescent="0.25">
      <c r="A306">
        <v>57</v>
      </c>
      <c r="B306" t="s">
        <v>7</v>
      </c>
      <c r="C306">
        <v>38</v>
      </c>
      <c r="D306">
        <v>2</v>
      </c>
      <c r="E306" t="s">
        <v>11</v>
      </c>
      <c r="F306" t="s">
        <v>9</v>
      </c>
      <c r="G306">
        <v>12646.207</v>
      </c>
    </row>
    <row r="307" spans="1:7" x14ac:dyDescent="0.25">
      <c r="A307">
        <v>29</v>
      </c>
      <c r="B307" t="s">
        <v>10</v>
      </c>
      <c r="C307">
        <v>33.344999999999999</v>
      </c>
      <c r="D307">
        <v>2</v>
      </c>
      <c r="E307" t="s">
        <v>11</v>
      </c>
      <c r="F307" t="s">
        <v>13</v>
      </c>
      <c r="G307">
        <v>19442.353500000001</v>
      </c>
    </row>
    <row r="308" spans="1:7" x14ac:dyDescent="0.25">
      <c r="A308">
        <v>28</v>
      </c>
      <c r="B308" t="s">
        <v>7</v>
      </c>
      <c r="C308">
        <v>27.5</v>
      </c>
      <c r="D308">
        <v>2</v>
      </c>
      <c r="E308" t="s">
        <v>11</v>
      </c>
      <c r="F308" t="s">
        <v>9</v>
      </c>
      <c r="G308">
        <v>20177.671129999999</v>
      </c>
    </row>
    <row r="309" spans="1:7" x14ac:dyDescent="0.25">
      <c r="A309">
        <v>30</v>
      </c>
      <c r="B309" t="s">
        <v>7</v>
      </c>
      <c r="C309">
        <v>33.33</v>
      </c>
      <c r="D309">
        <v>1</v>
      </c>
      <c r="E309" t="s">
        <v>11</v>
      </c>
      <c r="F309" t="s">
        <v>12</v>
      </c>
      <c r="G309">
        <v>4151.0286999999998</v>
      </c>
    </row>
    <row r="310" spans="1:7" x14ac:dyDescent="0.25">
      <c r="A310">
        <v>58</v>
      </c>
      <c r="B310" t="s">
        <v>10</v>
      </c>
      <c r="C310">
        <v>34.865000000000002</v>
      </c>
      <c r="D310">
        <v>0</v>
      </c>
      <c r="E310" t="s">
        <v>11</v>
      </c>
      <c r="F310" t="s">
        <v>14</v>
      </c>
      <c r="G310">
        <v>11944.594349999999</v>
      </c>
    </row>
    <row r="311" spans="1:7" x14ac:dyDescent="0.25">
      <c r="A311">
        <v>41</v>
      </c>
      <c r="B311" t="s">
        <v>7</v>
      </c>
      <c r="C311">
        <v>33.06</v>
      </c>
      <c r="D311">
        <v>2</v>
      </c>
      <c r="E311" t="s">
        <v>11</v>
      </c>
      <c r="F311" t="s">
        <v>13</v>
      </c>
      <c r="G311">
        <v>7749.1563999999998</v>
      </c>
    </row>
    <row r="312" spans="1:7" x14ac:dyDescent="0.25">
      <c r="A312">
        <v>50</v>
      </c>
      <c r="B312" t="s">
        <v>10</v>
      </c>
      <c r="C312">
        <v>26.6</v>
      </c>
      <c r="D312">
        <v>0</v>
      </c>
      <c r="E312" t="s">
        <v>11</v>
      </c>
      <c r="F312" t="s">
        <v>9</v>
      </c>
      <c r="G312">
        <v>8444.4740000000002</v>
      </c>
    </row>
    <row r="313" spans="1:7" x14ac:dyDescent="0.25">
      <c r="A313">
        <v>19</v>
      </c>
      <c r="B313" t="s">
        <v>7</v>
      </c>
      <c r="C313">
        <v>24.7</v>
      </c>
      <c r="D313">
        <v>0</v>
      </c>
      <c r="E313" t="s">
        <v>11</v>
      </c>
      <c r="F313" t="s">
        <v>9</v>
      </c>
      <c r="G313">
        <v>1737.376</v>
      </c>
    </row>
    <row r="314" spans="1:7" x14ac:dyDescent="0.25">
      <c r="A314">
        <v>43</v>
      </c>
      <c r="B314" t="s">
        <v>10</v>
      </c>
      <c r="C314">
        <v>35.97</v>
      </c>
      <c r="D314">
        <v>3</v>
      </c>
      <c r="E314" t="s">
        <v>8</v>
      </c>
      <c r="F314" t="s">
        <v>12</v>
      </c>
      <c r="G314">
        <v>42124.515299999999</v>
      </c>
    </row>
    <row r="315" spans="1:7" x14ac:dyDescent="0.25">
      <c r="A315">
        <v>49</v>
      </c>
      <c r="B315" t="s">
        <v>10</v>
      </c>
      <c r="C315">
        <v>35.86</v>
      </c>
      <c r="D315">
        <v>0</v>
      </c>
      <c r="E315" t="s">
        <v>11</v>
      </c>
      <c r="F315" t="s">
        <v>12</v>
      </c>
      <c r="G315">
        <v>8124.4084000000003</v>
      </c>
    </row>
    <row r="316" spans="1:7" x14ac:dyDescent="0.25">
      <c r="A316">
        <v>27</v>
      </c>
      <c r="B316" t="s">
        <v>7</v>
      </c>
      <c r="C316">
        <v>31.4</v>
      </c>
      <c r="D316">
        <v>0</v>
      </c>
      <c r="E316" t="s">
        <v>8</v>
      </c>
      <c r="F316" t="s">
        <v>9</v>
      </c>
      <c r="G316">
        <v>34838.873</v>
      </c>
    </row>
    <row r="317" spans="1:7" x14ac:dyDescent="0.25">
      <c r="A317">
        <v>52</v>
      </c>
      <c r="B317" t="s">
        <v>10</v>
      </c>
      <c r="C317">
        <v>33.25</v>
      </c>
      <c r="D317">
        <v>0</v>
      </c>
      <c r="E317" t="s">
        <v>11</v>
      </c>
      <c r="F317" t="s">
        <v>14</v>
      </c>
      <c r="G317">
        <v>9722.7695000000003</v>
      </c>
    </row>
    <row r="318" spans="1:7" x14ac:dyDescent="0.25">
      <c r="A318">
        <v>50</v>
      </c>
      <c r="B318" t="s">
        <v>10</v>
      </c>
      <c r="C318">
        <v>32.204999999999998</v>
      </c>
      <c r="D318">
        <v>0</v>
      </c>
      <c r="E318" t="s">
        <v>11</v>
      </c>
      <c r="F318" t="s">
        <v>13</v>
      </c>
      <c r="G318">
        <v>8835.2649500000007</v>
      </c>
    </row>
    <row r="319" spans="1:7" x14ac:dyDescent="0.25">
      <c r="A319">
        <v>54</v>
      </c>
      <c r="B319" t="s">
        <v>10</v>
      </c>
      <c r="C319">
        <v>32.774999999999999</v>
      </c>
      <c r="D319">
        <v>0</v>
      </c>
      <c r="E319" t="s">
        <v>11</v>
      </c>
      <c r="F319" t="s">
        <v>14</v>
      </c>
      <c r="G319">
        <v>10435.06525</v>
      </c>
    </row>
    <row r="320" spans="1:7" x14ac:dyDescent="0.25">
      <c r="A320">
        <v>44</v>
      </c>
      <c r="B320" t="s">
        <v>7</v>
      </c>
      <c r="C320">
        <v>27.645</v>
      </c>
      <c r="D320">
        <v>0</v>
      </c>
      <c r="E320" t="s">
        <v>11</v>
      </c>
      <c r="F320" t="s">
        <v>13</v>
      </c>
      <c r="G320">
        <v>7421.1945500000002</v>
      </c>
    </row>
    <row r="321" spans="1:7" x14ac:dyDescent="0.25">
      <c r="A321">
        <v>32</v>
      </c>
      <c r="B321" t="s">
        <v>10</v>
      </c>
      <c r="C321">
        <v>37.335000000000001</v>
      </c>
      <c r="D321">
        <v>1</v>
      </c>
      <c r="E321" t="s">
        <v>11</v>
      </c>
      <c r="F321" t="s">
        <v>14</v>
      </c>
      <c r="G321">
        <v>4667.6076499999999</v>
      </c>
    </row>
    <row r="322" spans="1:7" x14ac:dyDescent="0.25">
      <c r="A322">
        <v>34</v>
      </c>
      <c r="B322" t="s">
        <v>10</v>
      </c>
      <c r="C322">
        <v>25.27</v>
      </c>
      <c r="D322">
        <v>1</v>
      </c>
      <c r="E322" t="s">
        <v>11</v>
      </c>
      <c r="F322" t="s">
        <v>13</v>
      </c>
      <c r="G322">
        <v>4894.7533000000003</v>
      </c>
    </row>
    <row r="323" spans="1:7" x14ac:dyDescent="0.25">
      <c r="A323">
        <v>26</v>
      </c>
      <c r="B323" t="s">
        <v>7</v>
      </c>
      <c r="C323">
        <v>29.64</v>
      </c>
      <c r="D323">
        <v>4</v>
      </c>
      <c r="E323" t="s">
        <v>11</v>
      </c>
      <c r="F323" t="s">
        <v>14</v>
      </c>
      <c r="G323">
        <v>24671.663339999999</v>
      </c>
    </row>
    <row r="324" spans="1:7" x14ac:dyDescent="0.25">
      <c r="A324">
        <v>34</v>
      </c>
      <c r="B324" t="s">
        <v>10</v>
      </c>
      <c r="C324">
        <v>30.8</v>
      </c>
      <c r="D324">
        <v>0</v>
      </c>
      <c r="E324" t="s">
        <v>8</v>
      </c>
      <c r="F324" t="s">
        <v>9</v>
      </c>
      <c r="G324">
        <v>35491.64</v>
      </c>
    </row>
    <row r="325" spans="1:7" x14ac:dyDescent="0.25">
      <c r="A325">
        <v>57</v>
      </c>
      <c r="B325" t="s">
        <v>10</v>
      </c>
      <c r="C325">
        <v>40.945</v>
      </c>
      <c r="D325">
        <v>0</v>
      </c>
      <c r="E325" t="s">
        <v>11</v>
      </c>
      <c r="F325" t="s">
        <v>14</v>
      </c>
      <c r="G325">
        <v>11566.30055</v>
      </c>
    </row>
    <row r="326" spans="1:7" x14ac:dyDescent="0.25">
      <c r="A326">
        <v>29</v>
      </c>
      <c r="B326" t="s">
        <v>10</v>
      </c>
      <c r="C326">
        <v>27.2</v>
      </c>
      <c r="D326">
        <v>0</v>
      </c>
      <c r="E326" t="s">
        <v>11</v>
      </c>
      <c r="F326" t="s">
        <v>9</v>
      </c>
      <c r="G326">
        <v>2866.0909999999999</v>
      </c>
    </row>
    <row r="327" spans="1:7" x14ac:dyDescent="0.25">
      <c r="A327">
        <v>40</v>
      </c>
      <c r="B327" t="s">
        <v>10</v>
      </c>
      <c r="C327">
        <v>34.104999999999997</v>
      </c>
      <c r="D327">
        <v>1</v>
      </c>
      <c r="E327" t="s">
        <v>11</v>
      </c>
      <c r="F327" t="s">
        <v>14</v>
      </c>
      <c r="G327">
        <v>6600.2059499999996</v>
      </c>
    </row>
    <row r="328" spans="1:7" x14ac:dyDescent="0.25">
      <c r="A328">
        <v>27</v>
      </c>
      <c r="B328" t="s">
        <v>7</v>
      </c>
      <c r="C328">
        <v>23.21</v>
      </c>
      <c r="D328">
        <v>1</v>
      </c>
      <c r="E328" t="s">
        <v>11</v>
      </c>
      <c r="F328" t="s">
        <v>12</v>
      </c>
      <c r="G328">
        <v>3561.8888999999999</v>
      </c>
    </row>
    <row r="329" spans="1:7" x14ac:dyDescent="0.25">
      <c r="A329">
        <v>45</v>
      </c>
      <c r="B329" t="s">
        <v>10</v>
      </c>
      <c r="C329">
        <v>36.479999999999997</v>
      </c>
      <c r="D329">
        <v>2</v>
      </c>
      <c r="E329" t="s">
        <v>8</v>
      </c>
      <c r="F329" t="s">
        <v>13</v>
      </c>
      <c r="G329">
        <v>42760.502200000003</v>
      </c>
    </row>
    <row r="330" spans="1:7" x14ac:dyDescent="0.25">
      <c r="A330">
        <v>64</v>
      </c>
      <c r="B330" t="s">
        <v>7</v>
      </c>
      <c r="C330">
        <v>33.799999999999997</v>
      </c>
      <c r="D330">
        <v>1</v>
      </c>
      <c r="E330" t="s">
        <v>8</v>
      </c>
      <c r="F330" t="s">
        <v>9</v>
      </c>
      <c r="G330">
        <v>47928.03</v>
      </c>
    </row>
    <row r="331" spans="1:7" x14ac:dyDescent="0.25">
      <c r="A331">
        <v>52</v>
      </c>
      <c r="B331" t="s">
        <v>10</v>
      </c>
      <c r="C331">
        <v>36.700000000000003</v>
      </c>
      <c r="D331">
        <v>0</v>
      </c>
      <c r="E331" t="s">
        <v>11</v>
      </c>
      <c r="F331" t="s">
        <v>9</v>
      </c>
      <c r="G331">
        <v>9144.5650000000005</v>
      </c>
    </row>
    <row r="332" spans="1:7" x14ac:dyDescent="0.25">
      <c r="A332">
        <v>61</v>
      </c>
      <c r="B332" t="s">
        <v>7</v>
      </c>
      <c r="C332">
        <v>36.384999999999998</v>
      </c>
      <c r="D332">
        <v>1</v>
      </c>
      <c r="E332" t="s">
        <v>8</v>
      </c>
      <c r="F332" t="s">
        <v>14</v>
      </c>
      <c r="G332">
        <v>48517.563150000002</v>
      </c>
    </row>
    <row r="333" spans="1:7" x14ac:dyDescent="0.25">
      <c r="A333">
        <v>52</v>
      </c>
      <c r="B333" t="s">
        <v>10</v>
      </c>
      <c r="C333">
        <v>27.36</v>
      </c>
      <c r="D333">
        <v>0</v>
      </c>
      <c r="E333" t="s">
        <v>8</v>
      </c>
      <c r="F333" t="s">
        <v>13</v>
      </c>
      <c r="G333">
        <v>24393.6224</v>
      </c>
    </row>
    <row r="334" spans="1:7" x14ac:dyDescent="0.25">
      <c r="A334">
        <v>61</v>
      </c>
      <c r="B334" t="s">
        <v>7</v>
      </c>
      <c r="C334">
        <v>31.16</v>
      </c>
      <c r="D334">
        <v>0</v>
      </c>
      <c r="E334" t="s">
        <v>11</v>
      </c>
      <c r="F334" t="s">
        <v>13</v>
      </c>
      <c r="G334">
        <v>13429.035400000001</v>
      </c>
    </row>
    <row r="335" spans="1:7" x14ac:dyDescent="0.25">
      <c r="A335">
        <v>56</v>
      </c>
      <c r="B335" t="s">
        <v>7</v>
      </c>
      <c r="C335">
        <v>28.785</v>
      </c>
      <c r="D335">
        <v>0</v>
      </c>
      <c r="E335" t="s">
        <v>11</v>
      </c>
      <c r="F335" t="s">
        <v>14</v>
      </c>
      <c r="G335">
        <v>11658.379150000001</v>
      </c>
    </row>
    <row r="336" spans="1:7" x14ac:dyDescent="0.25">
      <c r="A336">
        <v>43</v>
      </c>
      <c r="B336" t="s">
        <v>7</v>
      </c>
      <c r="C336">
        <v>35.72</v>
      </c>
      <c r="D336">
        <v>2</v>
      </c>
      <c r="E336" t="s">
        <v>11</v>
      </c>
      <c r="F336" t="s">
        <v>14</v>
      </c>
      <c r="G336">
        <v>19144.576519999999</v>
      </c>
    </row>
    <row r="337" spans="1:7" x14ac:dyDescent="0.25">
      <c r="A337">
        <v>64</v>
      </c>
      <c r="B337" t="s">
        <v>10</v>
      </c>
      <c r="C337">
        <v>34.5</v>
      </c>
      <c r="D337">
        <v>0</v>
      </c>
      <c r="E337" t="s">
        <v>11</v>
      </c>
      <c r="F337" t="s">
        <v>9</v>
      </c>
      <c r="G337">
        <v>13822.803</v>
      </c>
    </row>
    <row r="338" spans="1:7" x14ac:dyDescent="0.25">
      <c r="A338">
        <v>60</v>
      </c>
      <c r="B338" t="s">
        <v>10</v>
      </c>
      <c r="C338">
        <v>25.74</v>
      </c>
      <c r="D338">
        <v>0</v>
      </c>
      <c r="E338" t="s">
        <v>11</v>
      </c>
      <c r="F338" t="s">
        <v>12</v>
      </c>
      <c r="G338">
        <v>12142.578600000001</v>
      </c>
    </row>
    <row r="339" spans="1:7" x14ac:dyDescent="0.25">
      <c r="A339">
        <v>62</v>
      </c>
      <c r="B339" t="s">
        <v>10</v>
      </c>
      <c r="C339">
        <v>27.55</v>
      </c>
      <c r="D339">
        <v>1</v>
      </c>
      <c r="E339" t="s">
        <v>11</v>
      </c>
      <c r="F339" t="s">
        <v>13</v>
      </c>
      <c r="G339">
        <v>13937.666499999999</v>
      </c>
    </row>
    <row r="340" spans="1:7" x14ac:dyDescent="0.25">
      <c r="A340">
        <v>50</v>
      </c>
      <c r="B340" t="s">
        <v>10</v>
      </c>
      <c r="C340">
        <v>32.299999999999997</v>
      </c>
      <c r="D340">
        <v>1</v>
      </c>
      <c r="E340" t="s">
        <v>8</v>
      </c>
      <c r="F340" t="s">
        <v>14</v>
      </c>
      <c r="G340">
        <v>41919.097000000002</v>
      </c>
    </row>
    <row r="341" spans="1:7" x14ac:dyDescent="0.25">
      <c r="A341">
        <v>46</v>
      </c>
      <c r="B341" t="s">
        <v>7</v>
      </c>
      <c r="C341">
        <v>27.72</v>
      </c>
      <c r="D341">
        <v>1</v>
      </c>
      <c r="E341" t="s">
        <v>11</v>
      </c>
      <c r="F341" t="s">
        <v>12</v>
      </c>
      <c r="G341">
        <v>8232.6388000000006</v>
      </c>
    </row>
    <row r="342" spans="1:7" x14ac:dyDescent="0.25">
      <c r="A342">
        <v>24</v>
      </c>
      <c r="B342" t="s">
        <v>7</v>
      </c>
      <c r="C342">
        <v>27.6</v>
      </c>
      <c r="D342">
        <v>0</v>
      </c>
      <c r="E342" t="s">
        <v>11</v>
      </c>
      <c r="F342" t="s">
        <v>9</v>
      </c>
      <c r="G342">
        <v>18955.220170000001</v>
      </c>
    </row>
    <row r="343" spans="1:7" x14ac:dyDescent="0.25">
      <c r="A343">
        <v>62</v>
      </c>
      <c r="B343" t="s">
        <v>10</v>
      </c>
      <c r="C343">
        <v>30.02</v>
      </c>
      <c r="D343">
        <v>0</v>
      </c>
      <c r="E343" t="s">
        <v>11</v>
      </c>
      <c r="F343" t="s">
        <v>13</v>
      </c>
      <c r="G343">
        <v>13352.0998</v>
      </c>
    </row>
    <row r="344" spans="1:7" x14ac:dyDescent="0.25">
      <c r="A344">
        <v>60</v>
      </c>
      <c r="B344" t="s">
        <v>7</v>
      </c>
      <c r="C344">
        <v>27.55</v>
      </c>
      <c r="D344">
        <v>0</v>
      </c>
      <c r="E344" t="s">
        <v>11</v>
      </c>
      <c r="F344" t="s">
        <v>14</v>
      </c>
      <c r="G344">
        <v>13217.094499999999</v>
      </c>
    </row>
    <row r="345" spans="1:7" x14ac:dyDescent="0.25">
      <c r="A345">
        <v>63</v>
      </c>
      <c r="B345" t="s">
        <v>10</v>
      </c>
      <c r="C345">
        <v>36.765000000000001</v>
      </c>
      <c r="D345">
        <v>0</v>
      </c>
      <c r="E345" t="s">
        <v>11</v>
      </c>
      <c r="F345" t="s">
        <v>14</v>
      </c>
      <c r="G345">
        <v>13981.850350000001</v>
      </c>
    </row>
    <row r="346" spans="1:7" x14ac:dyDescent="0.25">
      <c r="A346">
        <v>49</v>
      </c>
      <c r="B346" t="s">
        <v>7</v>
      </c>
      <c r="C346">
        <v>41.47</v>
      </c>
      <c r="D346">
        <v>4</v>
      </c>
      <c r="E346" t="s">
        <v>11</v>
      </c>
      <c r="F346" t="s">
        <v>12</v>
      </c>
      <c r="G346">
        <v>10977.2063</v>
      </c>
    </row>
    <row r="347" spans="1:7" x14ac:dyDescent="0.25">
      <c r="A347">
        <v>34</v>
      </c>
      <c r="B347" t="s">
        <v>7</v>
      </c>
      <c r="C347">
        <v>29.26</v>
      </c>
      <c r="D347">
        <v>3</v>
      </c>
      <c r="E347" t="s">
        <v>11</v>
      </c>
      <c r="F347" t="s">
        <v>12</v>
      </c>
      <c r="G347">
        <v>6184.2993999999999</v>
      </c>
    </row>
    <row r="348" spans="1:7" x14ac:dyDescent="0.25">
      <c r="A348">
        <v>33</v>
      </c>
      <c r="B348" t="s">
        <v>10</v>
      </c>
      <c r="C348">
        <v>35.75</v>
      </c>
      <c r="D348">
        <v>2</v>
      </c>
      <c r="E348" t="s">
        <v>11</v>
      </c>
      <c r="F348" t="s">
        <v>12</v>
      </c>
      <c r="G348">
        <v>4889.9994999999999</v>
      </c>
    </row>
    <row r="349" spans="1:7" x14ac:dyDescent="0.25">
      <c r="A349">
        <v>46</v>
      </c>
      <c r="B349" t="s">
        <v>10</v>
      </c>
      <c r="C349">
        <v>33.344999999999999</v>
      </c>
      <c r="D349">
        <v>1</v>
      </c>
      <c r="E349" t="s">
        <v>11</v>
      </c>
      <c r="F349" t="s">
        <v>14</v>
      </c>
      <c r="G349">
        <v>8334.4575499999992</v>
      </c>
    </row>
    <row r="350" spans="1:7" x14ac:dyDescent="0.25">
      <c r="A350">
        <v>36</v>
      </c>
      <c r="B350" t="s">
        <v>7</v>
      </c>
      <c r="C350">
        <v>29.92</v>
      </c>
      <c r="D350">
        <v>1</v>
      </c>
      <c r="E350" t="s">
        <v>11</v>
      </c>
      <c r="F350" t="s">
        <v>12</v>
      </c>
      <c r="G350">
        <v>5478.0367999999999</v>
      </c>
    </row>
    <row r="351" spans="1:7" x14ac:dyDescent="0.25">
      <c r="A351">
        <v>19</v>
      </c>
      <c r="B351" t="s">
        <v>10</v>
      </c>
      <c r="C351">
        <v>27.835000000000001</v>
      </c>
      <c r="D351">
        <v>0</v>
      </c>
      <c r="E351" t="s">
        <v>11</v>
      </c>
      <c r="F351" t="s">
        <v>13</v>
      </c>
      <c r="G351">
        <v>1635.7336499999999</v>
      </c>
    </row>
    <row r="352" spans="1:7" x14ac:dyDescent="0.25">
      <c r="A352">
        <v>57</v>
      </c>
      <c r="B352" t="s">
        <v>7</v>
      </c>
      <c r="C352">
        <v>23.18</v>
      </c>
      <c r="D352">
        <v>0</v>
      </c>
      <c r="E352" t="s">
        <v>11</v>
      </c>
      <c r="F352" t="s">
        <v>13</v>
      </c>
      <c r="G352">
        <v>11830.6072</v>
      </c>
    </row>
    <row r="353" spans="1:7" x14ac:dyDescent="0.25">
      <c r="A353">
        <v>50</v>
      </c>
      <c r="B353" t="s">
        <v>7</v>
      </c>
      <c r="C353">
        <v>25.6</v>
      </c>
      <c r="D353">
        <v>0</v>
      </c>
      <c r="E353" t="s">
        <v>11</v>
      </c>
      <c r="F353" t="s">
        <v>9</v>
      </c>
      <c r="G353">
        <v>8932.0840000000007</v>
      </c>
    </row>
    <row r="354" spans="1:7" x14ac:dyDescent="0.25">
      <c r="A354">
        <v>30</v>
      </c>
      <c r="B354" t="s">
        <v>7</v>
      </c>
      <c r="C354">
        <v>27.7</v>
      </c>
      <c r="D354">
        <v>0</v>
      </c>
      <c r="E354" t="s">
        <v>11</v>
      </c>
      <c r="F354" t="s">
        <v>9</v>
      </c>
      <c r="G354">
        <v>3554.203</v>
      </c>
    </row>
    <row r="355" spans="1:7" x14ac:dyDescent="0.25">
      <c r="A355">
        <v>33</v>
      </c>
      <c r="B355" t="s">
        <v>10</v>
      </c>
      <c r="C355">
        <v>35.244999999999997</v>
      </c>
      <c r="D355">
        <v>0</v>
      </c>
      <c r="E355" t="s">
        <v>11</v>
      </c>
      <c r="F355" t="s">
        <v>14</v>
      </c>
      <c r="G355">
        <v>12404.8791</v>
      </c>
    </row>
    <row r="356" spans="1:7" x14ac:dyDescent="0.25">
      <c r="A356">
        <v>18</v>
      </c>
      <c r="B356" t="s">
        <v>7</v>
      </c>
      <c r="C356">
        <v>38.28</v>
      </c>
      <c r="D356">
        <v>0</v>
      </c>
      <c r="E356" t="s">
        <v>11</v>
      </c>
      <c r="F356" t="s">
        <v>12</v>
      </c>
      <c r="G356">
        <v>14133.03775</v>
      </c>
    </row>
    <row r="357" spans="1:7" x14ac:dyDescent="0.25">
      <c r="A357">
        <v>46</v>
      </c>
      <c r="B357" t="s">
        <v>10</v>
      </c>
      <c r="C357">
        <v>27.6</v>
      </c>
      <c r="D357">
        <v>0</v>
      </c>
      <c r="E357" t="s">
        <v>11</v>
      </c>
      <c r="F357" t="s">
        <v>9</v>
      </c>
      <c r="G357">
        <v>24603.04837</v>
      </c>
    </row>
    <row r="358" spans="1:7" x14ac:dyDescent="0.25">
      <c r="A358">
        <v>46</v>
      </c>
      <c r="B358" t="s">
        <v>10</v>
      </c>
      <c r="C358">
        <v>43.89</v>
      </c>
      <c r="D358">
        <v>3</v>
      </c>
      <c r="E358" t="s">
        <v>11</v>
      </c>
      <c r="F358" t="s">
        <v>12</v>
      </c>
      <c r="G358">
        <v>8944.1151000000009</v>
      </c>
    </row>
    <row r="359" spans="1:7" x14ac:dyDescent="0.25">
      <c r="A359">
        <v>47</v>
      </c>
      <c r="B359" t="s">
        <v>10</v>
      </c>
      <c r="C359">
        <v>29.83</v>
      </c>
      <c r="D359">
        <v>3</v>
      </c>
      <c r="E359" t="s">
        <v>11</v>
      </c>
      <c r="F359" t="s">
        <v>13</v>
      </c>
      <c r="G359">
        <v>9620.3307000000004</v>
      </c>
    </row>
    <row r="360" spans="1:7" x14ac:dyDescent="0.25">
      <c r="A360">
        <v>23</v>
      </c>
      <c r="B360" t="s">
        <v>10</v>
      </c>
      <c r="C360">
        <v>41.91</v>
      </c>
      <c r="D360">
        <v>0</v>
      </c>
      <c r="E360" t="s">
        <v>11</v>
      </c>
      <c r="F360" t="s">
        <v>12</v>
      </c>
      <c r="G360">
        <v>1837.2819</v>
      </c>
    </row>
    <row r="361" spans="1:7" x14ac:dyDescent="0.25">
      <c r="A361">
        <v>18</v>
      </c>
      <c r="B361" t="s">
        <v>7</v>
      </c>
      <c r="C361">
        <v>20.79</v>
      </c>
      <c r="D361">
        <v>0</v>
      </c>
      <c r="E361" t="s">
        <v>11</v>
      </c>
      <c r="F361" t="s">
        <v>12</v>
      </c>
      <c r="G361">
        <v>1607.5101</v>
      </c>
    </row>
    <row r="362" spans="1:7" x14ac:dyDescent="0.25">
      <c r="A362">
        <v>48</v>
      </c>
      <c r="B362" t="s">
        <v>7</v>
      </c>
      <c r="C362">
        <v>32.299999999999997</v>
      </c>
      <c r="D362">
        <v>2</v>
      </c>
      <c r="E362" t="s">
        <v>11</v>
      </c>
      <c r="F362" t="s">
        <v>14</v>
      </c>
      <c r="G362">
        <v>10043.249</v>
      </c>
    </row>
    <row r="363" spans="1:7" x14ac:dyDescent="0.25">
      <c r="A363">
        <v>35</v>
      </c>
      <c r="B363" t="s">
        <v>10</v>
      </c>
      <c r="C363">
        <v>30.5</v>
      </c>
      <c r="D363">
        <v>1</v>
      </c>
      <c r="E363" t="s">
        <v>11</v>
      </c>
      <c r="F363" t="s">
        <v>9</v>
      </c>
      <c r="G363">
        <v>4751.07</v>
      </c>
    </row>
    <row r="364" spans="1:7" x14ac:dyDescent="0.25">
      <c r="A364">
        <v>19</v>
      </c>
      <c r="B364" t="s">
        <v>7</v>
      </c>
      <c r="C364">
        <v>21.7</v>
      </c>
      <c r="D364">
        <v>0</v>
      </c>
      <c r="E364" t="s">
        <v>8</v>
      </c>
      <c r="F364" t="s">
        <v>9</v>
      </c>
      <c r="G364">
        <v>13844.505999999999</v>
      </c>
    </row>
    <row r="365" spans="1:7" x14ac:dyDescent="0.25">
      <c r="A365">
        <v>21</v>
      </c>
      <c r="B365" t="s">
        <v>7</v>
      </c>
      <c r="C365">
        <v>26.4</v>
      </c>
      <c r="D365">
        <v>1</v>
      </c>
      <c r="E365" t="s">
        <v>11</v>
      </c>
      <c r="F365" t="s">
        <v>9</v>
      </c>
      <c r="G365">
        <v>2597.779</v>
      </c>
    </row>
    <row r="366" spans="1:7" x14ac:dyDescent="0.25">
      <c r="A366">
        <v>21</v>
      </c>
      <c r="B366" t="s">
        <v>7</v>
      </c>
      <c r="C366">
        <v>21.89</v>
      </c>
      <c r="D366">
        <v>2</v>
      </c>
      <c r="E366" t="s">
        <v>11</v>
      </c>
      <c r="F366" t="s">
        <v>12</v>
      </c>
      <c r="G366">
        <v>3180.5101</v>
      </c>
    </row>
    <row r="367" spans="1:7" x14ac:dyDescent="0.25">
      <c r="A367">
        <v>49</v>
      </c>
      <c r="B367" t="s">
        <v>7</v>
      </c>
      <c r="C367">
        <v>30.78</v>
      </c>
      <c r="D367">
        <v>1</v>
      </c>
      <c r="E367" t="s">
        <v>11</v>
      </c>
      <c r="F367" t="s">
        <v>14</v>
      </c>
      <c r="G367">
        <v>9778.3472000000002</v>
      </c>
    </row>
    <row r="368" spans="1:7" x14ac:dyDescent="0.25">
      <c r="A368">
        <v>56</v>
      </c>
      <c r="B368" t="s">
        <v>7</v>
      </c>
      <c r="C368">
        <v>32.299999999999997</v>
      </c>
      <c r="D368">
        <v>3</v>
      </c>
      <c r="E368" t="s">
        <v>11</v>
      </c>
      <c r="F368" t="s">
        <v>14</v>
      </c>
      <c r="G368">
        <v>13430.264999999999</v>
      </c>
    </row>
    <row r="369" spans="1:7" x14ac:dyDescent="0.25">
      <c r="A369">
        <v>42</v>
      </c>
      <c r="B369" t="s">
        <v>7</v>
      </c>
      <c r="C369">
        <v>24.984999999999999</v>
      </c>
      <c r="D369">
        <v>2</v>
      </c>
      <c r="E369" t="s">
        <v>11</v>
      </c>
      <c r="F369" t="s">
        <v>13</v>
      </c>
      <c r="G369">
        <v>8017.0611500000005</v>
      </c>
    </row>
    <row r="370" spans="1:7" x14ac:dyDescent="0.25">
      <c r="A370">
        <v>44</v>
      </c>
      <c r="B370" t="s">
        <v>10</v>
      </c>
      <c r="C370">
        <v>32.015000000000001</v>
      </c>
      <c r="D370">
        <v>2</v>
      </c>
      <c r="E370" t="s">
        <v>11</v>
      </c>
      <c r="F370" t="s">
        <v>13</v>
      </c>
      <c r="G370">
        <v>8116.2688500000004</v>
      </c>
    </row>
    <row r="371" spans="1:7" x14ac:dyDescent="0.25">
      <c r="A371">
        <v>18</v>
      </c>
      <c r="B371" t="s">
        <v>10</v>
      </c>
      <c r="C371">
        <v>30.4</v>
      </c>
      <c r="D371">
        <v>3</v>
      </c>
      <c r="E371" t="s">
        <v>11</v>
      </c>
      <c r="F371" t="s">
        <v>14</v>
      </c>
      <c r="G371">
        <v>3481.8679999999999</v>
      </c>
    </row>
    <row r="372" spans="1:7" x14ac:dyDescent="0.25">
      <c r="A372">
        <v>61</v>
      </c>
      <c r="B372" t="s">
        <v>7</v>
      </c>
      <c r="C372">
        <v>21.09</v>
      </c>
      <c r="D372">
        <v>0</v>
      </c>
      <c r="E372" t="s">
        <v>11</v>
      </c>
      <c r="F372" t="s">
        <v>13</v>
      </c>
      <c r="G372">
        <v>13415.0381</v>
      </c>
    </row>
    <row r="373" spans="1:7" x14ac:dyDescent="0.25">
      <c r="A373">
        <v>57</v>
      </c>
      <c r="B373" t="s">
        <v>7</v>
      </c>
      <c r="C373">
        <v>22.23</v>
      </c>
      <c r="D373">
        <v>0</v>
      </c>
      <c r="E373" t="s">
        <v>11</v>
      </c>
      <c r="F373" t="s">
        <v>14</v>
      </c>
      <c r="G373">
        <v>12029.286700000001</v>
      </c>
    </row>
    <row r="374" spans="1:7" x14ac:dyDescent="0.25">
      <c r="A374">
        <v>42</v>
      </c>
      <c r="B374" t="s">
        <v>7</v>
      </c>
      <c r="C374">
        <v>33.155000000000001</v>
      </c>
      <c r="D374">
        <v>1</v>
      </c>
      <c r="E374" t="s">
        <v>11</v>
      </c>
      <c r="F374" t="s">
        <v>14</v>
      </c>
      <c r="G374">
        <v>7639.4174499999999</v>
      </c>
    </row>
    <row r="375" spans="1:7" x14ac:dyDescent="0.25">
      <c r="A375">
        <v>26</v>
      </c>
      <c r="B375" t="s">
        <v>10</v>
      </c>
      <c r="C375">
        <v>32.9</v>
      </c>
      <c r="D375">
        <v>2</v>
      </c>
      <c r="E375" t="s">
        <v>8</v>
      </c>
      <c r="F375" t="s">
        <v>9</v>
      </c>
      <c r="G375">
        <v>36085.218999999997</v>
      </c>
    </row>
    <row r="376" spans="1:7" x14ac:dyDescent="0.25">
      <c r="A376">
        <v>20</v>
      </c>
      <c r="B376" t="s">
        <v>10</v>
      </c>
      <c r="C376">
        <v>33.33</v>
      </c>
      <c r="D376">
        <v>0</v>
      </c>
      <c r="E376" t="s">
        <v>11</v>
      </c>
      <c r="F376" t="s">
        <v>12</v>
      </c>
      <c r="G376">
        <v>1391.5287000000001</v>
      </c>
    </row>
    <row r="377" spans="1:7" x14ac:dyDescent="0.25">
      <c r="A377">
        <v>23</v>
      </c>
      <c r="B377" t="s">
        <v>7</v>
      </c>
      <c r="C377">
        <v>28.31</v>
      </c>
      <c r="D377">
        <v>0</v>
      </c>
      <c r="E377" t="s">
        <v>8</v>
      </c>
      <c r="F377" t="s">
        <v>13</v>
      </c>
      <c r="G377">
        <v>18033.9679</v>
      </c>
    </row>
    <row r="378" spans="1:7" x14ac:dyDescent="0.25">
      <c r="A378">
        <v>39</v>
      </c>
      <c r="B378" t="s">
        <v>7</v>
      </c>
      <c r="C378">
        <v>24.89</v>
      </c>
      <c r="D378">
        <v>3</v>
      </c>
      <c r="E378" t="s">
        <v>8</v>
      </c>
      <c r="F378" t="s">
        <v>14</v>
      </c>
      <c r="G378">
        <v>21659.930100000001</v>
      </c>
    </row>
    <row r="379" spans="1:7" x14ac:dyDescent="0.25">
      <c r="A379">
        <v>24</v>
      </c>
      <c r="B379" t="s">
        <v>10</v>
      </c>
      <c r="C379">
        <v>40.15</v>
      </c>
      <c r="D379">
        <v>0</v>
      </c>
      <c r="E379" t="s">
        <v>8</v>
      </c>
      <c r="F379" t="s">
        <v>12</v>
      </c>
      <c r="G379">
        <v>38126.246500000001</v>
      </c>
    </row>
    <row r="380" spans="1:7" x14ac:dyDescent="0.25">
      <c r="A380">
        <v>64</v>
      </c>
      <c r="B380" t="s">
        <v>7</v>
      </c>
      <c r="C380">
        <v>30.114999999999998</v>
      </c>
      <c r="D380">
        <v>3</v>
      </c>
      <c r="E380" t="s">
        <v>11</v>
      </c>
      <c r="F380" t="s">
        <v>13</v>
      </c>
      <c r="G380">
        <v>16455.707849999999</v>
      </c>
    </row>
    <row r="381" spans="1:7" x14ac:dyDescent="0.25">
      <c r="A381">
        <v>62</v>
      </c>
      <c r="B381" t="s">
        <v>10</v>
      </c>
      <c r="C381">
        <v>31.46</v>
      </c>
      <c r="D381">
        <v>1</v>
      </c>
      <c r="E381" t="s">
        <v>11</v>
      </c>
      <c r="F381" t="s">
        <v>12</v>
      </c>
      <c r="G381">
        <v>27000.98473</v>
      </c>
    </row>
    <row r="382" spans="1:7" x14ac:dyDescent="0.25">
      <c r="A382">
        <v>27</v>
      </c>
      <c r="B382" t="s">
        <v>7</v>
      </c>
      <c r="C382">
        <v>17.954999999999998</v>
      </c>
      <c r="D382">
        <v>2</v>
      </c>
      <c r="E382" t="s">
        <v>8</v>
      </c>
      <c r="F382" t="s">
        <v>14</v>
      </c>
      <c r="G382">
        <v>15006.579449999999</v>
      </c>
    </row>
    <row r="383" spans="1:7" x14ac:dyDescent="0.25">
      <c r="A383">
        <v>55</v>
      </c>
      <c r="B383" t="s">
        <v>10</v>
      </c>
      <c r="C383">
        <v>30.684999999999999</v>
      </c>
      <c r="D383">
        <v>0</v>
      </c>
      <c r="E383" t="s">
        <v>8</v>
      </c>
      <c r="F383" t="s">
        <v>14</v>
      </c>
      <c r="G383">
        <v>42303.692150000003</v>
      </c>
    </row>
    <row r="384" spans="1:7" x14ac:dyDescent="0.25">
      <c r="A384">
        <v>55</v>
      </c>
      <c r="B384" t="s">
        <v>10</v>
      </c>
      <c r="C384">
        <v>33</v>
      </c>
      <c r="D384">
        <v>0</v>
      </c>
      <c r="E384" t="s">
        <v>11</v>
      </c>
      <c r="F384" t="s">
        <v>12</v>
      </c>
      <c r="G384">
        <v>20781.48892</v>
      </c>
    </row>
    <row r="385" spans="1:7" x14ac:dyDescent="0.25">
      <c r="A385">
        <v>35</v>
      </c>
      <c r="B385" t="s">
        <v>7</v>
      </c>
      <c r="C385">
        <v>43.34</v>
      </c>
      <c r="D385">
        <v>2</v>
      </c>
      <c r="E385" t="s">
        <v>11</v>
      </c>
      <c r="F385" t="s">
        <v>12</v>
      </c>
      <c r="G385">
        <v>5846.9175999999998</v>
      </c>
    </row>
    <row r="386" spans="1:7" x14ac:dyDescent="0.25">
      <c r="A386">
        <v>44</v>
      </c>
      <c r="B386" t="s">
        <v>10</v>
      </c>
      <c r="C386">
        <v>22.135000000000002</v>
      </c>
      <c r="D386">
        <v>2</v>
      </c>
      <c r="E386" t="s">
        <v>11</v>
      </c>
      <c r="F386" t="s">
        <v>14</v>
      </c>
      <c r="G386">
        <v>8302.5356499999998</v>
      </c>
    </row>
    <row r="387" spans="1:7" x14ac:dyDescent="0.25">
      <c r="A387">
        <v>19</v>
      </c>
      <c r="B387" t="s">
        <v>10</v>
      </c>
      <c r="C387">
        <v>34.4</v>
      </c>
      <c r="D387">
        <v>0</v>
      </c>
      <c r="E387" t="s">
        <v>11</v>
      </c>
      <c r="F387" t="s">
        <v>9</v>
      </c>
      <c r="G387">
        <v>1261.8589999999999</v>
      </c>
    </row>
    <row r="388" spans="1:7" x14ac:dyDescent="0.25">
      <c r="A388">
        <v>58</v>
      </c>
      <c r="B388" t="s">
        <v>7</v>
      </c>
      <c r="C388">
        <v>39.049999999999997</v>
      </c>
      <c r="D388">
        <v>0</v>
      </c>
      <c r="E388" t="s">
        <v>11</v>
      </c>
      <c r="F388" t="s">
        <v>12</v>
      </c>
      <c r="G388">
        <v>11856.4115</v>
      </c>
    </row>
    <row r="389" spans="1:7" x14ac:dyDescent="0.25">
      <c r="A389">
        <v>50</v>
      </c>
      <c r="B389" t="s">
        <v>10</v>
      </c>
      <c r="C389">
        <v>25.364999999999998</v>
      </c>
      <c r="D389">
        <v>2</v>
      </c>
      <c r="E389" t="s">
        <v>11</v>
      </c>
      <c r="F389" t="s">
        <v>13</v>
      </c>
      <c r="G389">
        <v>30284.642940000002</v>
      </c>
    </row>
    <row r="390" spans="1:7" x14ac:dyDescent="0.25">
      <c r="A390">
        <v>26</v>
      </c>
      <c r="B390" t="s">
        <v>7</v>
      </c>
      <c r="C390">
        <v>22.61</v>
      </c>
      <c r="D390">
        <v>0</v>
      </c>
      <c r="E390" t="s">
        <v>11</v>
      </c>
      <c r="F390" t="s">
        <v>13</v>
      </c>
      <c r="G390">
        <v>3176.8159000000001</v>
      </c>
    </row>
    <row r="391" spans="1:7" x14ac:dyDescent="0.25">
      <c r="A391">
        <v>24</v>
      </c>
      <c r="B391" t="s">
        <v>7</v>
      </c>
      <c r="C391">
        <v>30.21</v>
      </c>
      <c r="D391">
        <v>3</v>
      </c>
      <c r="E391" t="s">
        <v>11</v>
      </c>
      <c r="F391" t="s">
        <v>13</v>
      </c>
      <c r="G391">
        <v>4618.0798999999997</v>
      </c>
    </row>
    <row r="392" spans="1:7" x14ac:dyDescent="0.25">
      <c r="A392">
        <v>48</v>
      </c>
      <c r="B392" t="s">
        <v>10</v>
      </c>
      <c r="C392">
        <v>35.625</v>
      </c>
      <c r="D392">
        <v>4</v>
      </c>
      <c r="E392" t="s">
        <v>11</v>
      </c>
      <c r="F392" t="s">
        <v>14</v>
      </c>
      <c r="G392">
        <v>10736.87075</v>
      </c>
    </row>
    <row r="393" spans="1:7" x14ac:dyDescent="0.25">
      <c r="A393">
        <v>19</v>
      </c>
      <c r="B393" t="s">
        <v>7</v>
      </c>
      <c r="C393">
        <v>37.43</v>
      </c>
      <c r="D393">
        <v>0</v>
      </c>
      <c r="E393" t="s">
        <v>11</v>
      </c>
      <c r="F393" t="s">
        <v>13</v>
      </c>
      <c r="G393">
        <v>2138.0707000000002</v>
      </c>
    </row>
    <row r="394" spans="1:7" x14ac:dyDescent="0.25">
      <c r="A394">
        <v>48</v>
      </c>
      <c r="B394" t="s">
        <v>10</v>
      </c>
      <c r="C394">
        <v>31.445</v>
      </c>
      <c r="D394">
        <v>1</v>
      </c>
      <c r="E394" t="s">
        <v>11</v>
      </c>
      <c r="F394" t="s">
        <v>14</v>
      </c>
      <c r="G394">
        <v>8964.0605500000001</v>
      </c>
    </row>
    <row r="395" spans="1:7" x14ac:dyDescent="0.25">
      <c r="A395">
        <v>49</v>
      </c>
      <c r="B395" t="s">
        <v>10</v>
      </c>
      <c r="C395">
        <v>31.35</v>
      </c>
      <c r="D395">
        <v>1</v>
      </c>
      <c r="E395" t="s">
        <v>11</v>
      </c>
      <c r="F395" t="s">
        <v>14</v>
      </c>
      <c r="G395">
        <v>9290.1394999999993</v>
      </c>
    </row>
    <row r="396" spans="1:7" x14ac:dyDescent="0.25">
      <c r="A396">
        <v>46</v>
      </c>
      <c r="B396" t="s">
        <v>7</v>
      </c>
      <c r="C396">
        <v>32.299999999999997</v>
      </c>
      <c r="D396">
        <v>2</v>
      </c>
      <c r="E396" t="s">
        <v>11</v>
      </c>
      <c r="F396" t="s">
        <v>14</v>
      </c>
      <c r="G396">
        <v>9411.0049999999992</v>
      </c>
    </row>
    <row r="397" spans="1:7" x14ac:dyDescent="0.25">
      <c r="A397">
        <v>46</v>
      </c>
      <c r="B397" t="s">
        <v>10</v>
      </c>
      <c r="C397">
        <v>19.855</v>
      </c>
      <c r="D397">
        <v>0</v>
      </c>
      <c r="E397" t="s">
        <v>11</v>
      </c>
      <c r="F397" t="s">
        <v>13</v>
      </c>
      <c r="G397">
        <v>7526.7064499999997</v>
      </c>
    </row>
    <row r="398" spans="1:7" x14ac:dyDescent="0.25">
      <c r="A398">
        <v>43</v>
      </c>
      <c r="B398" t="s">
        <v>7</v>
      </c>
      <c r="C398">
        <v>34.4</v>
      </c>
      <c r="D398">
        <v>3</v>
      </c>
      <c r="E398" t="s">
        <v>11</v>
      </c>
      <c r="F398" t="s">
        <v>9</v>
      </c>
      <c r="G398">
        <v>8522.0030000000006</v>
      </c>
    </row>
    <row r="399" spans="1:7" x14ac:dyDescent="0.25">
      <c r="A399">
        <v>21</v>
      </c>
      <c r="B399" t="s">
        <v>10</v>
      </c>
      <c r="C399">
        <v>31.02</v>
      </c>
      <c r="D399">
        <v>0</v>
      </c>
      <c r="E399" t="s">
        <v>11</v>
      </c>
      <c r="F399" t="s">
        <v>12</v>
      </c>
      <c r="G399">
        <v>16586.49771</v>
      </c>
    </row>
    <row r="400" spans="1:7" x14ac:dyDescent="0.25">
      <c r="A400">
        <v>64</v>
      </c>
      <c r="B400" t="s">
        <v>10</v>
      </c>
      <c r="C400">
        <v>25.6</v>
      </c>
      <c r="D400">
        <v>2</v>
      </c>
      <c r="E400" t="s">
        <v>11</v>
      </c>
      <c r="F400" t="s">
        <v>9</v>
      </c>
      <c r="G400">
        <v>14988.432000000001</v>
      </c>
    </row>
    <row r="401" spans="1:7" x14ac:dyDescent="0.25">
      <c r="A401">
        <v>18</v>
      </c>
      <c r="B401" t="s">
        <v>7</v>
      </c>
      <c r="C401">
        <v>38.17</v>
      </c>
      <c r="D401">
        <v>0</v>
      </c>
      <c r="E401" t="s">
        <v>11</v>
      </c>
      <c r="F401" t="s">
        <v>12</v>
      </c>
      <c r="G401">
        <v>1631.6683</v>
      </c>
    </row>
    <row r="402" spans="1:7" x14ac:dyDescent="0.25">
      <c r="A402">
        <v>51</v>
      </c>
      <c r="B402" t="s">
        <v>7</v>
      </c>
      <c r="C402">
        <v>20.6</v>
      </c>
      <c r="D402">
        <v>0</v>
      </c>
      <c r="E402" t="s">
        <v>11</v>
      </c>
      <c r="F402" t="s">
        <v>9</v>
      </c>
      <c r="G402">
        <v>9264.7970000000005</v>
      </c>
    </row>
    <row r="403" spans="1:7" x14ac:dyDescent="0.25">
      <c r="A403">
        <v>47</v>
      </c>
      <c r="B403" t="s">
        <v>10</v>
      </c>
      <c r="C403">
        <v>47.52</v>
      </c>
      <c r="D403">
        <v>1</v>
      </c>
      <c r="E403" t="s">
        <v>11</v>
      </c>
      <c r="F403" t="s">
        <v>12</v>
      </c>
      <c r="G403">
        <v>8083.9197999999997</v>
      </c>
    </row>
    <row r="404" spans="1:7" x14ac:dyDescent="0.25">
      <c r="A404">
        <v>64</v>
      </c>
      <c r="B404" t="s">
        <v>7</v>
      </c>
      <c r="C404">
        <v>32.965000000000003</v>
      </c>
      <c r="D404">
        <v>0</v>
      </c>
      <c r="E404" t="s">
        <v>11</v>
      </c>
      <c r="F404" t="s">
        <v>13</v>
      </c>
      <c r="G404">
        <v>14692.66935</v>
      </c>
    </row>
    <row r="405" spans="1:7" x14ac:dyDescent="0.25">
      <c r="A405">
        <v>49</v>
      </c>
      <c r="B405" t="s">
        <v>10</v>
      </c>
      <c r="C405">
        <v>32.299999999999997</v>
      </c>
      <c r="D405">
        <v>3</v>
      </c>
      <c r="E405" t="s">
        <v>11</v>
      </c>
      <c r="F405" t="s">
        <v>13</v>
      </c>
      <c r="G405">
        <v>10269.459999999999</v>
      </c>
    </row>
    <row r="406" spans="1:7" x14ac:dyDescent="0.25">
      <c r="A406">
        <v>31</v>
      </c>
      <c r="B406" t="s">
        <v>10</v>
      </c>
      <c r="C406">
        <v>20.399999999999999</v>
      </c>
      <c r="D406">
        <v>0</v>
      </c>
      <c r="E406" t="s">
        <v>11</v>
      </c>
      <c r="F406" t="s">
        <v>9</v>
      </c>
      <c r="G406">
        <v>3260.1990000000001</v>
      </c>
    </row>
    <row r="407" spans="1:7" x14ac:dyDescent="0.25">
      <c r="A407">
        <v>52</v>
      </c>
      <c r="B407" t="s">
        <v>7</v>
      </c>
      <c r="C407">
        <v>38.380000000000003</v>
      </c>
      <c r="D407">
        <v>2</v>
      </c>
      <c r="E407" t="s">
        <v>11</v>
      </c>
      <c r="F407" t="s">
        <v>14</v>
      </c>
      <c r="G407">
        <v>11396.9002</v>
      </c>
    </row>
    <row r="408" spans="1:7" x14ac:dyDescent="0.25">
      <c r="A408">
        <v>33</v>
      </c>
      <c r="B408" t="s">
        <v>7</v>
      </c>
      <c r="C408">
        <v>24.31</v>
      </c>
      <c r="D408">
        <v>0</v>
      </c>
      <c r="E408" t="s">
        <v>11</v>
      </c>
      <c r="F408" t="s">
        <v>12</v>
      </c>
      <c r="G408">
        <v>4185.0978999999998</v>
      </c>
    </row>
    <row r="409" spans="1:7" x14ac:dyDescent="0.25">
      <c r="A409">
        <v>47</v>
      </c>
      <c r="B409" t="s">
        <v>7</v>
      </c>
      <c r="C409">
        <v>23.6</v>
      </c>
      <c r="D409">
        <v>1</v>
      </c>
      <c r="E409" t="s">
        <v>11</v>
      </c>
      <c r="F409" t="s">
        <v>9</v>
      </c>
      <c r="G409">
        <v>8539.6710000000003</v>
      </c>
    </row>
    <row r="410" spans="1:7" x14ac:dyDescent="0.25">
      <c r="A410">
        <v>38</v>
      </c>
      <c r="B410" t="s">
        <v>10</v>
      </c>
      <c r="C410">
        <v>21.12</v>
      </c>
      <c r="D410">
        <v>3</v>
      </c>
      <c r="E410" t="s">
        <v>11</v>
      </c>
      <c r="F410" t="s">
        <v>12</v>
      </c>
      <c r="G410">
        <v>6652.5288</v>
      </c>
    </row>
    <row r="411" spans="1:7" x14ac:dyDescent="0.25">
      <c r="A411">
        <v>32</v>
      </c>
      <c r="B411" t="s">
        <v>10</v>
      </c>
      <c r="C411">
        <v>30.03</v>
      </c>
      <c r="D411">
        <v>1</v>
      </c>
      <c r="E411" t="s">
        <v>11</v>
      </c>
      <c r="F411" t="s">
        <v>12</v>
      </c>
      <c r="G411">
        <v>4074.4537</v>
      </c>
    </row>
    <row r="412" spans="1:7" x14ac:dyDescent="0.25">
      <c r="A412">
        <v>19</v>
      </c>
      <c r="B412" t="s">
        <v>10</v>
      </c>
      <c r="C412">
        <v>17.48</v>
      </c>
      <c r="D412">
        <v>0</v>
      </c>
      <c r="E412" t="s">
        <v>11</v>
      </c>
      <c r="F412" t="s">
        <v>13</v>
      </c>
      <c r="G412">
        <v>1621.3402000000001</v>
      </c>
    </row>
    <row r="413" spans="1:7" x14ac:dyDescent="0.25">
      <c r="A413">
        <v>44</v>
      </c>
      <c r="B413" t="s">
        <v>7</v>
      </c>
      <c r="C413">
        <v>20.234999999999999</v>
      </c>
      <c r="D413">
        <v>1</v>
      </c>
      <c r="E413" t="s">
        <v>8</v>
      </c>
      <c r="F413" t="s">
        <v>14</v>
      </c>
      <c r="G413">
        <v>19594.809649999999</v>
      </c>
    </row>
    <row r="414" spans="1:7" x14ac:dyDescent="0.25">
      <c r="A414">
        <v>26</v>
      </c>
      <c r="B414" t="s">
        <v>7</v>
      </c>
      <c r="C414">
        <v>17.195</v>
      </c>
      <c r="D414">
        <v>2</v>
      </c>
      <c r="E414" t="s">
        <v>8</v>
      </c>
      <c r="F414" t="s">
        <v>14</v>
      </c>
      <c r="G414">
        <v>14455.644050000001</v>
      </c>
    </row>
    <row r="415" spans="1:7" x14ac:dyDescent="0.25">
      <c r="A415">
        <v>25</v>
      </c>
      <c r="B415" t="s">
        <v>10</v>
      </c>
      <c r="C415">
        <v>23.9</v>
      </c>
      <c r="D415">
        <v>5</v>
      </c>
      <c r="E415" t="s">
        <v>11</v>
      </c>
      <c r="F415" t="s">
        <v>9</v>
      </c>
      <c r="G415">
        <v>5080.0959999999995</v>
      </c>
    </row>
    <row r="416" spans="1:7" x14ac:dyDescent="0.25">
      <c r="A416">
        <v>19</v>
      </c>
      <c r="B416" t="s">
        <v>7</v>
      </c>
      <c r="C416">
        <v>35.15</v>
      </c>
      <c r="D416">
        <v>0</v>
      </c>
      <c r="E416" t="s">
        <v>11</v>
      </c>
      <c r="F416" t="s">
        <v>13</v>
      </c>
      <c r="G416">
        <v>2134.9014999999999</v>
      </c>
    </row>
    <row r="417" spans="1:7" x14ac:dyDescent="0.25">
      <c r="A417">
        <v>43</v>
      </c>
      <c r="B417" t="s">
        <v>7</v>
      </c>
      <c r="C417">
        <v>35.64</v>
      </c>
      <c r="D417">
        <v>1</v>
      </c>
      <c r="E417" t="s">
        <v>11</v>
      </c>
      <c r="F417" t="s">
        <v>12</v>
      </c>
      <c r="G417">
        <v>7345.7266</v>
      </c>
    </row>
    <row r="418" spans="1:7" x14ac:dyDescent="0.25">
      <c r="A418">
        <v>52</v>
      </c>
      <c r="B418" t="s">
        <v>10</v>
      </c>
      <c r="C418">
        <v>34.1</v>
      </c>
      <c r="D418">
        <v>0</v>
      </c>
      <c r="E418" t="s">
        <v>11</v>
      </c>
      <c r="F418" t="s">
        <v>12</v>
      </c>
      <c r="G418">
        <v>9140.9509999999991</v>
      </c>
    </row>
    <row r="419" spans="1:7" x14ac:dyDescent="0.25">
      <c r="A419">
        <v>36</v>
      </c>
      <c r="B419" t="s">
        <v>7</v>
      </c>
      <c r="C419">
        <v>22.6</v>
      </c>
      <c r="D419">
        <v>2</v>
      </c>
      <c r="E419" t="s">
        <v>8</v>
      </c>
      <c r="F419" t="s">
        <v>9</v>
      </c>
      <c r="G419">
        <v>18608.261999999999</v>
      </c>
    </row>
    <row r="420" spans="1:7" x14ac:dyDescent="0.25">
      <c r="A420">
        <v>64</v>
      </c>
      <c r="B420" t="s">
        <v>10</v>
      </c>
      <c r="C420">
        <v>39.159999999999997</v>
      </c>
      <c r="D420">
        <v>1</v>
      </c>
      <c r="E420" t="s">
        <v>11</v>
      </c>
      <c r="F420" t="s">
        <v>12</v>
      </c>
      <c r="G420">
        <v>14418.2804</v>
      </c>
    </row>
    <row r="421" spans="1:7" x14ac:dyDescent="0.25">
      <c r="A421">
        <v>63</v>
      </c>
      <c r="B421" t="s">
        <v>7</v>
      </c>
      <c r="C421">
        <v>26.98</v>
      </c>
      <c r="D421">
        <v>0</v>
      </c>
      <c r="E421" t="s">
        <v>8</v>
      </c>
      <c r="F421" t="s">
        <v>13</v>
      </c>
      <c r="G421">
        <v>28950.4692</v>
      </c>
    </row>
    <row r="422" spans="1:7" x14ac:dyDescent="0.25">
      <c r="A422">
        <v>64</v>
      </c>
      <c r="B422" t="s">
        <v>10</v>
      </c>
      <c r="C422">
        <v>33.880000000000003</v>
      </c>
      <c r="D422">
        <v>0</v>
      </c>
      <c r="E422" t="s">
        <v>8</v>
      </c>
      <c r="F422" t="s">
        <v>12</v>
      </c>
      <c r="G422">
        <v>46889.261200000001</v>
      </c>
    </row>
    <row r="423" spans="1:7" x14ac:dyDescent="0.25">
      <c r="A423">
        <v>61</v>
      </c>
      <c r="B423" t="s">
        <v>10</v>
      </c>
      <c r="C423">
        <v>35.86</v>
      </c>
      <c r="D423">
        <v>0</v>
      </c>
      <c r="E423" t="s">
        <v>8</v>
      </c>
      <c r="F423" t="s">
        <v>12</v>
      </c>
      <c r="G423">
        <v>46599.108399999997</v>
      </c>
    </row>
    <row r="424" spans="1:7" x14ac:dyDescent="0.25">
      <c r="A424">
        <v>40</v>
      </c>
      <c r="B424" t="s">
        <v>10</v>
      </c>
      <c r="C424">
        <v>32.774999999999999</v>
      </c>
      <c r="D424">
        <v>1</v>
      </c>
      <c r="E424" t="s">
        <v>8</v>
      </c>
      <c r="F424" t="s">
        <v>14</v>
      </c>
      <c r="G424">
        <v>39125.332249999999</v>
      </c>
    </row>
    <row r="425" spans="1:7" x14ac:dyDescent="0.25">
      <c r="A425">
        <v>25</v>
      </c>
      <c r="B425" t="s">
        <v>10</v>
      </c>
      <c r="C425">
        <v>30.59</v>
      </c>
      <c r="D425">
        <v>0</v>
      </c>
      <c r="E425" t="s">
        <v>11</v>
      </c>
      <c r="F425" t="s">
        <v>14</v>
      </c>
      <c r="G425">
        <v>2727.3951000000002</v>
      </c>
    </row>
    <row r="426" spans="1:7" x14ac:dyDescent="0.25">
      <c r="A426">
        <v>48</v>
      </c>
      <c r="B426" t="s">
        <v>10</v>
      </c>
      <c r="C426">
        <v>30.2</v>
      </c>
      <c r="D426">
        <v>2</v>
      </c>
      <c r="E426" t="s">
        <v>11</v>
      </c>
      <c r="F426" t="s">
        <v>9</v>
      </c>
      <c r="G426">
        <v>8968.33</v>
      </c>
    </row>
    <row r="427" spans="1:7" x14ac:dyDescent="0.25">
      <c r="A427">
        <v>45</v>
      </c>
      <c r="B427" t="s">
        <v>10</v>
      </c>
      <c r="C427">
        <v>24.31</v>
      </c>
      <c r="D427">
        <v>5</v>
      </c>
      <c r="E427" t="s">
        <v>11</v>
      </c>
      <c r="F427" t="s">
        <v>12</v>
      </c>
      <c r="G427">
        <v>9788.8659000000007</v>
      </c>
    </row>
    <row r="428" spans="1:7" x14ac:dyDescent="0.25">
      <c r="A428">
        <v>38</v>
      </c>
      <c r="B428" t="s">
        <v>7</v>
      </c>
      <c r="C428">
        <v>27.265000000000001</v>
      </c>
      <c r="D428">
        <v>1</v>
      </c>
      <c r="E428" t="s">
        <v>11</v>
      </c>
      <c r="F428" t="s">
        <v>14</v>
      </c>
      <c r="G428">
        <v>6555.07035</v>
      </c>
    </row>
    <row r="429" spans="1:7" x14ac:dyDescent="0.25">
      <c r="A429">
        <v>18</v>
      </c>
      <c r="B429" t="s">
        <v>7</v>
      </c>
      <c r="C429">
        <v>29.164999999999999</v>
      </c>
      <c r="D429">
        <v>0</v>
      </c>
      <c r="E429" t="s">
        <v>11</v>
      </c>
      <c r="F429" t="s">
        <v>14</v>
      </c>
      <c r="G429">
        <v>7323.7348190000002</v>
      </c>
    </row>
    <row r="430" spans="1:7" x14ac:dyDescent="0.25">
      <c r="A430">
        <v>21</v>
      </c>
      <c r="B430" t="s">
        <v>7</v>
      </c>
      <c r="C430">
        <v>16.815000000000001</v>
      </c>
      <c r="D430">
        <v>1</v>
      </c>
      <c r="E430" t="s">
        <v>11</v>
      </c>
      <c r="F430" t="s">
        <v>14</v>
      </c>
      <c r="G430">
        <v>3167.4558499999998</v>
      </c>
    </row>
    <row r="431" spans="1:7" x14ac:dyDescent="0.25">
      <c r="A431">
        <v>27</v>
      </c>
      <c r="B431" t="s">
        <v>7</v>
      </c>
      <c r="C431">
        <v>30.4</v>
      </c>
      <c r="D431">
        <v>3</v>
      </c>
      <c r="E431" t="s">
        <v>11</v>
      </c>
      <c r="F431" t="s">
        <v>13</v>
      </c>
      <c r="G431">
        <v>18804.752400000001</v>
      </c>
    </row>
    <row r="432" spans="1:7" x14ac:dyDescent="0.25">
      <c r="A432">
        <v>19</v>
      </c>
      <c r="B432" t="s">
        <v>10</v>
      </c>
      <c r="C432">
        <v>33.1</v>
      </c>
      <c r="D432">
        <v>0</v>
      </c>
      <c r="E432" t="s">
        <v>11</v>
      </c>
      <c r="F432" t="s">
        <v>9</v>
      </c>
      <c r="G432">
        <v>23082.955330000001</v>
      </c>
    </row>
    <row r="433" spans="1:7" x14ac:dyDescent="0.25">
      <c r="A433">
        <v>29</v>
      </c>
      <c r="B433" t="s">
        <v>7</v>
      </c>
      <c r="C433">
        <v>20.234999999999999</v>
      </c>
      <c r="D433">
        <v>2</v>
      </c>
      <c r="E433" t="s">
        <v>11</v>
      </c>
      <c r="F433" t="s">
        <v>13</v>
      </c>
      <c r="G433">
        <v>4906.4096499999996</v>
      </c>
    </row>
    <row r="434" spans="1:7" x14ac:dyDescent="0.25">
      <c r="A434">
        <v>42</v>
      </c>
      <c r="B434" t="s">
        <v>10</v>
      </c>
      <c r="C434">
        <v>26.9</v>
      </c>
      <c r="D434">
        <v>0</v>
      </c>
      <c r="E434" t="s">
        <v>11</v>
      </c>
      <c r="F434" t="s">
        <v>9</v>
      </c>
      <c r="G434">
        <v>5969.723</v>
      </c>
    </row>
    <row r="435" spans="1:7" x14ac:dyDescent="0.25">
      <c r="A435">
        <v>60</v>
      </c>
      <c r="B435" t="s">
        <v>7</v>
      </c>
      <c r="C435">
        <v>30.5</v>
      </c>
      <c r="D435">
        <v>0</v>
      </c>
      <c r="E435" t="s">
        <v>11</v>
      </c>
      <c r="F435" t="s">
        <v>9</v>
      </c>
      <c r="G435">
        <v>12638.195</v>
      </c>
    </row>
    <row r="436" spans="1:7" x14ac:dyDescent="0.25">
      <c r="A436">
        <v>31</v>
      </c>
      <c r="B436" t="s">
        <v>10</v>
      </c>
      <c r="C436">
        <v>28.594999999999999</v>
      </c>
      <c r="D436">
        <v>1</v>
      </c>
      <c r="E436" t="s">
        <v>11</v>
      </c>
      <c r="F436" t="s">
        <v>13</v>
      </c>
      <c r="G436">
        <v>4243.5900499999998</v>
      </c>
    </row>
    <row r="437" spans="1:7" x14ac:dyDescent="0.25">
      <c r="A437">
        <v>60</v>
      </c>
      <c r="B437" t="s">
        <v>10</v>
      </c>
      <c r="C437">
        <v>33.11</v>
      </c>
      <c r="D437">
        <v>3</v>
      </c>
      <c r="E437" t="s">
        <v>11</v>
      </c>
      <c r="F437" t="s">
        <v>12</v>
      </c>
      <c r="G437">
        <v>13919.822899999999</v>
      </c>
    </row>
    <row r="438" spans="1:7" x14ac:dyDescent="0.25">
      <c r="A438">
        <v>22</v>
      </c>
      <c r="B438" t="s">
        <v>10</v>
      </c>
      <c r="C438">
        <v>31.73</v>
      </c>
      <c r="D438">
        <v>0</v>
      </c>
      <c r="E438" t="s">
        <v>11</v>
      </c>
      <c r="F438" t="s">
        <v>14</v>
      </c>
      <c r="G438">
        <v>2254.7966999999999</v>
      </c>
    </row>
    <row r="439" spans="1:7" x14ac:dyDescent="0.25">
      <c r="A439">
        <v>35</v>
      </c>
      <c r="B439" t="s">
        <v>10</v>
      </c>
      <c r="C439">
        <v>28.9</v>
      </c>
      <c r="D439">
        <v>3</v>
      </c>
      <c r="E439" t="s">
        <v>11</v>
      </c>
      <c r="F439" t="s">
        <v>9</v>
      </c>
      <c r="G439">
        <v>5926.8459999999995</v>
      </c>
    </row>
    <row r="440" spans="1:7" x14ac:dyDescent="0.25">
      <c r="A440">
        <v>52</v>
      </c>
      <c r="B440" t="s">
        <v>7</v>
      </c>
      <c r="C440">
        <v>46.75</v>
      </c>
      <c r="D440">
        <v>5</v>
      </c>
      <c r="E440" t="s">
        <v>11</v>
      </c>
      <c r="F440" t="s">
        <v>12</v>
      </c>
      <c r="G440">
        <v>12592.5345</v>
      </c>
    </row>
    <row r="441" spans="1:7" x14ac:dyDescent="0.25">
      <c r="A441">
        <v>26</v>
      </c>
      <c r="B441" t="s">
        <v>10</v>
      </c>
      <c r="C441">
        <v>29.45</v>
      </c>
      <c r="D441">
        <v>0</v>
      </c>
      <c r="E441" t="s">
        <v>11</v>
      </c>
      <c r="F441" t="s">
        <v>14</v>
      </c>
      <c r="G441">
        <v>2897.3235</v>
      </c>
    </row>
    <row r="442" spans="1:7" x14ac:dyDescent="0.25">
      <c r="A442">
        <v>31</v>
      </c>
      <c r="B442" t="s">
        <v>7</v>
      </c>
      <c r="C442">
        <v>32.68</v>
      </c>
      <c r="D442">
        <v>1</v>
      </c>
      <c r="E442" t="s">
        <v>11</v>
      </c>
      <c r="F442" t="s">
        <v>13</v>
      </c>
      <c r="G442">
        <v>4738.2682000000004</v>
      </c>
    </row>
    <row r="443" spans="1:7" x14ac:dyDescent="0.25">
      <c r="A443">
        <v>33</v>
      </c>
      <c r="B443" t="s">
        <v>7</v>
      </c>
      <c r="C443">
        <v>33.5</v>
      </c>
      <c r="D443">
        <v>0</v>
      </c>
      <c r="E443" t="s">
        <v>8</v>
      </c>
      <c r="F443" t="s">
        <v>9</v>
      </c>
      <c r="G443">
        <v>37079.372000000003</v>
      </c>
    </row>
    <row r="444" spans="1:7" x14ac:dyDescent="0.25">
      <c r="A444">
        <v>18</v>
      </c>
      <c r="B444" t="s">
        <v>10</v>
      </c>
      <c r="C444">
        <v>43.01</v>
      </c>
      <c r="D444">
        <v>0</v>
      </c>
      <c r="E444" t="s">
        <v>11</v>
      </c>
      <c r="F444" t="s">
        <v>12</v>
      </c>
      <c r="G444">
        <v>1149.3959</v>
      </c>
    </row>
    <row r="445" spans="1:7" x14ac:dyDescent="0.25">
      <c r="A445">
        <v>59</v>
      </c>
      <c r="B445" t="s">
        <v>7</v>
      </c>
      <c r="C445">
        <v>36.520000000000003</v>
      </c>
      <c r="D445">
        <v>1</v>
      </c>
      <c r="E445" t="s">
        <v>11</v>
      </c>
      <c r="F445" t="s">
        <v>12</v>
      </c>
      <c r="G445">
        <v>28287.897659999999</v>
      </c>
    </row>
    <row r="446" spans="1:7" x14ac:dyDescent="0.25">
      <c r="A446">
        <v>56</v>
      </c>
      <c r="B446" t="s">
        <v>10</v>
      </c>
      <c r="C446">
        <v>26.695</v>
      </c>
      <c r="D446">
        <v>1</v>
      </c>
      <c r="E446" t="s">
        <v>8</v>
      </c>
      <c r="F446" t="s">
        <v>13</v>
      </c>
      <c r="G446">
        <v>26109.32905</v>
      </c>
    </row>
    <row r="447" spans="1:7" x14ac:dyDescent="0.25">
      <c r="A447">
        <v>45</v>
      </c>
      <c r="B447" t="s">
        <v>7</v>
      </c>
      <c r="C447">
        <v>33.1</v>
      </c>
      <c r="D447">
        <v>0</v>
      </c>
      <c r="E447" t="s">
        <v>11</v>
      </c>
      <c r="F447" t="s">
        <v>9</v>
      </c>
      <c r="G447">
        <v>7345.0839999999998</v>
      </c>
    </row>
    <row r="448" spans="1:7" x14ac:dyDescent="0.25">
      <c r="A448">
        <v>60</v>
      </c>
      <c r="B448" t="s">
        <v>10</v>
      </c>
      <c r="C448">
        <v>29.64</v>
      </c>
      <c r="D448">
        <v>0</v>
      </c>
      <c r="E448" t="s">
        <v>11</v>
      </c>
      <c r="F448" t="s">
        <v>14</v>
      </c>
      <c r="G448">
        <v>12730.999599999999</v>
      </c>
    </row>
    <row r="449" spans="1:7" x14ac:dyDescent="0.25">
      <c r="A449">
        <v>56</v>
      </c>
      <c r="B449" t="s">
        <v>7</v>
      </c>
      <c r="C449">
        <v>25.65</v>
      </c>
      <c r="D449">
        <v>0</v>
      </c>
      <c r="E449" t="s">
        <v>11</v>
      </c>
      <c r="F449" t="s">
        <v>13</v>
      </c>
      <c r="G449">
        <v>11454.021500000001</v>
      </c>
    </row>
    <row r="450" spans="1:7" x14ac:dyDescent="0.25">
      <c r="A450">
        <v>40</v>
      </c>
      <c r="B450" t="s">
        <v>7</v>
      </c>
      <c r="C450">
        <v>29.6</v>
      </c>
      <c r="D450">
        <v>0</v>
      </c>
      <c r="E450" t="s">
        <v>11</v>
      </c>
      <c r="F450" t="s">
        <v>9</v>
      </c>
      <c r="G450">
        <v>5910.9440000000004</v>
      </c>
    </row>
    <row r="451" spans="1:7" x14ac:dyDescent="0.25">
      <c r="A451">
        <v>35</v>
      </c>
      <c r="B451" t="s">
        <v>10</v>
      </c>
      <c r="C451">
        <v>38.6</v>
      </c>
      <c r="D451">
        <v>1</v>
      </c>
      <c r="E451" t="s">
        <v>11</v>
      </c>
      <c r="F451" t="s">
        <v>9</v>
      </c>
      <c r="G451">
        <v>4762.3289999999997</v>
      </c>
    </row>
    <row r="452" spans="1:7" x14ac:dyDescent="0.25">
      <c r="A452">
        <v>39</v>
      </c>
      <c r="B452" t="s">
        <v>10</v>
      </c>
      <c r="C452">
        <v>29.6</v>
      </c>
      <c r="D452">
        <v>4</v>
      </c>
      <c r="E452" t="s">
        <v>11</v>
      </c>
      <c r="F452" t="s">
        <v>9</v>
      </c>
      <c r="G452">
        <v>7512.2669999999998</v>
      </c>
    </row>
    <row r="453" spans="1:7" x14ac:dyDescent="0.25">
      <c r="A453">
        <v>30</v>
      </c>
      <c r="B453" t="s">
        <v>10</v>
      </c>
      <c r="C453">
        <v>24.13</v>
      </c>
      <c r="D453">
        <v>1</v>
      </c>
      <c r="E453" t="s">
        <v>11</v>
      </c>
      <c r="F453" t="s">
        <v>13</v>
      </c>
      <c r="G453">
        <v>4032.2406999999998</v>
      </c>
    </row>
    <row r="454" spans="1:7" x14ac:dyDescent="0.25">
      <c r="A454">
        <v>24</v>
      </c>
      <c r="B454" t="s">
        <v>10</v>
      </c>
      <c r="C454">
        <v>23.4</v>
      </c>
      <c r="D454">
        <v>0</v>
      </c>
      <c r="E454" t="s">
        <v>11</v>
      </c>
      <c r="F454" t="s">
        <v>9</v>
      </c>
      <c r="G454">
        <v>1969.614</v>
      </c>
    </row>
    <row r="455" spans="1:7" x14ac:dyDescent="0.25">
      <c r="A455">
        <v>20</v>
      </c>
      <c r="B455" t="s">
        <v>10</v>
      </c>
      <c r="C455">
        <v>29.734999999999999</v>
      </c>
      <c r="D455">
        <v>0</v>
      </c>
      <c r="E455" t="s">
        <v>11</v>
      </c>
      <c r="F455" t="s">
        <v>13</v>
      </c>
      <c r="G455">
        <v>1769.5316499999999</v>
      </c>
    </row>
    <row r="456" spans="1:7" x14ac:dyDescent="0.25">
      <c r="A456">
        <v>32</v>
      </c>
      <c r="B456" t="s">
        <v>10</v>
      </c>
      <c r="C456">
        <v>46.53</v>
      </c>
      <c r="D456">
        <v>2</v>
      </c>
      <c r="E456" t="s">
        <v>11</v>
      </c>
      <c r="F456" t="s">
        <v>12</v>
      </c>
      <c r="G456">
        <v>4686.3887000000004</v>
      </c>
    </row>
    <row r="457" spans="1:7" x14ac:dyDescent="0.25">
      <c r="A457">
        <v>59</v>
      </c>
      <c r="B457" t="s">
        <v>10</v>
      </c>
      <c r="C457">
        <v>37.4</v>
      </c>
      <c r="D457">
        <v>0</v>
      </c>
      <c r="E457" t="s">
        <v>11</v>
      </c>
      <c r="F457" t="s">
        <v>9</v>
      </c>
      <c r="G457">
        <v>21797.000400000001</v>
      </c>
    </row>
    <row r="458" spans="1:7" x14ac:dyDescent="0.25">
      <c r="A458">
        <v>55</v>
      </c>
      <c r="B458" t="s">
        <v>7</v>
      </c>
      <c r="C458">
        <v>30.14</v>
      </c>
      <c r="D458">
        <v>2</v>
      </c>
      <c r="E458" t="s">
        <v>11</v>
      </c>
      <c r="F458" t="s">
        <v>12</v>
      </c>
      <c r="G458">
        <v>11881.9696</v>
      </c>
    </row>
    <row r="459" spans="1:7" x14ac:dyDescent="0.25">
      <c r="A459">
        <v>57</v>
      </c>
      <c r="B459" t="s">
        <v>7</v>
      </c>
      <c r="C459">
        <v>30.495000000000001</v>
      </c>
      <c r="D459">
        <v>0</v>
      </c>
      <c r="E459" t="s">
        <v>11</v>
      </c>
      <c r="F459" t="s">
        <v>13</v>
      </c>
      <c r="G459">
        <v>11840.77505</v>
      </c>
    </row>
    <row r="460" spans="1:7" x14ac:dyDescent="0.25">
      <c r="A460">
        <v>56</v>
      </c>
      <c r="B460" t="s">
        <v>10</v>
      </c>
      <c r="C460">
        <v>39.6</v>
      </c>
      <c r="D460">
        <v>0</v>
      </c>
      <c r="E460" t="s">
        <v>11</v>
      </c>
      <c r="F460" t="s">
        <v>9</v>
      </c>
      <c r="G460">
        <v>10601.412</v>
      </c>
    </row>
    <row r="461" spans="1:7" x14ac:dyDescent="0.25">
      <c r="A461">
        <v>40</v>
      </c>
      <c r="B461" t="s">
        <v>7</v>
      </c>
      <c r="C461">
        <v>33</v>
      </c>
      <c r="D461">
        <v>3</v>
      </c>
      <c r="E461" t="s">
        <v>11</v>
      </c>
      <c r="F461" t="s">
        <v>12</v>
      </c>
      <c r="G461">
        <v>7682.67</v>
      </c>
    </row>
    <row r="462" spans="1:7" x14ac:dyDescent="0.25">
      <c r="A462">
        <v>49</v>
      </c>
      <c r="B462" t="s">
        <v>7</v>
      </c>
      <c r="C462">
        <v>36.630000000000003</v>
      </c>
      <c r="D462">
        <v>3</v>
      </c>
      <c r="E462" t="s">
        <v>11</v>
      </c>
      <c r="F462" t="s">
        <v>12</v>
      </c>
      <c r="G462">
        <v>10381.4787</v>
      </c>
    </row>
    <row r="463" spans="1:7" x14ac:dyDescent="0.25">
      <c r="A463">
        <v>42</v>
      </c>
      <c r="B463" t="s">
        <v>10</v>
      </c>
      <c r="C463">
        <v>30</v>
      </c>
      <c r="D463">
        <v>0</v>
      </c>
      <c r="E463" t="s">
        <v>8</v>
      </c>
      <c r="F463" t="s">
        <v>9</v>
      </c>
      <c r="G463">
        <v>22144.031999999999</v>
      </c>
    </row>
    <row r="464" spans="1:7" x14ac:dyDescent="0.25">
      <c r="A464">
        <v>62</v>
      </c>
      <c r="B464" t="s">
        <v>7</v>
      </c>
      <c r="C464">
        <v>38.094999999999999</v>
      </c>
      <c r="D464">
        <v>2</v>
      </c>
      <c r="E464" t="s">
        <v>11</v>
      </c>
      <c r="F464" t="s">
        <v>14</v>
      </c>
      <c r="G464">
        <v>15230.324049999999</v>
      </c>
    </row>
    <row r="465" spans="1:7" x14ac:dyDescent="0.25">
      <c r="A465">
        <v>56</v>
      </c>
      <c r="B465" t="s">
        <v>10</v>
      </c>
      <c r="C465">
        <v>25.934999999999999</v>
      </c>
      <c r="D465">
        <v>0</v>
      </c>
      <c r="E465" t="s">
        <v>11</v>
      </c>
      <c r="F465" t="s">
        <v>14</v>
      </c>
      <c r="G465">
        <v>11165.417649999999</v>
      </c>
    </row>
    <row r="466" spans="1:7" x14ac:dyDescent="0.25">
      <c r="A466">
        <v>19</v>
      </c>
      <c r="B466" t="s">
        <v>10</v>
      </c>
      <c r="C466">
        <v>25.175000000000001</v>
      </c>
      <c r="D466">
        <v>0</v>
      </c>
      <c r="E466" t="s">
        <v>11</v>
      </c>
      <c r="F466" t="s">
        <v>13</v>
      </c>
      <c r="G466">
        <v>1632.0362500000001</v>
      </c>
    </row>
    <row r="467" spans="1:7" x14ac:dyDescent="0.25">
      <c r="A467">
        <v>30</v>
      </c>
      <c r="B467" t="s">
        <v>7</v>
      </c>
      <c r="C467">
        <v>28.38</v>
      </c>
      <c r="D467">
        <v>1</v>
      </c>
      <c r="E467" t="s">
        <v>8</v>
      </c>
      <c r="F467" t="s">
        <v>12</v>
      </c>
      <c r="G467">
        <v>19521.968199999999</v>
      </c>
    </row>
    <row r="468" spans="1:7" x14ac:dyDescent="0.25">
      <c r="A468">
        <v>60</v>
      </c>
      <c r="B468" t="s">
        <v>7</v>
      </c>
      <c r="C468">
        <v>28.7</v>
      </c>
      <c r="D468">
        <v>1</v>
      </c>
      <c r="E468" t="s">
        <v>11</v>
      </c>
      <c r="F468" t="s">
        <v>9</v>
      </c>
      <c r="G468">
        <v>13224.692999999999</v>
      </c>
    </row>
    <row r="469" spans="1:7" x14ac:dyDescent="0.25">
      <c r="A469">
        <v>56</v>
      </c>
      <c r="B469" t="s">
        <v>7</v>
      </c>
      <c r="C469">
        <v>33.82</v>
      </c>
      <c r="D469">
        <v>2</v>
      </c>
      <c r="E469" t="s">
        <v>11</v>
      </c>
      <c r="F469" t="s">
        <v>13</v>
      </c>
      <c r="G469">
        <v>12643.3778</v>
      </c>
    </row>
    <row r="470" spans="1:7" x14ac:dyDescent="0.25">
      <c r="A470">
        <v>28</v>
      </c>
      <c r="B470" t="s">
        <v>7</v>
      </c>
      <c r="C470">
        <v>24.32</v>
      </c>
      <c r="D470">
        <v>1</v>
      </c>
      <c r="E470" t="s">
        <v>11</v>
      </c>
      <c r="F470" t="s">
        <v>14</v>
      </c>
      <c r="G470">
        <v>23288.928400000001</v>
      </c>
    </row>
    <row r="471" spans="1:7" x14ac:dyDescent="0.25">
      <c r="A471">
        <v>18</v>
      </c>
      <c r="B471" t="s">
        <v>7</v>
      </c>
      <c r="C471">
        <v>24.09</v>
      </c>
      <c r="D471">
        <v>1</v>
      </c>
      <c r="E471" t="s">
        <v>11</v>
      </c>
      <c r="F471" t="s">
        <v>12</v>
      </c>
      <c r="G471">
        <v>2201.0971</v>
      </c>
    </row>
    <row r="472" spans="1:7" x14ac:dyDescent="0.25">
      <c r="A472">
        <v>27</v>
      </c>
      <c r="B472" t="s">
        <v>10</v>
      </c>
      <c r="C472">
        <v>32.67</v>
      </c>
      <c r="D472">
        <v>0</v>
      </c>
      <c r="E472" t="s">
        <v>11</v>
      </c>
      <c r="F472" t="s">
        <v>12</v>
      </c>
      <c r="G472">
        <v>2497.0383000000002</v>
      </c>
    </row>
    <row r="473" spans="1:7" x14ac:dyDescent="0.25">
      <c r="A473">
        <v>18</v>
      </c>
      <c r="B473" t="s">
        <v>7</v>
      </c>
      <c r="C473">
        <v>30.114999999999998</v>
      </c>
      <c r="D473">
        <v>0</v>
      </c>
      <c r="E473" t="s">
        <v>11</v>
      </c>
      <c r="F473" t="s">
        <v>14</v>
      </c>
      <c r="G473">
        <v>2203.4718499999999</v>
      </c>
    </row>
    <row r="474" spans="1:7" x14ac:dyDescent="0.25">
      <c r="A474">
        <v>19</v>
      </c>
      <c r="B474" t="s">
        <v>7</v>
      </c>
      <c r="C474">
        <v>29.8</v>
      </c>
      <c r="D474">
        <v>0</v>
      </c>
      <c r="E474" t="s">
        <v>11</v>
      </c>
      <c r="F474" t="s">
        <v>9</v>
      </c>
      <c r="G474">
        <v>1744.4649999999999</v>
      </c>
    </row>
    <row r="475" spans="1:7" x14ac:dyDescent="0.25">
      <c r="A475">
        <v>47</v>
      </c>
      <c r="B475" t="s">
        <v>7</v>
      </c>
      <c r="C475">
        <v>33.344999999999999</v>
      </c>
      <c r="D475">
        <v>0</v>
      </c>
      <c r="E475" t="s">
        <v>11</v>
      </c>
      <c r="F475" t="s">
        <v>14</v>
      </c>
      <c r="G475">
        <v>20878.78443</v>
      </c>
    </row>
    <row r="476" spans="1:7" x14ac:dyDescent="0.25">
      <c r="A476">
        <v>54</v>
      </c>
      <c r="B476" t="s">
        <v>10</v>
      </c>
      <c r="C476">
        <v>25.1</v>
      </c>
      <c r="D476">
        <v>3</v>
      </c>
      <c r="E476" t="s">
        <v>8</v>
      </c>
      <c r="F476" t="s">
        <v>9</v>
      </c>
      <c r="G476">
        <v>25382.296999999999</v>
      </c>
    </row>
    <row r="477" spans="1:7" x14ac:dyDescent="0.25">
      <c r="A477">
        <v>61</v>
      </c>
      <c r="B477" t="s">
        <v>10</v>
      </c>
      <c r="C477">
        <v>28.31</v>
      </c>
      <c r="D477">
        <v>1</v>
      </c>
      <c r="E477" t="s">
        <v>8</v>
      </c>
      <c r="F477" t="s">
        <v>13</v>
      </c>
      <c r="G477">
        <v>28868.6639</v>
      </c>
    </row>
    <row r="478" spans="1:7" x14ac:dyDescent="0.25">
      <c r="A478">
        <v>24</v>
      </c>
      <c r="B478" t="s">
        <v>10</v>
      </c>
      <c r="C478">
        <v>28.5</v>
      </c>
      <c r="D478">
        <v>0</v>
      </c>
      <c r="E478" t="s">
        <v>8</v>
      </c>
      <c r="F478" t="s">
        <v>14</v>
      </c>
      <c r="G478">
        <v>35147.528480000001</v>
      </c>
    </row>
    <row r="479" spans="1:7" x14ac:dyDescent="0.25">
      <c r="A479">
        <v>25</v>
      </c>
      <c r="B479" t="s">
        <v>10</v>
      </c>
      <c r="C479">
        <v>35.625</v>
      </c>
      <c r="D479">
        <v>0</v>
      </c>
      <c r="E479" t="s">
        <v>11</v>
      </c>
      <c r="F479" t="s">
        <v>13</v>
      </c>
      <c r="G479">
        <v>2534.3937500000002</v>
      </c>
    </row>
    <row r="480" spans="1:7" x14ac:dyDescent="0.25">
      <c r="A480">
        <v>21</v>
      </c>
      <c r="B480" t="s">
        <v>10</v>
      </c>
      <c r="C480">
        <v>36.85</v>
      </c>
      <c r="D480">
        <v>0</v>
      </c>
      <c r="E480" t="s">
        <v>11</v>
      </c>
      <c r="F480" t="s">
        <v>12</v>
      </c>
      <c r="G480">
        <v>1534.3045</v>
      </c>
    </row>
    <row r="481" spans="1:7" x14ac:dyDescent="0.25">
      <c r="A481">
        <v>23</v>
      </c>
      <c r="B481" t="s">
        <v>10</v>
      </c>
      <c r="C481">
        <v>32.56</v>
      </c>
      <c r="D481">
        <v>0</v>
      </c>
      <c r="E481" t="s">
        <v>11</v>
      </c>
      <c r="F481" t="s">
        <v>12</v>
      </c>
      <c r="G481">
        <v>1824.2854</v>
      </c>
    </row>
    <row r="482" spans="1:7" x14ac:dyDescent="0.25">
      <c r="A482">
        <v>63</v>
      </c>
      <c r="B482" t="s">
        <v>10</v>
      </c>
      <c r="C482">
        <v>41.325000000000003</v>
      </c>
      <c r="D482">
        <v>3</v>
      </c>
      <c r="E482" t="s">
        <v>11</v>
      </c>
      <c r="F482" t="s">
        <v>13</v>
      </c>
      <c r="G482">
        <v>15555.188749999999</v>
      </c>
    </row>
    <row r="483" spans="1:7" x14ac:dyDescent="0.25">
      <c r="A483">
        <v>49</v>
      </c>
      <c r="B483" t="s">
        <v>10</v>
      </c>
      <c r="C483">
        <v>37.51</v>
      </c>
      <c r="D483">
        <v>2</v>
      </c>
      <c r="E483" t="s">
        <v>11</v>
      </c>
      <c r="F483" t="s">
        <v>12</v>
      </c>
      <c r="G483">
        <v>9304.7019</v>
      </c>
    </row>
    <row r="484" spans="1:7" x14ac:dyDescent="0.25">
      <c r="A484">
        <v>18</v>
      </c>
      <c r="B484" t="s">
        <v>7</v>
      </c>
      <c r="C484">
        <v>31.35</v>
      </c>
      <c r="D484">
        <v>0</v>
      </c>
      <c r="E484" t="s">
        <v>11</v>
      </c>
      <c r="F484" t="s">
        <v>12</v>
      </c>
      <c r="G484">
        <v>1622.1885</v>
      </c>
    </row>
    <row r="485" spans="1:7" x14ac:dyDescent="0.25">
      <c r="A485">
        <v>51</v>
      </c>
      <c r="B485" t="s">
        <v>7</v>
      </c>
      <c r="C485">
        <v>39.5</v>
      </c>
      <c r="D485">
        <v>1</v>
      </c>
      <c r="E485" t="s">
        <v>11</v>
      </c>
      <c r="F485" t="s">
        <v>9</v>
      </c>
      <c r="G485">
        <v>9880.0679999999993</v>
      </c>
    </row>
    <row r="486" spans="1:7" x14ac:dyDescent="0.25">
      <c r="A486">
        <v>48</v>
      </c>
      <c r="B486" t="s">
        <v>10</v>
      </c>
      <c r="C486">
        <v>34.299999999999997</v>
      </c>
      <c r="D486">
        <v>3</v>
      </c>
      <c r="E486" t="s">
        <v>11</v>
      </c>
      <c r="F486" t="s">
        <v>9</v>
      </c>
      <c r="G486">
        <v>9563.0290000000005</v>
      </c>
    </row>
    <row r="487" spans="1:7" x14ac:dyDescent="0.25">
      <c r="A487">
        <v>31</v>
      </c>
      <c r="B487" t="s">
        <v>7</v>
      </c>
      <c r="C487">
        <v>31.065000000000001</v>
      </c>
      <c r="D487">
        <v>0</v>
      </c>
      <c r="E487" t="s">
        <v>11</v>
      </c>
      <c r="F487" t="s">
        <v>14</v>
      </c>
      <c r="G487">
        <v>4347.0233500000004</v>
      </c>
    </row>
    <row r="488" spans="1:7" x14ac:dyDescent="0.25">
      <c r="A488">
        <v>54</v>
      </c>
      <c r="B488" t="s">
        <v>7</v>
      </c>
      <c r="C488">
        <v>21.47</v>
      </c>
      <c r="D488">
        <v>3</v>
      </c>
      <c r="E488" t="s">
        <v>11</v>
      </c>
      <c r="F488" t="s">
        <v>13</v>
      </c>
      <c r="G488">
        <v>12475.3513</v>
      </c>
    </row>
    <row r="489" spans="1:7" x14ac:dyDescent="0.25">
      <c r="A489">
        <v>19</v>
      </c>
      <c r="B489" t="s">
        <v>10</v>
      </c>
      <c r="C489">
        <v>28.7</v>
      </c>
      <c r="D489">
        <v>0</v>
      </c>
      <c r="E489" t="s">
        <v>11</v>
      </c>
      <c r="F489" t="s">
        <v>9</v>
      </c>
      <c r="G489">
        <v>1253.9359999999999</v>
      </c>
    </row>
    <row r="490" spans="1:7" x14ac:dyDescent="0.25">
      <c r="A490">
        <v>44</v>
      </c>
      <c r="B490" t="s">
        <v>7</v>
      </c>
      <c r="C490">
        <v>38.06</v>
      </c>
      <c r="D490">
        <v>0</v>
      </c>
      <c r="E490" t="s">
        <v>8</v>
      </c>
      <c r="F490" t="s">
        <v>12</v>
      </c>
      <c r="G490">
        <v>48885.135609999998</v>
      </c>
    </row>
    <row r="491" spans="1:7" x14ac:dyDescent="0.25">
      <c r="A491">
        <v>53</v>
      </c>
      <c r="B491" t="s">
        <v>10</v>
      </c>
      <c r="C491">
        <v>31.16</v>
      </c>
      <c r="D491">
        <v>1</v>
      </c>
      <c r="E491" t="s">
        <v>11</v>
      </c>
      <c r="F491" t="s">
        <v>13</v>
      </c>
      <c r="G491">
        <v>10461.9794</v>
      </c>
    </row>
    <row r="492" spans="1:7" x14ac:dyDescent="0.25">
      <c r="A492">
        <v>19</v>
      </c>
      <c r="B492" t="s">
        <v>7</v>
      </c>
      <c r="C492">
        <v>32.9</v>
      </c>
      <c r="D492">
        <v>0</v>
      </c>
      <c r="E492" t="s">
        <v>11</v>
      </c>
      <c r="F492" t="s">
        <v>9</v>
      </c>
      <c r="G492">
        <v>1748.7739999999999</v>
      </c>
    </row>
    <row r="493" spans="1:7" x14ac:dyDescent="0.25">
      <c r="A493">
        <v>61</v>
      </c>
      <c r="B493" t="s">
        <v>7</v>
      </c>
      <c r="C493">
        <v>25.08</v>
      </c>
      <c r="D493">
        <v>0</v>
      </c>
      <c r="E493" t="s">
        <v>11</v>
      </c>
      <c r="F493" t="s">
        <v>12</v>
      </c>
      <c r="G493">
        <v>24513.091260000001</v>
      </c>
    </row>
    <row r="494" spans="1:7" x14ac:dyDescent="0.25">
      <c r="A494">
        <v>18</v>
      </c>
      <c r="B494" t="s">
        <v>7</v>
      </c>
      <c r="C494">
        <v>25.08</v>
      </c>
      <c r="D494">
        <v>0</v>
      </c>
      <c r="E494" t="s">
        <v>11</v>
      </c>
      <c r="F494" t="s">
        <v>14</v>
      </c>
      <c r="G494">
        <v>2196.4731999999999</v>
      </c>
    </row>
    <row r="495" spans="1:7" x14ac:dyDescent="0.25">
      <c r="A495">
        <v>61</v>
      </c>
      <c r="B495" t="s">
        <v>10</v>
      </c>
      <c r="C495">
        <v>43.4</v>
      </c>
      <c r="D495">
        <v>0</v>
      </c>
      <c r="E495" t="s">
        <v>11</v>
      </c>
      <c r="F495" t="s">
        <v>9</v>
      </c>
      <c r="G495">
        <v>12574.049000000001</v>
      </c>
    </row>
    <row r="496" spans="1:7" x14ac:dyDescent="0.25">
      <c r="A496">
        <v>21</v>
      </c>
      <c r="B496" t="s">
        <v>10</v>
      </c>
      <c r="C496">
        <v>25.7</v>
      </c>
      <c r="D496">
        <v>4</v>
      </c>
      <c r="E496" t="s">
        <v>8</v>
      </c>
      <c r="F496" t="s">
        <v>9</v>
      </c>
      <c r="G496">
        <v>17942.106</v>
      </c>
    </row>
    <row r="497" spans="1:7" x14ac:dyDescent="0.25">
      <c r="A497">
        <v>20</v>
      </c>
      <c r="B497" t="s">
        <v>10</v>
      </c>
      <c r="C497">
        <v>27.93</v>
      </c>
      <c r="D497">
        <v>0</v>
      </c>
      <c r="E497" t="s">
        <v>11</v>
      </c>
      <c r="F497" t="s">
        <v>14</v>
      </c>
      <c r="G497">
        <v>1967.0227</v>
      </c>
    </row>
    <row r="498" spans="1:7" x14ac:dyDescent="0.25">
      <c r="A498">
        <v>31</v>
      </c>
      <c r="B498" t="s">
        <v>7</v>
      </c>
      <c r="C498">
        <v>23.6</v>
      </c>
      <c r="D498">
        <v>2</v>
      </c>
      <c r="E498" t="s">
        <v>11</v>
      </c>
      <c r="F498" t="s">
        <v>9</v>
      </c>
      <c r="G498">
        <v>4931.6469999999999</v>
      </c>
    </row>
    <row r="499" spans="1:7" x14ac:dyDescent="0.25">
      <c r="A499">
        <v>45</v>
      </c>
      <c r="B499" t="s">
        <v>10</v>
      </c>
      <c r="C499">
        <v>28.7</v>
      </c>
      <c r="D499">
        <v>2</v>
      </c>
      <c r="E499" t="s">
        <v>11</v>
      </c>
      <c r="F499" t="s">
        <v>9</v>
      </c>
      <c r="G499">
        <v>8027.9679999999998</v>
      </c>
    </row>
    <row r="500" spans="1:7" x14ac:dyDescent="0.25">
      <c r="A500">
        <v>44</v>
      </c>
      <c r="B500" t="s">
        <v>7</v>
      </c>
      <c r="C500">
        <v>23.98</v>
      </c>
      <c r="D500">
        <v>2</v>
      </c>
      <c r="E500" t="s">
        <v>11</v>
      </c>
      <c r="F500" t="s">
        <v>12</v>
      </c>
      <c r="G500">
        <v>8211.1002000000008</v>
      </c>
    </row>
    <row r="501" spans="1:7" x14ac:dyDescent="0.25">
      <c r="A501">
        <v>62</v>
      </c>
      <c r="B501" t="s">
        <v>7</v>
      </c>
      <c r="C501">
        <v>39.200000000000003</v>
      </c>
      <c r="D501">
        <v>0</v>
      </c>
      <c r="E501" t="s">
        <v>11</v>
      </c>
      <c r="F501" t="s">
        <v>9</v>
      </c>
      <c r="G501">
        <v>13470.86</v>
      </c>
    </row>
    <row r="502" spans="1:7" x14ac:dyDescent="0.25">
      <c r="A502">
        <v>29</v>
      </c>
      <c r="B502" t="s">
        <v>10</v>
      </c>
      <c r="C502">
        <v>34.4</v>
      </c>
      <c r="D502">
        <v>0</v>
      </c>
      <c r="E502" t="s">
        <v>8</v>
      </c>
      <c r="F502" t="s">
        <v>9</v>
      </c>
      <c r="G502">
        <v>36197.699000000001</v>
      </c>
    </row>
    <row r="503" spans="1:7" x14ac:dyDescent="0.25">
      <c r="A503">
        <v>43</v>
      </c>
      <c r="B503" t="s">
        <v>10</v>
      </c>
      <c r="C503">
        <v>26.03</v>
      </c>
      <c r="D503">
        <v>0</v>
      </c>
      <c r="E503" t="s">
        <v>11</v>
      </c>
      <c r="F503" t="s">
        <v>14</v>
      </c>
      <c r="G503">
        <v>6837.3687</v>
      </c>
    </row>
    <row r="504" spans="1:7" x14ac:dyDescent="0.25">
      <c r="A504">
        <v>51</v>
      </c>
      <c r="B504" t="s">
        <v>10</v>
      </c>
      <c r="C504">
        <v>23.21</v>
      </c>
      <c r="D504">
        <v>1</v>
      </c>
      <c r="E504" t="s">
        <v>8</v>
      </c>
      <c r="F504" t="s">
        <v>12</v>
      </c>
      <c r="G504">
        <v>22218.1149</v>
      </c>
    </row>
    <row r="505" spans="1:7" x14ac:dyDescent="0.25">
      <c r="A505">
        <v>19</v>
      </c>
      <c r="B505" t="s">
        <v>10</v>
      </c>
      <c r="C505">
        <v>30.25</v>
      </c>
      <c r="D505">
        <v>0</v>
      </c>
      <c r="E505" t="s">
        <v>8</v>
      </c>
      <c r="F505" t="s">
        <v>12</v>
      </c>
      <c r="G505">
        <v>32548.340499999998</v>
      </c>
    </row>
    <row r="506" spans="1:7" x14ac:dyDescent="0.25">
      <c r="A506">
        <v>38</v>
      </c>
      <c r="B506" t="s">
        <v>7</v>
      </c>
      <c r="C506">
        <v>28.93</v>
      </c>
      <c r="D506">
        <v>1</v>
      </c>
      <c r="E506" t="s">
        <v>11</v>
      </c>
      <c r="F506" t="s">
        <v>12</v>
      </c>
      <c r="G506">
        <v>5974.3846999999996</v>
      </c>
    </row>
    <row r="507" spans="1:7" x14ac:dyDescent="0.25">
      <c r="A507">
        <v>37</v>
      </c>
      <c r="B507" t="s">
        <v>10</v>
      </c>
      <c r="C507">
        <v>30.875</v>
      </c>
      <c r="D507">
        <v>3</v>
      </c>
      <c r="E507" t="s">
        <v>11</v>
      </c>
      <c r="F507" t="s">
        <v>13</v>
      </c>
      <c r="G507">
        <v>6796.8632500000003</v>
      </c>
    </row>
    <row r="508" spans="1:7" x14ac:dyDescent="0.25">
      <c r="A508">
        <v>22</v>
      </c>
      <c r="B508" t="s">
        <v>10</v>
      </c>
      <c r="C508">
        <v>31.35</v>
      </c>
      <c r="D508">
        <v>1</v>
      </c>
      <c r="E508" t="s">
        <v>11</v>
      </c>
      <c r="F508" t="s">
        <v>13</v>
      </c>
      <c r="G508">
        <v>2643.2685000000001</v>
      </c>
    </row>
    <row r="509" spans="1:7" x14ac:dyDescent="0.25">
      <c r="A509">
        <v>21</v>
      </c>
      <c r="B509" t="s">
        <v>10</v>
      </c>
      <c r="C509">
        <v>23.75</v>
      </c>
      <c r="D509">
        <v>2</v>
      </c>
      <c r="E509" t="s">
        <v>11</v>
      </c>
      <c r="F509" t="s">
        <v>13</v>
      </c>
      <c r="G509">
        <v>3077.0954999999999</v>
      </c>
    </row>
    <row r="510" spans="1:7" x14ac:dyDescent="0.25">
      <c r="A510">
        <v>24</v>
      </c>
      <c r="B510" t="s">
        <v>7</v>
      </c>
      <c r="C510">
        <v>25.27</v>
      </c>
      <c r="D510">
        <v>0</v>
      </c>
      <c r="E510" t="s">
        <v>11</v>
      </c>
      <c r="F510" t="s">
        <v>14</v>
      </c>
      <c r="G510">
        <v>3044.2132999999999</v>
      </c>
    </row>
    <row r="511" spans="1:7" x14ac:dyDescent="0.25">
      <c r="A511">
        <v>57</v>
      </c>
      <c r="B511" t="s">
        <v>7</v>
      </c>
      <c r="C511">
        <v>28.7</v>
      </c>
      <c r="D511">
        <v>0</v>
      </c>
      <c r="E511" t="s">
        <v>11</v>
      </c>
      <c r="F511" t="s">
        <v>9</v>
      </c>
      <c r="G511">
        <v>11455.28</v>
      </c>
    </row>
    <row r="512" spans="1:7" x14ac:dyDescent="0.25">
      <c r="A512">
        <v>56</v>
      </c>
      <c r="B512" t="s">
        <v>10</v>
      </c>
      <c r="C512">
        <v>32.11</v>
      </c>
      <c r="D512">
        <v>1</v>
      </c>
      <c r="E512" t="s">
        <v>11</v>
      </c>
      <c r="F512" t="s">
        <v>14</v>
      </c>
      <c r="G512">
        <v>11763.000899999999</v>
      </c>
    </row>
    <row r="513" spans="1:7" x14ac:dyDescent="0.25">
      <c r="A513">
        <v>27</v>
      </c>
      <c r="B513" t="s">
        <v>10</v>
      </c>
      <c r="C513">
        <v>33.659999999999997</v>
      </c>
      <c r="D513">
        <v>0</v>
      </c>
      <c r="E513" t="s">
        <v>11</v>
      </c>
      <c r="F513" t="s">
        <v>12</v>
      </c>
      <c r="G513">
        <v>2498.4144000000001</v>
      </c>
    </row>
    <row r="514" spans="1:7" x14ac:dyDescent="0.25">
      <c r="A514">
        <v>51</v>
      </c>
      <c r="B514" t="s">
        <v>10</v>
      </c>
      <c r="C514">
        <v>22.42</v>
      </c>
      <c r="D514">
        <v>0</v>
      </c>
      <c r="E514" t="s">
        <v>11</v>
      </c>
      <c r="F514" t="s">
        <v>14</v>
      </c>
      <c r="G514">
        <v>9361.3268000000007</v>
      </c>
    </row>
    <row r="515" spans="1:7" x14ac:dyDescent="0.25">
      <c r="A515">
        <v>19</v>
      </c>
      <c r="B515" t="s">
        <v>10</v>
      </c>
      <c r="C515">
        <v>30.4</v>
      </c>
      <c r="D515">
        <v>0</v>
      </c>
      <c r="E515" t="s">
        <v>11</v>
      </c>
      <c r="F515" t="s">
        <v>9</v>
      </c>
      <c r="G515">
        <v>1256.299</v>
      </c>
    </row>
    <row r="516" spans="1:7" x14ac:dyDescent="0.25">
      <c r="A516">
        <v>39</v>
      </c>
      <c r="B516" t="s">
        <v>10</v>
      </c>
      <c r="C516">
        <v>28.3</v>
      </c>
      <c r="D516">
        <v>1</v>
      </c>
      <c r="E516" t="s">
        <v>8</v>
      </c>
      <c r="F516" t="s">
        <v>9</v>
      </c>
      <c r="G516">
        <v>21082.16</v>
      </c>
    </row>
    <row r="517" spans="1:7" x14ac:dyDescent="0.25">
      <c r="A517">
        <v>58</v>
      </c>
      <c r="B517" t="s">
        <v>10</v>
      </c>
      <c r="C517">
        <v>35.700000000000003</v>
      </c>
      <c r="D517">
        <v>0</v>
      </c>
      <c r="E517" t="s">
        <v>11</v>
      </c>
      <c r="F517" t="s">
        <v>9</v>
      </c>
      <c r="G517">
        <v>11362.754999999999</v>
      </c>
    </row>
    <row r="518" spans="1:7" x14ac:dyDescent="0.25">
      <c r="A518">
        <v>20</v>
      </c>
      <c r="B518" t="s">
        <v>10</v>
      </c>
      <c r="C518">
        <v>35.31</v>
      </c>
      <c r="D518">
        <v>1</v>
      </c>
      <c r="E518" t="s">
        <v>11</v>
      </c>
      <c r="F518" t="s">
        <v>12</v>
      </c>
      <c r="G518">
        <v>27724.28875</v>
      </c>
    </row>
    <row r="519" spans="1:7" x14ac:dyDescent="0.25">
      <c r="A519">
        <v>45</v>
      </c>
      <c r="B519" t="s">
        <v>10</v>
      </c>
      <c r="C519">
        <v>30.495000000000001</v>
      </c>
      <c r="D519">
        <v>2</v>
      </c>
      <c r="E519" t="s">
        <v>11</v>
      </c>
      <c r="F519" t="s">
        <v>13</v>
      </c>
      <c r="G519">
        <v>8413.4630500000003</v>
      </c>
    </row>
    <row r="520" spans="1:7" x14ac:dyDescent="0.25">
      <c r="A520">
        <v>35</v>
      </c>
      <c r="B520" t="s">
        <v>7</v>
      </c>
      <c r="C520">
        <v>31</v>
      </c>
      <c r="D520">
        <v>1</v>
      </c>
      <c r="E520" t="s">
        <v>11</v>
      </c>
      <c r="F520" t="s">
        <v>9</v>
      </c>
      <c r="G520">
        <v>5240.7650000000003</v>
      </c>
    </row>
    <row r="521" spans="1:7" x14ac:dyDescent="0.25">
      <c r="A521">
        <v>31</v>
      </c>
      <c r="B521" t="s">
        <v>10</v>
      </c>
      <c r="C521">
        <v>30.875</v>
      </c>
      <c r="D521">
        <v>0</v>
      </c>
      <c r="E521" t="s">
        <v>11</v>
      </c>
      <c r="F521" t="s">
        <v>14</v>
      </c>
      <c r="G521">
        <v>3857.7592500000001</v>
      </c>
    </row>
    <row r="522" spans="1:7" x14ac:dyDescent="0.25">
      <c r="A522">
        <v>50</v>
      </c>
      <c r="B522" t="s">
        <v>7</v>
      </c>
      <c r="C522">
        <v>27.36</v>
      </c>
      <c r="D522">
        <v>0</v>
      </c>
      <c r="E522" t="s">
        <v>11</v>
      </c>
      <c r="F522" t="s">
        <v>14</v>
      </c>
      <c r="G522">
        <v>25656.575260000001</v>
      </c>
    </row>
    <row r="523" spans="1:7" x14ac:dyDescent="0.25">
      <c r="A523">
        <v>32</v>
      </c>
      <c r="B523" t="s">
        <v>7</v>
      </c>
      <c r="C523">
        <v>44.22</v>
      </c>
      <c r="D523">
        <v>0</v>
      </c>
      <c r="E523" t="s">
        <v>11</v>
      </c>
      <c r="F523" t="s">
        <v>12</v>
      </c>
      <c r="G523">
        <v>3994.1777999999999</v>
      </c>
    </row>
    <row r="524" spans="1:7" x14ac:dyDescent="0.25">
      <c r="A524">
        <v>51</v>
      </c>
      <c r="B524" t="s">
        <v>7</v>
      </c>
      <c r="C524">
        <v>33.914999999999999</v>
      </c>
      <c r="D524">
        <v>0</v>
      </c>
      <c r="E524" t="s">
        <v>11</v>
      </c>
      <c r="F524" t="s">
        <v>14</v>
      </c>
      <c r="G524">
        <v>9866.3048500000004</v>
      </c>
    </row>
    <row r="525" spans="1:7" x14ac:dyDescent="0.25">
      <c r="A525">
        <v>38</v>
      </c>
      <c r="B525" t="s">
        <v>7</v>
      </c>
      <c r="C525">
        <v>37.729999999999997</v>
      </c>
      <c r="D525">
        <v>0</v>
      </c>
      <c r="E525" t="s">
        <v>11</v>
      </c>
      <c r="F525" t="s">
        <v>12</v>
      </c>
      <c r="G525">
        <v>5397.6166999999996</v>
      </c>
    </row>
    <row r="526" spans="1:7" x14ac:dyDescent="0.25">
      <c r="A526">
        <v>42</v>
      </c>
      <c r="B526" t="s">
        <v>10</v>
      </c>
      <c r="C526">
        <v>26.07</v>
      </c>
      <c r="D526">
        <v>1</v>
      </c>
      <c r="E526" t="s">
        <v>8</v>
      </c>
      <c r="F526" t="s">
        <v>12</v>
      </c>
      <c r="G526">
        <v>38245.593269999998</v>
      </c>
    </row>
    <row r="527" spans="1:7" x14ac:dyDescent="0.25">
      <c r="A527">
        <v>18</v>
      </c>
      <c r="B527" t="s">
        <v>7</v>
      </c>
      <c r="C527">
        <v>33.880000000000003</v>
      </c>
      <c r="D527">
        <v>0</v>
      </c>
      <c r="E527" t="s">
        <v>11</v>
      </c>
      <c r="F527" t="s">
        <v>12</v>
      </c>
      <c r="G527">
        <v>11482.63485</v>
      </c>
    </row>
    <row r="528" spans="1:7" x14ac:dyDescent="0.25">
      <c r="A528">
        <v>19</v>
      </c>
      <c r="B528" t="s">
        <v>7</v>
      </c>
      <c r="C528">
        <v>30.59</v>
      </c>
      <c r="D528">
        <v>2</v>
      </c>
      <c r="E528" t="s">
        <v>11</v>
      </c>
      <c r="F528" t="s">
        <v>13</v>
      </c>
      <c r="G528">
        <v>24059.680189999999</v>
      </c>
    </row>
    <row r="529" spans="1:7" x14ac:dyDescent="0.25">
      <c r="A529">
        <v>51</v>
      </c>
      <c r="B529" t="s">
        <v>7</v>
      </c>
      <c r="C529">
        <v>25.8</v>
      </c>
      <c r="D529">
        <v>1</v>
      </c>
      <c r="E529" t="s">
        <v>11</v>
      </c>
      <c r="F529" t="s">
        <v>9</v>
      </c>
      <c r="G529">
        <v>9861.0249999999996</v>
      </c>
    </row>
    <row r="530" spans="1:7" x14ac:dyDescent="0.25">
      <c r="A530">
        <v>46</v>
      </c>
      <c r="B530" t="s">
        <v>10</v>
      </c>
      <c r="C530">
        <v>39.424999999999997</v>
      </c>
      <c r="D530">
        <v>1</v>
      </c>
      <c r="E530" t="s">
        <v>11</v>
      </c>
      <c r="F530" t="s">
        <v>14</v>
      </c>
      <c r="G530">
        <v>8342.9087500000005</v>
      </c>
    </row>
    <row r="531" spans="1:7" x14ac:dyDescent="0.25">
      <c r="A531">
        <v>18</v>
      </c>
      <c r="B531" t="s">
        <v>10</v>
      </c>
      <c r="C531">
        <v>25.46</v>
      </c>
      <c r="D531">
        <v>0</v>
      </c>
      <c r="E531" t="s">
        <v>11</v>
      </c>
      <c r="F531" t="s">
        <v>14</v>
      </c>
      <c r="G531">
        <v>1708.0014000000001</v>
      </c>
    </row>
    <row r="532" spans="1:7" x14ac:dyDescent="0.25">
      <c r="A532">
        <v>57</v>
      </c>
      <c r="B532" t="s">
        <v>10</v>
      </c>
      <c r="C532">
        <v>42.13</v>
      </c>
      <c r="D532">
        <v>1</v>
      </c>
      <c r="E532" t="s">
        <v>8</v>
      </c>
      <c r="F532" t="s">
        <v>12</v>
      </c>
      <c r="G532">
        <v>48675.517699999997</v>
      </c>
    </row>
    <row r="533" spans="1:7" x14ac:dyDescent="0.25">
      <c r="A533">
        <v>62</v>
      </c>
      <c r="B533" t="s">
        <v>7</v>
      </c>
      <c r="C533">
        <v>31.73</v>
      </c>
      <c r="D533">
        <v>0</v>
      </c>
      <c r="E533" t="s">
        <v>11</v>
      </c>
      <c r="F533" t="s">
        <v>14</v>
      </c>
      <c r="G533">
        <v>14043.476699999999</v>
      </c>
    </row>
    <row r="534" spans="1:7" x14ac:dyDescent="0.25">
      <c r="A534">
        <v>59</v>
      </c>
      <c r="B534" t="s">
        <v>10</v>
      </c>
      <c r="C534">
        <v>29.7</v>
      </c>
      <c r="D534">
        <v>2</v>
      </c>
      <c r="E534" t="s">
        <v>11</v>
      </c>
      <c r="F534" t="s">
        <v>12</v>
      </c>
      <c r="G534">
        <v>12925.886</v>
      </c>
    </row>
    <row r="535" spans="1:7" x14ac:dyDescent="0.25">
      <c r="A535">
        <v>37</v>
      </c>
      <c r="B535" t="s">
        <v>10</v>
      </c>
      <c r="C535">
        <v>36.19</v>
      </c>
      <c r="D535">
        <v>0</v>
      </c>
      <c r="E535" t="s">
        <v>11</v>
      </c>
      <c r="F535" t="s">
        <v>12</v>
      </c>
      <c r="G535">
        <v>19214.705529999999</v>
      </c>
    </row>
    <row r="536" spans="1:7" x14ac:dyDescent="0.25">
      <c r="A536">
        <v>64</v>
      </c>
      <c r="B536" t="s">
        <v>10</v>
      </c>
      <c r="C536">
        <v>40.479999999999997</v>
      </c>
      <c r="D536">
        <v>0</v>
      </c>
      <c r="E536" t="s">
        <v>11</v>
      </c>
      <c r="F536" t="s">
        <v>12</v>
      </c>
      <c r="G536">
        <v>13831.1152</v>
      </c>
    </row>
    <row r="537" spans="1:7" x14ac:dyDescent="0.25">
      <c r="A537">
        <v>38</v>
      </c>
      <c r="B537" t="s">
        <v>10</v>
      </c>
      <c r="C537">
        <v>28.024999999999999</v>
      </c>
      <c r="D537">
        <v>1</v>
      </c>
      <c r="E537" t="s">
        <v>11</v>
      </c>
      <c r="F537" t="s">
        <v>14</v>
      </c>
      <c r="G537">
        <v>6067.1267500000004</v>
      </c>
    </row>
    <row r="538" spans="1:7" x14ac:dyDescent="0.25">
      <c r="A538">
        <v>33</v>
      </c>
      <c r="B538" t="s">
        <v>7</v>
      </c>
      <c r="C538">
        <v>38.9</v>
      </c>
      <c r="D538">
        <v>3</v>
      </c>
      <c r="E538" t="s">
        <v>11</v>
      </c>
      <c r="F538" t="s">
        <v>9</v>
      </c>
      <c r="G538">
        <v>5972.3779999999997</v>
      </c>
    </row>
    <row r="539" spans="1:7" x14ac:dyDescent="0.25">
      <c r="A539">
        <v>46</v>
      </c>
      <c r="B539" t="s">
        <v>7</v>
      </c>
      <c r="C539">
        <v>30.2</v>
      </c>
      <c r="D539">
        <v>2</v>
      </c>
      <c r="E539" t="s">
        <v>11</v>
      </c>
      <c r="F539" t="s">
        <v>9</v>
      </c>
      <c r="G539">
        <v>8825.0859999999993</v>
      </c>
    </row>
    <row r="540" spans="1:7" x14ac:dyDescent="0.25">
      <c r="A540">
        <v>46</v>
      </c>
      <c r="B540" t="s">
        <v>7</v>
      </c>
      <c r="C540">
        <v>28.05</v>
      </c>
      <c r="D540">
        <v>1</v>
      </c>
      <c r="E540" t="s">
        <v>11</v>
      </c>
      <c r="F540" t="s">
        <v>12</v>
      </c>
      <c r="G540">
        <v>8233.0974999999999</v>
      </c>
    </row>
    <row r="541" spans="1:7" x14ac:dyDescent="0.25">
      <c r="A541">
        <v>53</v>
      </c>
      <c r="B541" t="s">
        <v>10</v>
      </c>
      <c r="C541">
        <v>31.35</v>
      </c>
      <c r="D541">
        <v>0</v>
      </c>
      <c r="E541" t="s">
        <v>11</v>
      </c>
      <c r="F541" t="s">
        <v>12</v>
      </c>
      <c r="G541">
        <v>27346.04207</v>
      </c>
    </row>
    <row r="542" spans="1:7" x14ac:dyDescent="0.25">
      <c r="A542">
        <v>34</v>
      </c>
      <c r="B542" t="s">
        <v>7</v>
      </c>
      <c r="C542">
        <v>38</v>
      </c>
      <c r="D542">
        <v>3</v>
      </c>
      <c r="E542" t="s">
        <v>11</v>
      </c>
      <c r="F542" t="s">
        <v>9</v>
      </c>
      <c r="G542">
        <v>6196.4480000000003</v>
      </c>
    </row>
    <row r="543" spans="1:7" x14ac:dyDescent="0.25">
      <c r="A543">
        <v>20</v>
      </c>
      <c r="B543" t="s">
        <v>7</v>
      </c>
      <c r="C543">
        <v>31.79</v>
      </c>
      <c r="D543">
        <v>2</v>
      </c>
      <c r="E543" t="s">
        <v>11</v>
      </c>
      <c r="F543" t="s">
        <v>12</v>
      </c>
      <c r="G543">
        <v>3056.3881000000001</v>
      </c>
    </row>
    <row r="544" spans="1:7" x14ac:dyDescent="0.25">
      <c r="A544">
        <v>63</v>
      </c>
      <c r="B544" t="s">
        <v>7</v>
      </c>
      <c r="C544">
        <v>36.299999999999997</v>
      </c>
      <c r="D544">
        <v>0</v>
      </c>
      <c r="E544" t="s">
        <v>11</v>
      </c>
      <c r="F544" t="s">
        <v>12</v>
      </c>
      <c r="G544">
        <v>13887.204</v>
      </c>
    </row>
    <row r="545" spans="1:7" x14ac:dyDescent="0.25">
      <c r="A545">
        <v>54</v>
      </c>
      <c r="B545" t="s">
        <v>7</v>
      </c>
      <c r="C545">
        <v>47.41</v>
      </c>
      <c r="D545">
        <v>0</v>
      </c>
      <c r="E545" t="s">
        <v>8</v>
      </c>
      <c r="F545" t="s">
        <v>12</v>
      </c>
      <c r="G545">
        <v>63770.428010000003</v>
      </c>
    </row>
    <row r="546" spans="1:7" x14ac:dyDescent="0.25">
      <c r="A546">
        <v>54</v>
      </c>
      <c r="B546" t="s">
        <v>10</v>
      </c>
      <c r="C546">
        <v>30.21</v>
      </c>
      <c r="D546">
        <v>0</v>
      </c>
      <c r="E546" t="s">
        <v>11</v>
      </c>
      <c r="F546" t="s">
        <v>13</v>
      </c>
      <c r="G546">
        <v>10231.499900000001</v>
      </c>
    </row>
    <row r="547" spans="1:7" x14ac:dyDescent="0.25">
      <c r="A547">
        <v>49</v>
      </c>
      <c r="B547" t="s">
        <v>10</v>
      </c>
      <c r="C547">
        <v>25.84</v>
      </c>
      <c r="D547">
        <v>2</v>
      </c>
      <c r="E547" t="s">
        <v>8</v>
      </c>
      <c r="F547" t="s">
        <v>13</v>
      </c>
      <c r="G547">
        <v>23807.240600000001</v>
      </c>
    </row>
    <row r="548" spans="1:7" x14ac:dyDescent="0.25">
      <c r="A548">
        <v>28</v>
      </c>
      <c r="B548" t="s">
        <v>10</v>
      </c>
      <c r="C548">
        <v>35.435000000000002</v>
      </c>
      <c r="D548">
        <v>0</v>
      </c>
      <c r="E548" t="s">
        <v>11</v>
      </c>
      <c r="F548" t="s">
        <v>14</v>
      </c>
      <c r="G548">
        <v>3268.84665</v>
      </c>
    </row>
    <row r="549" spans="1:7" x14ac:dyDescent="0.25">
      <c r="A549">
        <v>54</v>
      </c>
      <c r="B549" t="s">
        <v>7</v>
      </c>
      <c r="C549">
        <v>46.7</v>
      </c>
      <c r="D549">
        <v>2</v>
      </c>
      <c r="E549" t="s">
        <v>11</v>
      </c>
      <c r="F549" t="s">
        <v>9</v>
      </c>
      <c r="G549">
        <v>11538.421</v>
      </c>
    </row>
    <row r="550" spans="1:7" x14ac:dyDescent="0.25">
      <c r="A550">
        <v>25</v>
      </c>
      <c r="B550" t="s">
        <v>7</v>
      </c>
      <c r="C550">
        <v>28.594999999999999</v>
      </c>
      <c r="D550">
        <v>0</v>
      </c>
      <c r="E550" t="s">
        <v>11</v>
      </c>
      <c r="F550" t="s">
        <v>14</v>
      </c>
      <c r="G550">
        <v>3213.6220499999999</v>
      </c>
    </row>
    <row r="551" spans="1:7" x14ac:dyDescent="0.25">
      <c r="A551">
        <v>43</v>
      </c>
      <c r="B551" t="s">
        <v>7</v>
      </c>
      <c r="C551">
        <v>46.2</v>
      </c>
      <c r="D551">
        <v>0</v>
      </c>
      <c r="E551" t="s">
        <v>8</v>
      </c>
      <c r="F551" t="s">
        <v>12</v>
      </c>
      <c r="G551">
        <v>45863.205000000002</v>
      </c>
    </row>
    <row r="552" spans="1:7" x14ac:dyDescent="0.25">
      <c r="A552">
        <v>63</v>
      </c>
      <c r="B552" t="s">
        <v>10</v>
      </c>
      <c r="C552">
        <v>30.8</v>
      </c>
      <c r="D552">
        <v>0</v>
      </c>
      <c r="E552" t="s">
        <v>11</v>
      </c>
      <c r="F552" t="s">
        <v>9</v>
      </c>
      <c r="G552">
        <v>13390.558999999999</v>
      </c>
    </row>
    <row r="553" spans="1:7" x14ac:dyDescent="0.25">
      <c r="A553">
        <v>32</v>
      </c>
      <c r="B553" t="s">
        <v>7</v>
      </c>
      <c r="C553">
        <v>28.93</v>
      </c>
      <c r="D553">
        <v>0</v>
      </c>
      <c r="E553" t="s">
        <v>11</v>
      </c>
      <c r="F553" t="s">
        <v>12</v>
      </c>
      <c r="G553">
        <v>3972.9247</v>
      </c>
    </row>
    <row r="554" spans="1:7" x14ac:dyDescent="0.25">
      <c r="A554">
        <v>62</v>
      </c>
      <c r="B554" t="s">
        <v>10</v>
      </c>
      <c r="C554">
        <v>21.4</v>
      </c>
      <c r="D554">
        <v>0</v>
      </c>
      <c r="E554" t="s">
        <v>11</v>
      </c>
      <c r="F554" t="s">
        <v>9</v>
      </c>
      <c r="G554">
        <v>12957.118</v>
      </c>
    </row>
    <row r="555" spans="1:7" x14ac:dyDescent="0.25">
      <c r="A555">
        <v>52</v>
      </c>
      <c r="B555" t="s">
        <v>7</v>
      </c>
      <c r="C555">
        <v>31.73</v>
      </c>
      <c r="D555">
        <v>2</v>
      </c>
      <c r="E555" t="s">
        <v>11</v>
      </c>
      <c r="F555" t="s">
        <v>13</v>
      </c>
      <c r="G555">
        <v>11187.6567</v>
      </c>
    </row>
    <row r="556" spans="1:7" x14ac:dyDescent="0.25">
      <c r="A556">
        <v>25</v>
      </c>
      <c r="B556" t="s">
        <v>7</v>
      </c>
      <c r="C556">
        <v>41.325000000000003</v>
      </c>
      <c r="D556">
        <v>0</v>
      </c>
      <c r="E556" t="s">
        <v>11</v>
      </c>
      <c r="F556" t="s">
        <v>14</v>
      </c>
      <c r="G556">
        <v>17878.900679999999</v>
      </c>
    </row>
    <row r="557" spans="1:7" x14ac:dyDescent="0.25">
      <c r="A557">
        <v>28</v>
      </c>
      <c r="B557" t="s">
        <v>10</v>
      </c>
      <c r="C557">
        <v>23.8</v>
      </c>
      <c r="D557">
        <v>2</v>
      </c>
      <c r="E557" t="s">
        <v>11</v>
      </c>
      <c r="F557" t="s">
        <v>9</v>
      </c>
      <c r="G557">
        <v>3847.674</v>
      </c>
    </row>
    <row r="558" spans="1:7" x14ac:dyDescent="0.25">
      <c r="A558">
        <v>46</v>
      </c>
      <c r="B558" t="s">
        <v>10</v>
      </c>
      <c r="C558">
        <v>33.44</v>
      </c>
      <c r="D558">
        <v>1</v>
      </c>
      <c r="E558" t="s">
        <v>11</v>
      </c>
      <c r="F558" t="s">
        <v>14</v>
      </c>
      <c r="G558">
        <v>8334.5895999999993</v>
      </c>
    </row>
    <row r="559" spans="1:7" x14ac:dyDescent="0.25">
      <c r="A559">
        <v>34</v>
      </c>
      <c r="B559" t="s">
        <v>10</v>
      </c>
      <c r="C559">
        <v>34.21</v>
      </c>
      <c r="D559">
        <v>0</v>
      </c>
      <c r="E559" t="s">
        <v>11</v>
      </c>
      <c r="F559" t="s">
        <v>12</v>
      </c>
      <c r="G559">
        <v>3935.1799000000001</v>
      </c>
    </row>
    <row r="560" spans="1:7" x14ac:dyDescent="0.25">
      <c r="A560">
        <v>35</v>
      </c>
      <c r="B560" t="s">
        <v>7</v>
      </c>
      <c r="C560">
        <v>34.104999999999997</v>
      </c>
      <c r="D560">
        <v>3</v>
      </c>
      <c r="E560" t="s">
        <v>8</v>
      </c>
      <c r="F560" t="s">
        <v>13</v>
      </c>
      <c r="G560">
        <v>39983.425949999997</v>
      </c>
    </row>
    <row r="561" spans="1:7" x14ac:dyDescent="0.25">
      <c r="A561">
        <v>19</v>
      </c>
      <c r="B561" t="s">
        <v>10</v>
      </c>
      <c r="C561">
        <v>35.53</v>
      </c>
      <c r="D561">
        <v>0</v>
      </c>
      <c r="E561" t="s">
        <v>11</v>
      </c>
      <c r="F561" t="s">
        <v>13</v>
      </c>
      <c r="G561">
        <v>1646.4296999999999</v>
      </c>
    </row>
    <row r="562" spans="1:7" x14ac:dyDescent="0.25">
      <c r="A562">
        <v>46</v>
      </c>
      <c r="B562" t="s">
        <v>7</v>
      </c>
      <c r="C562">
        <v>19.95</v>
      </c>
      <c r="D562">
        <v>2</v>
      </c>
      <c r="E562" t="s">
        <v>11</v>
      </c>
      <c r="F562" t="s">
        <v>13</v>
      </c>
      <c r="G562">
        <v>9193.8384999999998</v>
      </c>
    </row>
    <row r="563" spans="1:7" x14ac:dyDescent="0.25">
      <c r="A563">
        <v>54</v>
      </c>
      <c r="B563" t="s">
        <v>7</v>
      </c>
      <c r="C563">
        <v>32.68</v>
      </c>
      <c r="D563">
        <v>0</v>
      </c>
      <c r="E563" t="s">
        <v>11</v>
      </c>
      <c r="F563" t="s">
        <v>14</v>
      </c>
      <c r="G563">
        <v>10923.933199999999</v>
      </c>
    </row>
    <row r="564" spans="1:7" x14ac:dyDescent="0.25">
      <c r="A564">
        <v>27</v>
      </c>
      <c r="B564" t="s">
        <v>10</v>
      </c>
      <c r="C564">
        <v>30.5</v>
      </c>
      <c r="D564">
        <v>0</v>
      </c>
      <c r="E564" t="s">
        <v>11</v>
      </c>
      <c r="F564" t="s">
        <v>9</v>
      </c>
      <c r="G564">
        <v>2494.0219999999999</v>
      </c>
    </row>
    <row r="565" spans="1:7" x14ac:dyDescent="0.25">
      <c r="A565">
        <v>50</v>
      </c>
      <c r="B565" t="s">
        <v>10</v>
      </c>
      <c r="C565">
        <v>44.77</v>
      </c>
      <c r="D565">
        <v>1</v>
      </c>
      <c r="E565" t="s">
        <v>11</v>
      </c>
      <c r="F565" t="s">
        <v>12</v>
      </c>
      <c r="G565">
        <v>9058.7302999999993</v>
      </c>
    </row>
    <row r="566" spans="1:7" x14ac:dyDescent="0.25">
      <c r="A566">
        <v>18</v>
      </c>
      <c r="B566" t="s">
        <v>7</v>
      </c>
      <c r="C566">
        <v>32.119999999999997</v>
      </c>
      <c r="D566">
        <v>2</v>
      </c>
      <c r="E566" t="s">
        <v>11</v>
      </c>
      <c r="F566" t="s">
        <v>12</v>
      </c>
      <c r="G566">
        <v>2801.2588000000001</v>
      </c>
    </row>
    <row r="567" spans="1:7" x14ac:dyDescent="0.25">
      <c r="A567">
        <v>19</v>
      </c>
      <c r="B567" t="s">
        <v>7</v>
      </c>
      <c r="C567">
        <v>30.495000000000001</v>
      </c>
      <c r="D567">
        <v>0</v>
      </c>
      <c r="E567" t="s">
        <v>11</v>
      </c>
      <c r="F567" t="s">
        <v>13</v>
      </c>
      <c r="G567">
        <v>2128.4310500000001</v>
      </c>
    </row>
    <row r="568" spans="1:7" x14ac:dyDescent="0.25">
      <c r="A568">
        <v>38</v>
      </c>
      <c r="B568" t="s">
        <v>7</v>
      </c>
      <c r="C568">
        <v>40.564999999999998</v>
      </c>
      <c r="D568">
        <v>1</v>
      </c>
      <c r="E568" t="s">
        <v>11</v>
      </c>
      <c r="F568" t="s">
        <v>13</v>
      </c>
      <c r="G568">
        <v>6373.55735</v>
      </c>
    </row>
    <row r="569" spans="1:7" x14ac:dyDescent="0.25">
      <c r="A569">
        <v>41</v>
      </c>
      <c r="B569" t="s">
        <v>10</v>
      </c>
      <c r="C569">
        <v>30.59</v>
      </c>
      <c r="D569">
        <v>2</v>
      </c>
      <c r="E569" t="s">
        <v>11</v>
      </c>
      <c r="F569" t="s">
        <v>13</v>
      </c>
      <c r="G569">
        <v>7256.7231000000002</v>
      </c>
    </row>
    <row r="570" spans="1:7" x14ac:dyDescent="0.25">
      <c r="A570">
        <v>49</v>
      </c>
      <c r="B570" t="s">
        <v>7</v>
      </c>
      <c r="C570">
        <v>31.9</v>
      </c>
      <c r="D570">
        <v>5</v>
      </c>
      <c r="E570" t="s">
        <v>11</v>
      </c>
      <c r="F570" t="s">
        <v>9</v>
      </c>
      <c r="G570">
        <v>11552.904</v>
      </c>
    </row>
    <row r="571" spans="1:7" x14ac:dyDescent="0.25">
      <c r="A571">
        <v>48</v>
      </c>
      <c r="B571" t="s">
        <v>10</v>
      </c>
      <c r="C571">
        <v>40.564999999999998</v>
      </c>
      <c r="D571">
        <v>2</v>
      </c>
      <c r="E571" t="s">
        <v>8</v>
      </c>
      <c r="F571" t="s">
        <v>13</v>
      </c>
      <c r="G571">
        <v>45702.022349999999</v>
      </c>
    </row>
    <row r="572" spans="1:7" x14ac:dyDescent="0.25">
      <c r="A572">
        <v>31</v>
      </c>
      <c r="B572" t="s">
        <v>7</v>
      </c>
      <c r="C572">
        <v>29.1</v>
      </c>
      <c r="D572">
        <v>0</v>
      </c>
      <c r="E572" t="s">
        <v>11</v>
      </c>
      <c r="F572" t="s">
        <v>9</v>
      </c>
      <c r="G572">
        <v>3761.2919999999999</v>
      </c>
    </row>
    <row r="573" spans="1:7" x14ac:dyDescent="0.25">
      <c r="A573">
        <v>18</v>
      </c>
      <c r="B573" t="s">
        <v>7</v>
      </c>
      <c r="C573">
        <v>37.29</v>
      </c>
      <c r="D573">
        <v>1</v>
      </c>
      <c r="E573" t="s">
        <v>11</v>
      </c>
      <c r="F573" t="s">
        <v>12</v>
      </c>
      <c r="G573">
        <v>2219.4450999999999</v>
      </c>
    </row>
    <row r="574" spans="1:7" x14ac:dyDescent="0.25">
      <c r="A574">
        <v>30</v>
      </c>
      <c r="B574" t="s">
        <v>7</v>
      </c>
      <c r="C574">
        <v>43.12</v>
      </c>
      <c r="D574">
        <v>2</v>
      </c>
      <c r="E574" t="s">
        <v>11</v>
      </c>
      <c r="F574" t="s">
        <v>12</v>
      </c>
      <c r="G574">
        <v>4753.6368000000002</v>
      </c>
    </row>
    <row r="575" spans="1:7" x14ac:dyDescent="0.25">
      <c r="A575">
        <v>62</v>
      </c>
      <c r="B575" t="s">
        <v>7</v>
      </c>
      <c r="C575">
        <v>36.86</v>
      </c>
      <c r="D575">
        <v>1</v>
      </c>
      <c r="E575" t="s">
        <v>11</v>
      </c>
      <c r="F575" t="s">
        <v>14</v>
      </c>
      <c r="G575">
        <v>31620.001059999999</v>
      </c>
    </row>
    <row r="576" spans="1:7" x14ac:dyDescent="0.25">
      <c r="A576">
        <v>57</v>
      </c>
      <c r="B576" t="s">
        <v>7</v>
      </c>
      <c r="C576">
        <v>34.295000000000002</v>
      </c>
      <c r="D576">
        <v>2</v>
      </c>
      <c r="E576" t="s">
        <v>11</v>
      </c>
      <c r="F576" t="s">
        <v>14</v>
      </c>
      <c r="G576">
        <v>13224.057049999999</v>
      </c>
    </row>
    <row r="577" spans="1:7" x14ac:dyDescent="0.25">
      <c r="A577">
        <v>58</v>
      </c>
      <c r="B577" t="s">
        <v>7</v>
      </c>
      <c r="C577">
        <v>27.17</v>
      </c>
      <c r="D577">
        <v>0</v>
      </c>
      <c r="E577" t="s">
        <v>11</v>
      </c>
      <c r="F577" t="s">
        <v>13</v>
      </c>
      <c r="G577">
        <v>12222.898300000001</v>
      </c>
    </row>
    <row r="578" spans="1:7" x14ac:dyDescent="0.25">
      <c r="A578">
        <v>22</v>
      </c>
      <c r="B578" t="s">
        <v>10</v>
      </c>
      <c r="C578">
        <v>26.84</v>
      </c>
      <c r="D578">
        <v>0</v>
      </c>
      <c r="E578" t="s">
        <v>11</v>
      </c>
      <c r="F578" t="s">
        <v>12</v>
      </c>
      <c r="G578">
        <v>1664.9996000000001</v>
      </c>
    </row>
    <row r="579" spans="1:7" x14ac:dyDescent="0.25">
      <c r="A579">
        <v>31</v>
      </c>
      <c r="B579" t="s">
        <v>7</v>
      </c>
      <c r="C579">
        <v>38.094999999999999</v>
      </c>
      <c r="D579">
        <v>1</v>
      </c>
      <c r="E579" t="s">
        <v>8</v>
      </c>
      <c r="F579" t="s">
        <v>14</v>
      </c>
      <c r="G579">
        <v>58571.074480000003</v>
      </c>
    </row>
    <row r="580" spans="1:7" x14ac:dyDescent="0.25">
      <c r="A580">
        <v>52</v>
      </c>
      <c r="B580" t="s">
        <v>10</v>
      </c>
      <c r="C580">
        <v>30.2</v>
      </c>
      <c r="D580">
        <v>1</v>
      </c>
      <c r="E580" t="s">
        <v>11</v>
      </c>
      <c r="F580" t="s">
        <v>9</v>
      </c>
      <c r="G580">
        <v>9724.5300000000007</v>
      </c>
    </row>
    <row r="581" spans="1:7" x14ac:dyDescent="0.25">
      <c r="A581">
        <v>25</v>
      </c>
      <c r="B581" t="s">
        <v>7</v>
      </c>
      <c r="C581">
        <v>23.465</v>
      </c>
      <c r="D581">
        <v>0</v>
      </c>
      <c r="E581" t="s">
        <v>11</v>
      </c>
      <c r="F581" t="s">
        <v>14</v>
      </c>
      <c r="G581">
        <v>3206.4913499999998</v>
      </c>
    </row>
    <row r="582" spans="1:7" x14ac:dyDescent="0.25">
      <c r="A582">
        <v>59</v>
      </c>
      <c r="B582" t="s">
        <v>10</v>
      </c>
      <c r="C582">
        <v>25.46</v>
      </c>
      <c r="D582">
        <v>1</v>
      </c>
      <c r="E582" t="s">
        <v>11</v>
      </c>
      <c r="F582" t="s">
        <v>14</v>
      </c>
      <c r="G582">
        <v>12913.992399999999</v>
      </c>
    </row>
    <row r="583" spans="1:7" x14ac:dyDescent="0.25">
      <c r="A583">
        <v>19</v>
      </c>
      <c r="B583" t="s">
        <v>10</v>
      </c>
      <c r="C583">
        <v>30.59</v>
      </c>
      <c r="D583">
        <v>0</v>
      </c>
      <c r="E583" t="s">
        <v>11</v>
      </c>
      <c r="F583" t="s">
        <v>13</v>
      </c>
      <c r="G583">
        <v>1639.5631000000001</v>
      </c>
    </row>
    <row r="584" spans="1:7" x14ac:dyDescent="0.25">
      <c r="A584">
        <v>39</v>
      </c>
      <c r="B584" t="s">
        <v>10</v>
      </c>
      <c r="C584">
        <v>45.43</v>
      </c>
      <c r="D584">
        <v>2</v>
      </c>
      <c r="E584" t="s">
        <v>11</v>
      </c>
      <c r="F584" t="s">
        <v>12</v>
      </c>
      <c r="G584">
        <v>6356.2707</v>
      </c>
    </row>
    <row r="585" spans="1:7" x14ac:dyDescent="0.25">
      <c r="A585">
        <v>32</v>
      </c>
      <c r="B585" t="s">
        <v>7</v>
      </c>
      <c r="C585">
        <v>23.65</v>
      </c>
      <c r="D585">
        <v>1</v>
      </c>
      <c r="E585" t="s">
        <v>11</v>
      </c>
      <c r="F585" t="s">
        <v>12</v>
      </c>
      <c r="G585">
        <v>17626.239509999999</v>
      </c>
    </row>
    <row r="586" spans="1:7" x14ac:dyDescent="0.25">
      <c r="A586">
        <v>19</v>
      </c>
      <c r="B586" t="s">
        <v>10</v>
      </c>
      <c r="C586">
        <v>20.7</v>
      </c>
      <c r="D586">
        <v>0</v>
      </c>
      <c r="E586" t="s">
        <v>11</v>
      </c>
      <c r="F586" t="s">
        <v>9</v>
      </c>
      <c r="G586">
        <v>1242.816</v>
      </c>
    </row>
    <row r="587" spans="1:7" x14ac:dyDescent="0.25">
      <c r="A587">
        <v>33</v>
      </c>
      <c r="B587" t="s">
        <v>7</v>
      </c>
      <c r="C587">
        <v>28.27</v>
      </c>
      <c r="D587">
        <v>1</v>
      </c>
      <c r="E587" t="s">
        <v>11</v>
      </c>
      <c r="F587" t="s">
        <v>12</v>
      </c>
      <c r="G587">
        <v>4779.6022999999996</v>
      </c>
    </row>
    <row r="588" spans="1:7" x14ac:dyDescent="0.25">
      <c r="A588">
        <v>21</v>
      </c>
      <c r="B588" t="s">
        <v>10</v>
      </c>
      <c r="C588">
        <v>20.234999999999999</v>
      </c>
      <c r="D588">
        <v>3</v>
      </c>
      <c r="E588" t="s">
        <v>11</v>
      </c>
      <c r="F588" t="s">
        <v>14</v>
      </c>
      <c r="G588">
        <v>3861.2096499999998</v>
      </c>
    </row>
    <row r="589" spans="1:7" x14ac:dyDescent="0.25">
      <c r="A589">
        <v>34</v>
      </c>
      <c r="B589" t="s">
        <v>7</v>
      </c>
      <c r="C589">
        <v>30.21</v>
      </c>
      <c r="D589">
        <v>1</v>
      </c>
      <c r="E589" t="s">
        <v>8</v>
      </c>
      <c r="F589" t="s">
        <v>13</v>
      </c>
      <c r="G589">
        <v>43943.876100000001</v>
      </c>
    </row>
    <row r="590" spans="1:7" x14ac:dyDescent="0.25">
      <c r="A590">
        <v>61</v>
      </c>
      <c r="B590" t="s">
        <v>7</v>
      </c>
      <c r="C590">
        <v>35.909999999999997</v>
      </c>
      <c r="D590">
        <v>0</v>
      </c>
      <c r="E590" t="s">
        <v>11</v>
      </c>
      <c r="F590" t="s">
        <v>14</v>
      </c>
      <c r="G590">
        <v>13635.6379</v>
      </c>
    </row>
    <row r="591" spans="1:7" x14ac:dyDescent="0.25">
      <c r="A591">
        <v>38</v>
      </c>
      <c r="B591" t="s">
        <v>7</v>
      </c>
      <c r="C591">
        <v>30.69</v>
      </c>
      <c r="D591">
        <v>1</v>
      </c>
      <c r="E591" t="s">
        <v>11</v>
      </c>
      <c r="F591" t="s">
        <v>12</v>
      </c>
      <c r="G591">
        <v>5976.8311000000003</v>
      </c>
    </row>
    <row r="592" spans="1:7" x14ac:dyDescent="0.25">
      <c r="A592">
        <v>58</v>
      </c>
      <c r="B592" t="s">
        <v>7</v>
      </c>
      <c r="C592">
        <v>29</v>
      </c>
      <c r="D592">
        <v>0</v>
      </c>
      <c r="E592" t="s">
        <v>11</v>
      </c>
      <c r="F592" t="s">
        <v>9</v>
      </c>
      <c r="G592">
        <v>11842.441999999999</v>
      </c>
    </row>
    <row r="593" spans="1:7" x14ac:dyDescent="0.25">
      <c r="A593">
        <v>47</v>
      </c>
      <c r="B593" t="s">
        <v>10</v>
      </c>
      <c r="C593">
        <v>19.57</v>
      </c>
      <c r="D593">
        <v>1</v>
      </c>
      <c r="E593" t="s">
        <v>11</v>
      </c>
      <c r="F593" t="s">
        <v>13</v>
      </c>
      <c r="G593">
        <v>8428.0692999999992</v>
      </c>
    </row>
    <row r="594" spans="1:7" x14ac:dyDescent="0.25">
      <c r="A594">
        <v>20</v>
      </c>
      <c r="B594" t="s">
        <v>10</v>
      </c>
      <c r="C594">
        <v>31.13</v>
      </c>
      <c r="D594">
        <v>2</v>
      </c>
      <c r="E594" t="s">
        <v>11</v>
      </c>
      <c r="F594" t="s">
        <v>12</v>
      </c>
      <c r="G594">
        <v>2566.4706999999999</v>
      </c>
    </row>
    <row r="595" spans="1:7" x14ac:dyDescent="0.25">
      <c r="A595">
        <v>21</v>
      </c>
      <c r="B595" t="s">
        <v>7</v>
      </c>
      <c r="C595">
        <v>21.85</v>
      </c>
      <c r="D595">
        <v>1</v>
      </c>
      <c r="E595" t="s">
        <v>8</v>
      </c>
      <c r="F595" t="s">
        <v>14</v>
      </c>
      <c r="G595">
        <v>15359.104499999999</v>
      </c>
    </row>
    <row r="596" spans="1:7" x14ac:dyDescent="0.25">
      <c r="A596">
        <v>41</v>
      </c>
      <c r="B596" t="s">
        <v>10</v>
      </c>
      <c r="C596">
        <v>40.26</v>
      </c>
      <c r="D596">
        <v>0</v>
      </c>
      <c r="E596" t="s">
        <v>11</v>
      </c>
      <c r="F596" t="s">
        <v>12</v>
      </c>
      <c r="G596">
        <v>5709.1643999999997</v>
      </c>
    </row>
    <row r="597" spans="1:7" x14ac:dyDescent="0.25">
      <c r="A597">
        <v>46</v>
      </c>
      <c r="B597" t="s">
        <v>7</v>
      </c>
      <c r="C597">
        <v>33.725000000000001</v>
      </c>
      <c r="D597">
        <v>1</v>
      </c>
      <c r="E597" t="s">
        <v>11</v>
      </c>
      <c r="F597" t="s">
        <v>14</v>
      </c>
      <c r="G597">
        <v>8823.9857499999998</v>
      </c>
    </row>
    <row r="598" spans="1:7" x14ac:dyDescent="0.25">
      <c r="A598">
        <v>42</v>
      </c>
      <c r="B598" t="s">
        <v>7</v>
      </c>
      <c r="C598">
        <v>29.48</v>
      </c>
      <c r="D598">
        <v>2</v>
      </c>
      <c r="E598" t="s">
        <v>11</v>
      </c>
      <c r="F598" t="s">
        <v>12</v>
      </c>
      <c r="G598">
        <v>7640.3091999999997</v>
      </c>
    </row>
    <row r="599" spans="1:7" x14ac:dyDescent="0.25">
      <c r="A599">
        <v>34</v>
      </c>
      <c r="B599" t="s">
        <v>7</v>
      </c>
      <c r="C599">
        <v>33.25</v>
      </c>
      <c r="D599">
        <v>1</v>
      </c>
      <c r="E599" t="s">
        <v>11</v>
      </c>
      <c r="F599" t="s">
        <v>14</v>
      </c>
      <c r="G599">
        <v>5594.8455000000004</v>
      </c>
    </row>
    <row r="600" spans="1:7" x14ac:dyDescent="0.25">
      <c r="A600">
        <v>43</v>
      </c>
      <c r="B600" t="s">
        <v>10</v>
      </c>
      <c r="C600">
        <v>32.6</v>
      </c>
      <c r="D600">
        <v>2</v>
      </c>
      <c r="E600" t="s">
        <v>11</v>
      </c>
      <c r="F600" t="s">
        <v>9</v>
      </c>
      <c r="G600">
        <v>7441.5010000000002</v>
      </c>
    </row>
    <row r="601" spans="1:7" x14ac:dyDescent="0.25">
      <c r="A601">
        <v>52</v>
      </c>
      <c r="B601" t="s">
        <v>7</v>
      </c>
      <c r="C601">
        <v>37.524999999999999</v>
      </c>
      <c r="D601">
        <v>2</v>
      </c>
      <c r="E601" t="s">
        <v>11</v>
      </c>
      <c r="F601" t="s">
        <v>13</v>
      </c>
      <c r="G601">
        <v>33471.971890000001</v>
      </c>
    </row>
    <row r="602" spans="1:7" x14ac:dyDescent="0.25">
      <c r="A602">
        <v>18</v>
      </c>
      <c r="B602" t="s">
        <v>7</v>
      </c>
      <c r="C602">
        <v>39.159999999999997</v>
      </c>
      <c r="D602">
        <v>0</v>
      </c>
      <c r="E602" t="s">
        <v>11</v>
      </c>
      <c r="F602" t="s">
        <v>12</v>
      </c>
      <c r="G602">
        <v>1633.0444</v>
      </c>
    </row>
    <row r="603" spans="1:7" x14ac:dyDescent="0.25">
      <c r="A603">
        <v>51</v>
      </c>
      <c r="B603" t="s">
        <v>10</v>
      </c>
      <c r="C603">
        <v>31.635000000000002</v>
      </c>
      <c r="D603">
        <v>0</v>
      </c>
      <c r="E603" t="s">
        <v>11</v>
      </c>
      <c r="F603" t="s">
        <v>13</v>
      </c>
      <c r="G603">
        <v>9174.1356500000002</v>
      </c>
    </row>
    <row r="604" spans="1:7" x14ac:dyDescent="0.25">
      <c r="A604">
        <v>56</v>
      </c>
      <c r="B604" t="s">
        <v>7</v>
      </c>
      <c r="C604">
        <v>25.3</v>
      </c>
      <c r="D604">
        <v>0</v>
      </c>
      <c r="E604" t="s">
        <v>11</v>
      </c>
      <c r="F604" t="s">
        <v>9</v>
      </c>
      <c r="G604">
        <v>11070.535</v>
      </c>
    </row>
    <row r="605" spans="1:7" x14ac:dyDescent="0.25">
      <c r="A605">
        <v>64</v>
      </c>
      <c r="B605" t="s">
        <v>7</v>
      </c>
      <c r="C605">
        <v>39.049999999999997</v>
      </c>
      <c r="D605">
        <v>3</v>
      </c>
      <c r="E605" t="s">
        <v>11</v>
      </c>
      <c r="F605" t="s">
        <v>12</v>
      </c>
      <c r="G605">
        <v>16085.127500000001</v>
      </c>
    </row>
    <row r="606" spans="1:7" x14ac:dyDescent="0.25">
      <c r="A606">
        <v>19</v>
      </c>
      <c r="B606" t="s">
        <v>7</v>
      </c>
      <c r="C606">
        <v>28.31</v>
      </c>
      <c r="D606">
        <v>0</v>
      </c>
      <c r="E606" t="s">
        <v>8</v>
      </c>
      <c r="F606" t="s">
        <v>13</v>
      </c>
      <c r="G606">
        <v>17468.983899999999</v>
      </c>
    </row>
    <row r="607" spans="1:7" x14ac:dyDescent="0.25">
      <c r="A607">
        <v>51</v>
      </c>
      <c r="B607" t="s">
        <v>7</v>
      </c>
      <c r="C607">
        <v>34.1</v>
      </c>
      <c r="D607">
        <v>0</v>
      </c>
      <c r="E607" t="s">
        <v>11</v>
      </c>
      <c r="F607" t="s">
        <v>12</v>
      </c>
      <c r="G607">
        <v>9283.5619999999999</v>
      </c>
    </row>
    <row r="608" spans="1:7" x14ac:dyDescent="0.25">
      <c r="A608">
        <v>27</v>
      </c>
      <c r="B608" t="s">
        <v>7</v>
      </c>
      <c r="C608">
        <v>25.175000000000001</v>
      </c>
      <c r="D608">
        <v>0</v>
      </c>
      <c r="E608" t="s">
        <v>11</v>
      </c>
      <c r="F608" t="s">
        <v>14</v>
      </c>
      <c r="G608">
        <v>3558.6202499999999</v>
      </c>
    </row>
    <row r="609" spans="1:7" x14ac:dyDescent="0.25">
      <c r="A609">
        <v>59</v>
      </c>
      <c r="B609" t="s">
        <v>7</v>
      </c>
      <c r="C609">
        <v>23.655000000000001</v>
      </c>
      <c r="D609">
        <v>0</v>
      </c>
      <c r="E609" t="s">
        <v>8</v>
      </c>
      <c r="F609" t="s">
        <v>13</v>
      </c>
      <c r="G609">
        <v>25678.778450000002</v>
      </c>
    </row>
    <row r="610" spans="1:7" x14ac:dyDescent="0.25">
      <c r="A610">
        <v>28</v>
      </c>
      <c r="B610" t="s">
        <v>10</v>
      </c>
      <c r="C610">
        <v>26.98</v>
      </c>
      <c r="D610">
        <v>2</v>
      </c>
      <c r="E610" t="s">
        <v>11</v>
      </c>
      <c r="F610" t="s">
        <v>14</v>
      </c>
      <c r="G610">
        <v>4435.0941999999995</v>
      </c>
    </row>
    <row r="611" spans="1:7" x14ac:dyDescent="0.25">
      <c r="A611">
        <v>30</v>
      </c>
      <c r="B611" t="s">
        <v>10</v>
      </c>
      <c r="C611">
        <v>37.799999999999997</v>
      </c>
      <c r="D611">
        <v>2</v>
      </c>
      <c r="E611" t="s">
        <v>8</v>
      </c>
      <c r="F611" t="s">
        <v>9</v>
      </c>
      <c r="G611">
        <v>39241.442000000003</v>
      </c>
    </row>
    <row r="612" spans="1:7" x14ac:dyDescent="0.25">
      <c r="A612">
        <v>47</v>
      </c>
      <c r="B612" t="s">
        <v>7</v>
      </c>
      <c r="C612">
        <v>29.37</v>
      </c>
      <c r="D612">
        <v>1</v>
      </c>
      <c r="E612" t="s">
        <v>11</v>
      </c>
      <c r="F612" t="s">
        <v>12</v>
      </c>
      <c r="G612">
        <v>8547.6913000000004</v>
      </c>
    </row>
    <row r="613" spans="1:7" x14ac:dyDescent="0.25">
      <c r="A613">
        <v>38</v>
      </c>
      <c r="B613" t="s">
        <v>7</v>
      </c>
      <c r="C613">
        <v>34.799999999999997</v>
      </c>
      <c r="D613">
        <v>2</v>
      </c>
      <c r="E613" t="s">
        <v>11</v>
      </c>
      <c r="F613" t="s">
        <v>9</v>
      </c>
      <c r="G613">
        <v>6571.5439999999999</v>
      </c>
    </row>
    <row r="614" spans="1:7" x14ac:dyDescent="0.25">
      <c r="A614">
        <v>18</v>
      </c>
      <c r="B614" t="s">
        <v>7</v>
      </c>
      <c r="C614">
        <v>33.155000000000001</v>
      </c>
      <c r="D614">
        <v>0</v>
      </c>
      <c r="E614" t="s">
        <v>11</v>
      </c>
      <c r="F614" t="s">
        <v>14</v>
      </c>
      <c r="G614">
        <v>2207.6974500000001</v>
      </c>
    </row>
    <row r="615" spans="1:7" x14ac:dyDescent="0.25">
      <c r="A615">
        <v>34</v>
      </c>
      <c r="B615" t="s">
        <v>7</v>
      </c>
      <c r="C615">
        <v>19</v>
      </c>
      <c r="D615">
        <v>3</v>
      </c>
      <c r="E615" t="s">
        <v>11</v>
      </c>
      <c r="F615" t="s">
        <v>14</v>
      </c>
      <c r="G615">
        <v>6753.0379999999996</v>
      </c>
    </row>
    <row r="616" spans="1:7" x14ac:dyDescent="0.25">
      <c r="A616">
        <v>20</v>
      </c>
      <c r="B616" t="s">
        <v>7</v>
      </c>
      <c r="C616">
        <v>33</v>
      </c>
      <c r="D616">
        <v>0</v>
      </c>
      <c r="E616" t="s">
        <v>11</v>
      </c>
      <c r="F616" t="s">
        <v>12</v>
      </c>
      <c r="G616">
        <v>1880.07</v>
      </c>
    </row>
    <row r="617" spans="1:7" x14ac:dyDescent="0.25">
      <c r="A617">
        <v>47</v>
      </c>
      <c r="B617" t="s">
        <v>7</v>
      </c>
      <c r="C617">
        <v>36.630000000000003</v>
      </c>
      <c r="D617">
        <v>1</v>
      </c>
      <c r="E617" t="s">
        <v>8</v>
      </c>
      <c r="F617" t="s">
        <v>12</v>
      </c>
      <c r="G617">
        <v>42969.852700000003</v>
      </c>
    </row>
    <row r="618" spans="1:7" x14ac:dyDescent="0.25">
      <c r="A618">
        <v>56</v>
      </c>
      <c r="B618" t="s">
        <v>7</v>
      </c>
      <c r="C618">
        <v>28.594999999999999</v>
      </c>
      <c r="D618">
        <v>0</v>
      </c>
      <c r="E618" t="s">
        <v>11</v>
      </c>
      <c r="F618" t="s">
        <v>14</v>
      </c>
      <c r="G618">
        <v>11658.11505</v>
      </c>
    </row>
    <row r="619" spans="1:7" x14ac:dyDescent="0.25">
      <c r="A619">
        <v>49</v>
      </c>
      <c r="B619" t="s">
        <v>10</v>
      </c>
      <c r="C619">
        <v>25.6</v>
      </c>
      <c r="D619">
        <v>2</v>
      </c>
      <c r="E619" t="s">
        <v>8</v>
      </c>
      <c r="F619" t="s">
        <v>9</v>
      </c>
      <c r="G619">
        <v>23306.546999999999</v>
      </c>
    </row>
    <row r="620" spans="1:7" x14ac:dyDescent="0.25">
      <c r="A620">
        <v>19</v>
      </c>
      <c r="B620" t="s">
        <v>7</v>
      </c>
      <c r="C620">
        <v>33.11</v>
      </c>
      <c r="D620">
        <v>0</v>
      </c>
      <c r="E620" t="s">
        <v>8</v>
      </c>
      <c r="F620" t="s">
        <v>12</v>
      </c>
      <c r="G620">
        <v>34439.855900000002</v>
      </c>
    </row>
    <row r="621" spans="1:7" x14ac:dyDescent="0.25">
      <c r="A621">
        <v>55</v>
      </c>
      <c r="B621" t="s">
        <v>7</v>
      </c>
      <c r="C621">
        <v>37.1</v>
      </c>
      <c r="D621">
        <v>0</v>
      </c>
      <c r="E621" t="s">
        <v>11</v>
      </c>
      <c r="F621" t="s">
        <v>9</v>
      </c>
      <c r="G621">
        <v>10713.644</v>
      </c>
    </row>
    <row r="622" spans="1:7" x14ac:dyDescent="0.25">
      <c r="A622">
        <v>30</v>
      </c>
      <c r="B622" t="s">
        <v>10</v>
      </c>
      <c r="C622">
        <v>31.4</v>
      </c>
      <c r="D622">
        <v>1</v>
      </c>
      <c r="E622" t="s">
        <v>11</v>
      </c>
      <c r="F622" t="s">
        <v>9</v>
      </c>
      <c r="G622">
        <v>3659.346</v>
      </c>
    </row>
    <row r="623" spans="1:7" x14ac:dyDescent="0.25">
      <c r="A623">
        <v>37</v>
      </c>
      <c r="B623" t="s">
        <v>10</v>
      </c>
      <c r="C623">
        <v>34.1</v>
      </c>
      <c r="D623">
        <v>4</v>
      </c>
      <c r="E623" t="s">
        <v>8</v>
      </c>
      <c r="F623" t="s">
        <v>9</v>
      </c>
      <c r="G623">
        <v>40182.245999999999</v>
      </c>
    </row>
    <row r="624" spans="1:7" x14ac:dyDescent="0.25">
      <c r="A624">
        <v>49</v>
      </c>
      <c r="B624" t="s">
        <v>7</v>
      </c>
      <c r="C624">
        <v>21.3</v>
      </c>
      <c r="D624">
        <v>1</v>
      </c>
      <c r="E624" t="s">
        <v>11</v>
      </c>
      <c r="F624" t="s">
        <v>9</v>
      </c>
      <c r="G624">
        <v>9182.17</v>
      </c>
    </row>
    <row r="625" spans="1:7" x14ac:dyDescent="0.25">
      <c r="A625">
        <v>18</v>
      </c>
      <c r="B625" t="s">
        <v>10</v>
      </c>
      <c r="C625">
        <v>33.534999999999997</v>
      </c>
      <c r="D625">
        <v>0</v>
      </c>
      <c r="E625" t="s">
        <v>8</v>
      </c>
      <c r="F625" t="s">
        <v>14</v>
      </c>
      <c r="G625">
        <v>34617.840649999998</v>
      </c>
    </row>
    <row r="626" spans="1:7" x14ac:dyDescent="0.25">
      <c r="A626">
        <v>59</v>
      </c>
      <c r="B626" t="s">
        <v>10</v>
      </c>
      <c r="C626">
        <v>28.785</v>
      </c>
      <c r="D626">
        <v>0</v>
      </c>
      <c r="E626" t="s">
        <v>11</v>
      </c>
      <c r="F626" t="s">
        <v>13</v>
      </c>
      <c r="G626">
        <v>12129.614149999999</v>
      </c>
    </row>
    <row r="627" spans="1:7" x14ac:dyDescent="0.25">
      <c r="A627">
        <v>29</v>
      </c>
      <c r="B627" t="s">
        <v>7</v>
      </c>
      <c r="C627">
        <v>26.03</v>
      </c>
      <c r="D627">
        <v>0</v>
      </c>
      <c r="E627" t="s">
        <v>11</v>
      </c>
      <c r="F627" t="s">
        <v>13</v>
      </c>
      <c r="G627">
        <v>3736.4647</v>
      </c>
    </row>
    <row r="628" spans="1:7" x14ac:dyDescent="0.25">
      <c r="A628">
        <v>36</v>
      </c>
      <c r="B628" t="s">
        <v>10</v>
      </c>
      <c r="C628">
        <v>28.88</v>
      </c>
      <c r="D628">
        <v>3</v>
      </c>
      <c r="E628" t="s">
        <v>11</v>
      </c>
      <c r="F628" t="s">
        <v>14</v>
      </c>
      <c r="G628">
        <v>6748.5911999999998</v>
      </c>
    </row>
    <row r="629" spans="1:7" x14ac:dyDescent="0.25">
      <c r="A629">
        <v>33</v>
      </c>
      <c r="B629" t="s">
        <v>10</v>
      </c>
      <c r="C629">
        <v>42.46</v>
      </c>
      <c r="D629">
        <v>1</v>
      </c>
      <c r="E629" t="s">
        <v>11</v>
      </c>
      <c r="F629" t="s">
        <v>12</v>
      </c>
      <c r="G629">
        <v>11326.71487</v>
      </c>
    </row>
    <row r="630" spans="1:7" x14ac:dyDescent="0.25">
      <c r="A630">
        <v>58</v>
      </c>
      <c r="B630" t="s">
        <v>10</v>
      </c>
      <c r="C630">
        <v>38</v>
      </c>
      <c r="D630">
        <v>0</v>
      </c>
      <c r="E630" t="s">
        <v>11</v>
      </c>
      <c r="F630" t="s">
        <v>9</v>
      </c>
      <c r="G630">
        <v>11365.951999999999</v>
      </c>
    </row>
    <row r="631" spans="1:7" x14ac:dyDescent="0.25">
      <c r="A631">
        <v>44</v>
      </c>
      <c r="B631" t="s">
        <v>7</v>
      </c>
      <c r="C631">
        <v>38.950000000000003</v>
      </c>
      <c r="D631">
        <v>0</v>
      </c>
      <c r="E631" t="s">
        <v>8</v>
      </c>
      <c r="F631" t="s">
        <v>13</v>
      </c>
      <c r="G631">
        <v>42983.458500000001</v>
      </c>
    </row>
    <row r="632" spans="1:7" x14ac:dyDescent="0.25">
      <c r="A632">
        <v>53</v>
      </c>
      <c r="B632" t="s">
        <v>10</v>
      </c>
      <c r="C632">
        <v>36.1</v>
      </c>
      <c r="D632">
        <v>1</v>
      </c>
      <c r="E632" t="s">
        <v>11</v>
      </c>
      <c r="F632" t="s">
        <v>9</v>
      </c>
      <c r="G632">
        <v>10085.846</v>
      </c>
    </row>
    <row r="633" spans="1:7" x14ac:dyDescent="0.25">
      <c r="A633">
        <v>24</v>
      </c>
      <c r="B633" t="s">
        <v>10</v>
      </c>
      <c r="C633">
        <v>29.3</v>
      </c>
      <c r="D633">
        <v>0</v>
      </c>
      <c r="E633" t="s">
        <v>11</v>
      </c>
      <c r="F633" t="s">
        <v>9</v>
      </c>
      <c r="G633">
        <v>1977.8150000000001</v>
      </c>
    </row>
    <row r="634" spans="1:7" x14ac:dyDescent="0.25">
      <c r="A634">
        <v>29</v>
      </c>
      <c r="B634" t="s">
        <v>7</v>
      </c>
      <c r="C634">
        <v>35.53</v>
      </c>
      <c r="D634">
        <v>0</v>
      </c>
      <c r="E634" t="s">
        <v>11</v>
      </c>
      <c r="F634" t="s">
        <v>12</v>
      </c>
      <c r="G634">
        <v>3366.6696999999999</v>
      </c>
    </row>
    <row r="635" spans="1:7" x14ac:dyDescent="0.25">
      <c r="A635">
        <v>40</v>
      </c>
      <c r="B635" t="s">
        <v>10</v>
      </c>
      <c r="C635">
        <v>22.704999999999998</v>
      </c>
      <c r="D635">
        <v>2</v>
      </c>
      <c r="E635" t="s">
        <v>11</v>
      </c>
      <c r="F635" t="s">
        <v>14</v>
      </c>
      <c r="G635">
        <v>7173.35995</v>
      </c>
    </row>
    <row r="636" spans="1:7" x14ac:dyDescent="0.25">
      <c r="A636">
        <v>51</v>
      </c>
      <c r="B636" t="s">
        <v>10</v>
      </c>
      <c r="C636">
        <v>39.700000000000003</v>
      </c>
      <c r="D636">
        <v>1</v>
      </c>
      <c r="E636" t="s">
        <v>11</v>
      </c>
      <c r="F636" t="s">
        <v>9</v>
      </c>
      <c r="G636">
        <v>9391.3459999999995</v>
      </c>
    </row>
    <row r="637" spans="1:7" x14ac:dyDescent="0.25">
      <c r="A637">
        <v>64</v>
      </c>
      <c r="B637" t="s">
        <v>10</v>
      </c>
      <c r="C637">
        <v>38.19</v>
      </c>
      <c r="D637">
        <v>0</v>
      </c>
      <c r="E637" t="s">
        <v>11</v>
      </c>
      <c r="F637" t="s">
        <v>14</v>
      </c>
      <c r="G637">
        <v>14410.9321</v>
      </c>
    </row>
    <row r="638" spans="1:7" x14ac:dyDescent="0.25">
      <c r="A638">
        <v>19</v>
      </c>
      <c r="B638" t="s">
        <v>7</v>
      </c>
      <c r="C638">
        <v>24.51</v>
      </c>
      <c r="D638">
        <v>1</v>
      </c>
      <c r="E638" t="s">
        <v>11</v>
      </c>
      <c r="F638" t="s">
        <v>13</v>
      </c>
      <c r="G638">
        <v>2709.1118999999999</v>
      </c>
    </row>
    <row r="639" spans="1:7" x14ac:dyDescent="0.25">
      <c r="A639">
        <v>35</v>
      </c>
      <c r="B639" t="s">
        <v>7</v>
      </c>
      <c r="C639">
        <v>38.094999999999999</v>
      </c>
      <c r="D639">
        <v>2</v>
      </c>
      <c r="E639" t="s">
        <v>11</v>
      </c>
      <c r="F639" t="s">
        <v>14</v>
      </c>
      <c r="G639">
        <v>24915.046259999999</v>
      </c>
    </row>
    <row r="640" spans="1:7" x14ac:dyDescent="0.25">
      <c r="A640">
        <v>39</v>
      </c>
      <c r="B640" t="s">
        <v>10</v>
      </c>
      <c r="C640">
        <v>26.41</v>
      </c>
      <c r="D640">
        <v>0</v>
      </c>
      <c r="E640" t="s">
        <v>8</v>
      </c>
      <c r="F640" t="s">
        <v>14</v>
      </c>
      <c r="G640">
        <v>20149.322899999999</v>
      </c>
    </row>
    <row r="641" spans="1:7" x14ac:dyDescent="0.25">
      <c r="A641">
        <v>56</v>
      </c>
      <c r="B641" t="s">
        <v>10</v>
      </c>
      <c r="C641">
        <v>33.659999999999997</v>
      </c>
      <c r="D641">
        <v>4</v>
      </c>
      <c r="E641" t="s">
        <v>11</v>
      </c>
      <c r="F641" t="s">
        <v>12</v>
      </c>
      <c r="G641">
        <v>12949.1554</v>
      </c>
    </row>
    <row r="642" spans="1:7" x14ac:dyDescent="0.25">
      <c r="A642">
        <v>33</v>
      </c>
      <c r="B642" t="s">
        <v>10</v>
      </c>
      <c r="C642">
        <v>42.4</v>
      </c>
      <c r="D642">
        <v>5</v>
      </c>
      <c r="E642" t="s">
        <v>11</v>
      </c>
      <c r="F642" t="s">
        <v>9</v>
      </c>
      <c r="G642">
        <v>6666.2430000000004</v>
      </c>
    </row>
    <row r="643" spans="1:7" x14ac:dyDescent="0.25">
      <c r="A643">
        <v>42</v>
      </c>
      <c r="B643" t="s">
        <v>10</v>
      </c>
      <c r="C643">
        <v>28.31</v>
      </c>
      <c r="D643">
        <v>3</v>
      </c>
      <c r="E643" t="s">
        <v>8</v>
      </c>
      <c r="F643" t="s">
        <v>13</v>
      </c>
      <c r="G643">
        <v>32787.458590000002</v>
      </c>
    </row>
    <row r="644" spans="1:7" x14ac:dyDescent="0.25">
      <c r="A644">
        <v>61</v>
      </c>
      <c r="B644" t="s">
        <v>10</v>
      </c>
      <c r="C644">
        <v>33.914999999999999</v>
      </c>
      <c r="D644">
        <v>0</v>
      </c>
      <c r="E644" t="s">
        <v>11</v>
      </c>
      <c r="F644" t="s">
        <v>14</v>
      </c>
      <c r="G644">
        <v>13143.86485</v>
      </c>
    </row>
    <row r="645" spans="1:7" x14ac:dyDescent="0.25">
      <c r="A645">
        <v>23</v>
      </c>
      <c r="B645" t="s">
        <v>7</v>
      </c>
      <c r="C645">
        <v>34.96</v>
      </c>
      <c r="D645">
        <v>3</v>
      </c>
      <c r="E645" t="s">
        <v>11</v>
      </c>
      <c r="F645" t="s">
        <v>13</v>
      </c>
      <c r="G645">
        <v>4466.6214</v>
      </c>
    </row>
    <row r="646" spans="1:7" x14ac:dyDescent="0.25">
      <c r="A646">
        <v>43</v>
      </c>
      <c r="B646" t="s">
        <v>10</v>
      </c>
      <c r="C646">
        <v>35.31</v>
      </c>
      <c r="D646">
        <v>2</v>
      </c>
      <c r="E646" t="s">
        <v>11</v>
      </c>
      <c r="F646" t="s">
        <v>12</v>
      </c>
      <c r="G646">
        <v>18806.145469999999</v>
      </c>
    </row>
    <row r="647" spans="1:7" x14ac:dyDescent="0.25">
      <c r="A647">
        <v>48</v>
      </c>
      <c r="B647" t="s">
        <v>10</v>
      </c>
      <c r="C647">
        <v>30.78</v>
      </c>
      <c r="D647">
        <v>3</v>
      </c>
      <c r="E647" t="s">
        <v>11</v>
      </c>
      <c r="F647" t="s">
        <v>14</v>
      </c>
      <c r="G647">
        <v>10141.136200000001</v>
      </c>
    </row>
    <row r="648" spans="1:7" x14ac:dyDescent="0.25">
      <c r="A648">
        <v>39</v>
      </c>
      <c r="B648" t="s">
        <v>10</v>
      </c>
      <c r="C648">
        <v>26.22</v>
      </c>
      <c r="D648">
        <v>1</v>
      </c>
      <c r="E648" t="s">
        <v>11</v>
      </c>
      <c r="F648" t="s">
        <v>13</v>
      </c>
      <c r="G648">
        <v>6123.5688</v>
      </c>
    </row>
    <row r="649" spans="1:7" x14ac:dyDescent="0.25">
      <c r="A649">
        <v>40</v>
      </c>
      <c r="B649" t="s">
        <v>7</v>
      </c>
      <c r="C649">
        <v>23.37</v>
      </c>
      <c r="D649">
        <v>3</v>
      </c>
      <c r="E649" t="s">
        <v>11</v>
      </c>
      <c r="F649" t="s">
        <v>14</v>
      </c>
      <c r="G649">
        <v>8252.2842999999993</v>
      </c>
    </row>
    <row r="650" spans="1:7" x14ac:dyDescent="0.25">
      <c r="A650">
        <v>18</v>
      </c>
      <c r="B650" t="s">
        <v>10</v>
      </c>
      <c r="C650">
        <v>28.5</v>
      </c>
      <c r="D650">
        <v>0</v>
      </c>
      <c r="E650" t="s">
        <v>11</v>
      </c>
      <c r="F650" t="s">
        <v>14</v>
      </c>
      <c r="G650">
        <v>1712.2270000000001</v>
      </c>
    </row>
    <row r="651" spans="1:7" x14ac:dyDescent="0.25">
      <c r="A651">
        <v>58</v>
      </c>
      <c r="B651" t="s">
        <v>7</v>
      </c>
      <c r="C651">
        <v>32.965000000000003</v>
      </c>
      <c r="D651">
        <v>0</v>
      </c>
      <c r="E651" t="s">
        <v>11</v>
      </c>
      <c r="F651" t="s">
        <v>14</v>
      </c>
      <c r="G651">
        <v>12430.95335</v>
      </c>
    </row>
    <row r="652" spans="1:7" x14ac:dyDescent="0.25">
      <c r="A652">
        <v>49</v>
      </c>
      <c r="B652" t="s">
        <v>7</v>
      </c>
      <c r="C652">
        <v>42.68</v>
      </c>
      <c r="D652">
        <v>2</v>
      </c>
      <c r="E652" t="s">
        <v>11</v>
      </c>
      <c r="F652" t="s">
        <v>12</v>
      </c>
      <c r="G652">
        <v>9800.8881999999994</v>
      </c>
    </row>
    <row r="653" spans="1:7" x14ac:dyDescent="0.25">
      <c r="A653">
        <v>53</v>
      </c>
      <c r="B653" t="s">
        <v>7</v>
      </c>
      <c r="C653">
        <v>39.6</v>
      </c>
      <c r="D653">
        <v>1</v>
      </c>
      <c r="E653" t="s">
        <v>11</v>
      </c>
      <c r="F653" t="s">
        <v>12</v>
      </c>
      <c r="G653">
        <v>10579.710999999999</v>
      </c>
    </row>
    <row r="654" spans="1:7" x14ac:dyDescent="0.25">
      <c r="A654">
        <v>48</v>
      </c>
      <c r="B654" t="s">
        <v>7</v>
      </c>
      <c r="C654">
        <v>31.13</v>
      </c>
      <c r="D654">
        <v>0</v>
      </c>
      <c r="E654" t="s">
        <v>11</v>
      </c>
      <c r="F654" t="s">
        <v>12</v>
      </c>
      <c r="G654">
        <v>8280.6226999999999</v>
      </c>
    </row>
    <row r="655" spans="1:7" x14ac:dyDescent="0.25">
      <c r="A655">
        <v>45</v>
      </c>
      <c r="B655" t="s">
        <v>7</v>
      </c>
      <c r="C655">
        <v>36.299999999999997</v>
      </c>
      <c r="D655">
        <v>2</v>
      </c>
      <c r="E655" t="s">
        <v>11</v>
      </c>
      <c r="F655" t="s">
        <v>12</v>
      </c>
      <c r="G655">
        <v>8527.5319999999992</v>
      </c>
    </row>
    <row r="656" spans="1:7" x14ac:dyDescent="0.25">
      <c r="A656">
        <v>59</v>
      </c>
      <c r="B656" t="s">
        <v>7</v>
      </c>
      <c r="C656">
        <v>35.200000000000003</v>
      </c>
      <c r="D656">
        <v>0</v>
      </c>
      <c r="E656" t="s">
        <v>11</v>
      </c>
      <c r="F656" t="s">
        <v>12</v>
      </c>
      <c r="G656">
        <v>12244.531000000001</v>
      </c>
    </row>
    <row r="657" spans="1:7" x14ac:dyDescent="0.25">
      <c r="A657">
        <v>52</v>
      </c>
      <c r="B657" t="s">
        <v>7</v>
      </c>
      <c r="C657">
        <v>25.3</v>
      </c>
      <c r="D657">
        <v>2</v>
      </c>
      <c r="E657" t="s">
        <v>8</v>
      </c>
      <c r="F657" t="s">
        <v>12</v>
      </c>
      <c r="G657">
        <v>24667.419000000002</v>
      </c>
    </row>
    <row r="658" spans="1:7" x14ac:dyDescent="0.25">
      <c r="A658">
        <v>26</v>
      </c>
      <c r="B658" t="s">
        <v>7</v>
      </c>
      <c r="C658">
        <v>42.4</v>
      </c>
      <c r="D658">
        <v>1</v>
      </c>
      <c r="E658" t="s">
        <v>11</v>
      </c>
      <c r="F658" t="s">
        <v>9</v>
      </c>
      <c r="G658">
        <v>3410.3240000000001</v>
      </c>
    </row>
    <row r="659" spans="1:7" x14ac:dyDescent="0.25">
      <c r="A659">
        <v>27</v>
      </c>
      <c r="B659" t="s">
        <v>10</v>
      </c>
      <c r="C659">
        <v>33.155000000000001</v>
      </c>
      <c r="D659">
        <v>2</v>
      </c>
      <c r="E659" t="s">
        <v>11</v>
      </c>
      <c r="F659" t="s">
        <v>13</v>
      </c>
      <c r="G659">
        <v>4058.71245</v>
      </c>
    </row>
    <row r="660" spans="1:7" x14ac:dyDescent="0.25">
      <c r="A660">
        <v>48</v>
      </c>
      <c r="B660" t="s">
        <v>7</v>
      </c>
      <c r="C660">
        <v>35.909999999999997</v>
      </c>
      <c r="D660">
        <v>1</v>
      </c>
      <c r="E660" t="s">
        <v>11</v>
      </c>
      <c r="F660" t="s">
        <v>14</v>
      </c>
      <c r="G660">
        <v>26392.260289999998</v>
      </c>
    </row>
    <row r="661" spans="1:7" x14ac:dyDescent="0.25">
      <c r="A661">
        <v>57</v>
      </c>
      <c r="B661" t="s">
        <v>7</v>
      </c>
      <c r="C661">
        <v>28.785</v>
      </c>
      <c r="D661">
        <v>4</v>
      </c>
      <c r="E661" t="s">
        <v>11</v>
      </c>
      <c r="F661" t="s">
        <v>14</v>
      </c>
      <c r="G661">
        <v>14394.398150000001</v>
      </c>
    </row>
    <row r="662" spans="1:7" x14ac:dyDescent="0.25">
      <c r="A662">
        <v>37</v>
      </c>
      <c r="B662" t="s">
        <v>10</v>
      </c>
      <c r="C662">
        <v>46.53</v>
      </c>
      <c r="D662">
        <v>3</v>
      </c>
      <c r="E662" t="s">
        <v>11</v>
      </c>
      <c r="F662" t="s">
        <v>12</v>
      </c>
      <c r="G662">
        <v>6435.6237000000001</v>
      </c>
    </row>
    <row r="663" spans="1:7" x14ac:dyDescent="0.25">
      <c r="A663">
        <v>57</v>
      </c>
      <c r="B663" t="s">
        <v>7</v>
      </c>
      <c r="C663">
        <v>23.98</v>
      </c>
      <c r="D663">
        <v>1</v>
      </c>
      <c r="E663" t="s">
        <v>11</v>
      </c>
      <c r="F663" t="s">
        <v>12</v>
      </c>
      <c r="G663">
        <v>22192.437109999999</v>
      </c>
    </row>
    <row r="664" spans="1:7" x14ac:dyDescent="0.25">
      <c r="A664">
        <v>32</v>
      </c>
      <c r="B664" t="s">
        <v>7</v>
      </c>
      <c r="C664">
        <v>31.54</v>
      </c>
      <c r="D664">
        <v>1</v>
      </c>
      <c r="E664" t="s">
        <v>11</v>
      </c>
      <c r="F664" t="s">
        <v>14</v>
      </c>
      <c r="G664">
        <v>5148.5526</v>
      </c>
    </row>
    <row r="665" spans="1:7" x14ac:dyDescent="0.25">
      <c r="A665">
        <v>18</v>
      </c>
      <c r="B665" t="s">
        <v>10</v>
      </c>
      <c r="C665">
        <v>33.659999999999997</v>
      </c>
      <c r="D665">
        <v>0</v>
      </c>
      <c r="E665" t="s">
        <v>11</v>
      </c>
      <c r="F665" t="s">
        <v>12</v>
      </c>
      <c r="G665">
        <v>1136.3994</v>
      </c>
    </row>
    <row r="666" spans="1:7" x14ac:dyDescent="0.25">
      <c r="A666">
        <v>64</v>
      </c>
      <c r="B666" t="s">
        <v>7</v>
      </c>
      <c r="C666">
        <v>22.99</v>
      </c>
      <c r="D666">
        <v>0</v>
      </c>
      <c r="E666" t="s">
        <v>8</v>
      </c>
      <c r="F666" t="s">
        <v>12</v>
      </c>
      <c r="G666">
        <v>27037.914100000002</v>
      </c>
    </row>
    <row r="667" spans="1:7" x14ac:dyDescent="0.25">
      <c r="A667">
        <v>43</v>
      </c>
      <c r="B667" t="s">
        <v>10</v>
      </c>
      <c r="C667">
        <v>38.06</v>
      </c>
      <c r="D667">
        <v>2</v>
      </c>
      <c r="E667" t="s">
        <v>8</v>
      </c>
      <c r="F667" t="s">
        <v>12</v>
      </c>
      <c r="G667">
        <v>42560.430399999997</v>
      </c>
    </row>
    <row r="668" spans="1:7" x14ac:dyDescent="0.25">
      <c r="A668">
        <v>49</v>
      </c>
      <c r="B668" t="s">
        <v>10</v>
      </c>
      <c r="C668">
        <v>28.7</v>
      </c>
      <c r="D668">
        <v>1</v>
      </c>
      <c r="E668" t="s">
        <v>11</v>
      </c>
      <c r="F668" t="s">
        <v>9</v>
      </c>
      <c r="G668">
        <v>8703.4560000000001</v>
      </c>
    </row>
    <row r="669" spans="1:7" x14ac:dyDescent="0.25">
      <c r="A669">
        <v>40</v>
      </c>
      <c r="B669" t="s">
        <v>7</v>
      </c>
      <c r="C669">
        <v>32.774999999999999</v>
      </c>
      <c r="D669">
        <v>2</v>
      </c>
      <c r="E669" t="s">
        <v>8</v>
      </c>
      <c r="F669" t="s">
        <v>13</v>
      </c>
      <c r="G669">
        <v>40003.332249999999</v>
      </c>
    </row>
    <row r="670" spans="1:7" x14ac:dyDescent="0.25">
      <c r="A670">
        <v>62</v>
      </c>
      <c r="B670" t="s">
        <v>10</v>
      </c>
      <c r="C670">
        <v>32.015000000000001</v>
      </c>
      <c r="D670">
        <v>0</v>
      </c>
      <c r="E670" t="s">
        <v>8</v>
      </c>
      <c r="F670" t="s">
        <v>14</v>
      </c>
      <c r="G670">
        <v>45710.207849999999</v>
      </c>
    </row>
    <row r="671" spans="1:7" x14ac:dyDescent="0.25">
      <c r="A671">
        <v>40</v>
      </c>
      <c r="B671" t="s">
        <v>7</v>
      </c>
      <c r="C671">
        <v>29.81</v>
      </c>
      <c r="D671">
        <v>1</v>
      </c>
      <c r="E671" t="s">
        <v>11</v>
      </c>
      <c r="F671" t="s">
        <v>12</v>
      </c>
      <c r="G671">
        <v>6500.2358999999997</v>
      </c>
    </row>
    <row r="672" spans="1:7" x14ac:dyDescent="0.25">
      <c r="A672">
        <v>30</v>
      </c>
      <c r="B672" t="s">
        <v>10</v>
      </c>
      <c r="C672">
        <v>31.57</v>
      </c>
      <c r="D672">
        <v>3</v>
      </c>
      <c r="E672" t="s">
        <v>11</v>
      </c>
      <c r="F672" t="s">
        <v>12</v>
      </c>
      <c r="G672">
        <v>4837.5823</v>
      </c>
    </row>
    <row r="673" spans="1:7" x14ac:dyDescent="0.25">
      <c r="A673">
        <v>29</v>
      </c>
      <c r="B673" t="s">
        <v>7</v>
      </c>
      <c r="C673">
        <v>31.16</v>
      </c>
      <c r="D673">
        <v>0</v>
      </c>
      <c r="E673" t="s">
        <v>11</v>
      </c>
      <c r="F673" t="s">
        <v>14</v>
      </c>
      <c r="G673">
        <v>3943.5954000000002</v>
      </c>
    </row>
    <row r="674" spans="1:7" x14ac:dyDescent="0.25">
      <c r="A674">
        <v>36</v>
      </c>
      <c r="B674" t="s">
        <v>10</v>
      </c>
      <c r="C674">
        <v>29.7</v>
      </c>
      <c r="D674">
        <v>0</v>
      </c>
      <c r="E674" t="s">
        <v>11</v>
      </c>
      <c r="F674" t="s">
        <v>12</v>
      </c>
      <c r="G674">
        <v>4399.7309999999998</v>
      </c>
    </row>
    <row r="675" spans="1:7" x14ac:dyDescent="0.25">
      <c r="A675">
        <v>41</v>
      </c>
      <c r="B675" t="s">
        <v>7</v>
      </c>
      <c r="C675">
        <v>31.02</v>
      </c>
      <c r="D675">
        <v>0</v>
      </c>
      <c r="E675" t="s">
        <v>11</v>
      </c>
      <c r="F675" t="s">
        <v>12</v>
      </c>
      <c r="G675">
        <v>6185.3208000000004</v>
      </c>
    </row>
    <row r="676" spans="1:7" x14ac:dyDescent="0.25">
      <c r="A676">
        <v>44</v>
      </c>
      <c r="B676" t="s">
        <v>7</v>
      </c>
      <c r="C676">
        <v>43.89</v>
      </c>
      <c r="D676">
        <v>2</v>
      </c>
      <c r="E676" t="s">
        <v>8</v>
      </c>
      <c r="F676" t="s">
        <v>12</v>
      </c>
      <c r="G676">
        <v>46200.985099999998</v>
      </c>
    </row>
    <row r="677" spans="1:7" x14ac:dyDescent="0.25">
      <c r="A677">
        <v>45</v>
      </c>
      <c r="B677" t="s">
        <v>10</v>
      </c>
      <c r="C677">
        <v>21.375</v>
      </c>
      <c r="D677">
        <v>0</v>
      </c>
      <c r="E677" t="s">
        <v>11</v>
      </c>
      <c r="F677" t="s">
        <v>13</v>
      </c>
      <c r="G677">
        <v>7222.7862500000001</v>
      </c>
    </row>
    <row r="678" spans="1:7" x14ac:dyDescent="0.25">
      <c r="A678">
        <v>55</v>
      </c>
      <c r="B678" t="s">
        <v>7</v>
      </c>
      <c r="C678">
        <v>40.81</v>
      </c>
      <c r="D678">
        <v>3</v>
      </c>
      <c r="E678" t="s">
        <v>11</v>
      </c>
      <c r="F678" t="s">
        <v>12</v>
      </c>
      <c r="G678">
        <v>12485.8009</v>
      </c>
    </row>
    <row r="679" spans="1:7" x14ac:dyDescent="0.25">
      <c r="A679">
        <v>60</v>
      </c>
      <c r="B679" t="s">
        <v>10</v>
      </c>
      <c r="C679">
        <v>31.35</v>
      </c>
      <c r="D679">
        <v>3</v>
      </c>
      <c r="E679" t="s">
        <v>8</v>
      </c>
      <c r="F679" t="s">
        <v>13</v>
      </c>
      <c r="G679">
        <v>46130.5265</v>
      </c>
    </row>
    <row r="680" spans="1:7" x14ac:dyDescent="0.25">
      <c r="A680">
        <v>56</v>
      </c>
      <c r="B680" t="s">
        <v>10</v>
      </c>
      <c r="C680">
        <v>36.1</v>
      </c>
      <c r="D680">
        <v>3</v>
      </c>
      <c r="E680" t="s">
        <v>11</v>
      </c>
      <c r="F680" t="s">
        <v>9</v>
      </c>
      <c r="G680">
        <v>12363.547</v>
      </c>
    </row>
    <row r="681" spans="1:7" x14ac:dyDescent="0.25">
      <c r="A681">
        <v>49</v>
      </c>
      <c r="B681" t="s">
        <v>7</v>
      </c>
      <c r="C681">
        <v>23.18</v>
      </c>
      <c r="D681">
        <v>2</v>
      </c>
      <c r="E681" t="s">
        <v>11</v>
      </c>
      <c r="F681" t="s">
        <v>13</v>
      </c>
      <c r="G681">
        <v>10156.7832</v>
      </c>
    </row>
    <row r="682" spans="1:7" x14ac:dyDescent="0.25">
      <c r="A682">
        <v>21</v>
      </c>
      <c r="B682" t="s">
        <v>7</v>
      </c>
      <c r="C682">
        <v>17.399999999999999</v>
      </c>
      <c r="D682">
        <v>1</v>
      </c>
      <c r="E682" t="s">
        <v>11</v>
      </c>
      <c r="F682" t="s">
        <v>9</v>
      </c>
      <c r="G682">
        <v>2585.2689999999998</v>
      </c>
    </row>
    <row r="683" spans="1:7" x14ac:dyDescent="0.25">
      <c r="A683">
        <v>19</v>
      </c>
      <c r="B683" t="s">
        <v>10</v>
      </c>
      <c r="C683">
        <v>20.3</v>
      </c>
      <c r="D683">
        <v>0</v>
      </c>
      <c r="E683" t="s">
        <v>11</v>
      </c>
      <c r="F683" t="s">
        <v>9</v>
      </c>
      <c r="G683">
        <v>1242.26</v>
      </c>
    </row>
    <row r="684" spans="1:7" x14ac:dyDescent="0.25">
      <c r="A684">
        <v>39</v>
      </c>
      <c r="B684" t="s">
        <v>10</v>
      </c>
      <c r="C684">
        <v>35.299999999999997</v>
      </c>
      <c r="D684">
        <v>2</v>
      </c>
      <c r="E684" t="s">
        <v>8</v>
      </c>
      <c r="F684" t="s">
        <v>9</v>
      </c>
      <c r="G684">
        <v>40103.89</v>
      </c>
    </row>
    <row r="685" spans="1:7" x14ac:dyDescent="0.25">
      <c r="A685">
        <v>53</v>
      </c>
      <c r="B685" t="s">
        <v>10</v>
      </c>
      <c r="C685">
        <v>24.32</v>
      </c>
      <c r="D685">
        <v>0</v>
      </c>
      <c r="E685" t="s">
        <v>11</v>
      </c>
      <c r="F685" t="s">
        <v>13</v>
      </c>
      <c r="G685">
        <v>9863.4717999999993</v>
      </c>
    </row>
    <row r="686" spans="1:7" x14ac:dyDescent="0.25">
      <c r="A686">
        <v>33</v>
      </c>
      <c r="B686" t="s">
        <v>7</v>
      </c>
      <c r="C686">
        <v>18.5</v>
      </c>
      <c r="D686">
        <v>1</v>
      </c>
      <c r="E686" t="s">
        <v>11</v>
      </c>
      <c r="F686" t="s">
        <v>9</v>
      </c>
      <c r="G686">
        <v>4766.0219999999999</v>
      </c>
    </row>
    <row r="687" spans="1:7" x14ac:dyDescent="0.25">
      <c r="A687">
        <v>53</v>
      </c>
      <c r="B687" t="s">
        <v>10</v>
      </c>
      <c r="C687">
        <v>26.41</v>
      </c>
      <c r="D687">
        <v>2</v>
      </c>
      <c r="E687" t="s">
        <v>11</v>
      </c>
      <c r="F687" t="s">
        <v>14</v>
      </c>
      <c r="G687">
        <v>11244.376899999999</v>
      </c>
    </row>
    <row r="688" spans="1:7" x14ac:dyDescent="0.25">
      <c r="A688">
        <v>42</v>
      </c>
      <c r="B688" t="s">
        <v>10</v>
      </c>
      <c r="C688">
        <v>26.125</v>
      </c>
      <c r="D688">
        <v>2</v>
      </c>
      <c r="E688" t="s">
        <v>11</v>
      </c>
      <c r="F688" t="s">
        <v>14</v>
      </c>
      <c r="G688">
        <v>7729.6457499999997</v>
      </c>
    </row>
    <row r="689" spans="1:7" x14ac:dyDescent="0.25">
      <c r="A689">
        <v>40</v>
      </c>
      <c r="B689" t="s">
        <v>10</v>
      </c>
      <c r="C689">
        <v>41.69</v>
      </c>
      <c r="D689">
        <v>0</v>
      </c>
      <c r="E689" t="s">
        <v>11</v>
      </c>
      <c r="F689" t="s">
        <v>12</v>
      </c>
      <c r="G689">
        <v>5438.7491</v>
      </c>
    </row>
    <row r="690" spans="1:7" x14ac:dyDescent="0.25">
      <c r="A690">
        <v>47</v>
      </c>
      <c r="B690" t="s">
        <v>7</v>
      </c>
      <c r="C690">
        <v>24.1</v>
      </c>
      <c r="D690">
        <v>1</v>
      </c>
      <c r="E690" t="s">
        <v>11</v>
      </c>
      <c r="F690" t="s">
        <v>9</v>
      </c>
      <c r="G690">
        <v>26236.579969999999</v>
      </c>
    </row>
    <row r="691" spans="1:7" x14ac:dyDescent="0.25">
      <c r="A691">
        <v>27</v>
      </c>
      <c r="B691" t="s">
        <v>10</v>
      </c>
      <c r="C691">
        <v>31.13</v>
      </c>
      <c r="D691">
        <v>1</v>
      </c>
      <c r="E691" t="s">
        <v>8</v>
      </c>
      <c r="F691" t="s">
        <v>12</v>
      </c>
      <c r="G691">
        <v>34806.467700000001</v>
      </c>
    </row>
    <row r="692" spans="1:7" x14ac:dyDescent="0.25">
      <c r="A692">
        <v>21</v>
      </c>
      <c r="B692" t="s">
        <v>10</v>
      </c>
      <c r="C692">
        <v>27.36</v>
      </c>
      <c r="D692">
        <v>0</v>
      </c>
      <c r="E692" t="s">
        <v>11</v>
      </c>
      <c r="F692" t="s">
        <v>14</v>
      </c>
      <c r="G692">
        <v>2104.1134000000002</v>
      </c>
    </row>
    <row r="693" spans="1:7" x14ac:dyDescent="0.25">
      <c r="A693">
        <v>47</v>
      </c>
      <c r="B693" t="s">
        <v>10</v>
      </c>
      <c r="C693">
        <v>36.200000000000003</v>
      </c>
      <c r="D693">
        <v>1</v>
      </c>
      <c r="E693" t="s">
        <v>11</v>
      </c>
      <c r="F693" t="s">
        <v>9</v>
      </c>
      <c r="G693">
        <v>8068.1850000000004</v>
      </c>
    </row>
    <row r="694" spans="1:7" x14ac:dyDescent="0.25">
      <c r="A694">
        <v>20</v>
      </c>
      <c r="B694" t="s">
        <v>10</v>
      </c>
      <c r="C694">
        <v>32.395000000000003</v>
      </c>
      <c r="D694">
        <v>1</v>
      </c>
      <c r="E694" t="s">
        <v>11</v>
      </c>
      <c r="F694" t="s">
        <v>13</v>
      </c>
      <c r="G694">
        <v>2362.2290499999999</v>
      </c>
    </row>
    <row r="695" spans="1:7" x14ac:dyDescent="0.25">
      <c r="A695">
        <v>24</v>
      </c>
      <c r="B695" t="s">
        <v>10</v>
      </c>
      <c r="C695">
        <v>23.655000000000001</v>
      </c>
      <c r="D695">
        <v>0</v>
      </c>
      <c r="E695" t="s">
        <v>11</v>
      </c>
      <c r="F695" t="s">
        <v>13</v>
      </c>
      <c r="G695">
        <v>2352.9684499999998</v>
      </c>
    </row>
    <row r="696" spans="1:7" x14ac:dyDescent="0.25">
      <c r="A696">
        <v>27</v>
      </c>
      <c r="B696" t="s">
        <v>7</v>
      </c>
      <c r="C696">
        <v>34.799999999999997</v>
      </c>
      <c r="D696">
        <v>1</v>
      </c>
      <c r="E696" t="s">
        <v>11</v>
      </c>
      <c r="F696" t="s">
        <v>9</v>
      </c>
      <c r="G696">
        <v>3577.9989999999998</v>
      </c>
    </row>
    <row r="697" spans="1:7" x14ac:dyDescent="0.25">
      <c r="A697">
        <v>26</v>
      </c>
      <c r="B697" t="s">
        <v>7</v>
      </c>
      <c r="C697">
        <v>40.185000000000002</v>
      </c>
      <c r="D697">
        <v>0</v>
      </c>
      <c r="E697" t="s">
        <v>11</v>
      </c>
      <c r="F697" t="s">
        <v>13</v>
      </c>
      <c r="G697">
        <v>3201.2451500000002</v>
      </c>
    </row>
    <row r="698" spans="1:7" x14ac:dyDescent="0.25">
      <c r="A698">
        <v>53</v>
      </c>
      <c r="B698" t="s">
        <v>7</v>
      </c>
      <c r="C698">
        <v>32.299999999999997</v>
      </c>
      <c r="D698">
        <v>2</v>
      </c>
      <c r="E698" t="s">
        <v>11</v>
      </c>
      <c r="F698" t="s">
        <v>14</v>
      </c>
      <c r="G698">
        <v>29186.482360000002</v>
      </c>
    </row>
    <row r="699" spans="1:7" x14ac:dyDescent="0.25">
      <c r="A699">
        <v>41</v>
      </c>
      <c r="B699" t="s">
        <v>10</v>
      </c>
      <c r="C699">
        <v>35.75</v>
      </c>
      <c r="D699">
        <v>1</v>
      </c>
      <c r="E699" t="s">
        <v>8</v>
      </c>
      <c r="F699" t="s">
        <v>12</v>
      </c>
      <c r="G699">
        <v>40273.645499999999</v>
      </c>
    </row>
    <row r="700" spans="1:7" x14ac:dyDescent="0.25">
      <c r="A700">
        <v>56</v>
      </c>
      <c r="B700" t="s">
        <v>10</v>
      </c>
      <c r="C700">
        <v>33.725000000000001</v>
      </c>
      <c r="D700">
        <v>0</v>
      </c>
      <c r="E700" t="s">
        <v>11</v>
      </c>
      <c r="F700" t="s">
        <v>13</v>
      </c>
      <c r="G700">
        <v>10976.24575</v>
      </c>
    </row>
    <row r="701" spans="1:7" x14ac:dyDescent="0.25">
      <c r="A701">
        <v>23</v>
      </c>
      <c r="B701" t="s">
        <v>7</v>
      </c>
      <c r="C701">
        <v>39.270000000000003</v>
      </c>
      <c r="D701">
        <v>2</v>
      </c>
      <c r="E701" t="s">
        <v>11</v>
      </c>
      <c r="F701" t="s">
        <v>12</v>
      </c>
      <c r="G701">
        <v>3500.6122999999998</v>
      </c>
    </row>
    <row r="702" spans="1:7" x14ac:dyDescent="0.25">
      <c r="A702">
        <v>21</v>
      </c>
      <c r="B702" t="s">
        <v>7</v>
      </c>
      <c r="C702">
        <v>34.869999999999997</v>
      </c>
      <c r="D702">
        <v>0</v>
      </c>
      <c r="E702" t="s">
        <v>11</v>
      </c>
      <c r="F702" t="s">
        <v>12</v>
      </c>
      <c r="G702">
        <v>2020.5523000000001</v>
      </c>
    </row>
    <row r="703" spans="1:7" x14ac:dyDescent="0.25">
      <c r="A703">
        <v>50</v>
      </c>
      <c r="B703" t="s">
        <v>7</v>
      </c>
      <c r="C703">
        <v>44.744999999999997</v>
      </c>
      <c r="D703">
        <v>0</v>
      </c>
      <c r="E703" t="s">
        <v>11</v>
      </c>
      <c r="F703" t="s">
        <v>14</v>
      </c>
      <c r="G703">
        <v>9541.6955500000004</v>
      </c>
    </row>
    <row r="704" spans="1:7" x14ac:dyDescent="0.25">
      <c r="A704">
        <v>53</v>
      </c>
      <c r="B704" t="s">
        <v>10</v>
      </c>
      <c r="C704">
        <v>41.47</v>
      </c>
      <c r="D704">
        <v>0</v>
      </c>
      <c r="E704" t="s">
        <v>11</v>
      </c>
      <c r="F704" t="s">
        <v>12</v>
      </c>
      <c r="G704">
        <v>9504.3102999999992</v>
      </c>
    </row>
    <row r="705" spans="1:7" x14ac:dyDescent="0.25">
      <c r="A705">
        <v>34</v>
      </c>
      <c r="B705" t="s">
        <v>7</v>
      </c>
      <c r="C705">
        <v>26.41</v>
      </c>
      <c r="D705">
        <v>1</v>
      </c>
      <c r="E705" t="s">
        <v>11</v>
      </c>
      <c r="F705" t="s">
        <v>13</v>
      </c>
      <c r="G705">
        <v>5385.3379000000004</v>
      </c>
    </row>
    <row r="706" spans="1:7" x14ac:dyDescent="0.25">
      <c r="A706">
        <v>47</v>
      </c>
      <c r="B706" t="s">
        <v>7</v>
      </c>
      <c r="C706">
        <v>29.545000000000002</v>
      </c>
      <c r="D706">
        <v>1</v>
      </c>
      <c r="E706" t="s">
        <v>11</v>
      </c>
      <c r="F706" t="s">
        <v>13</v>
      </c>
      <c r="G706">
        <v>8930.9345499999999</v>
      </c>
    </row>
    <row r="707" spans="1:7" x14ac:dyDescent="0.25">
      <c r="A707">
        <v>33</v>
      </c>
      <c r="B707" t="s">
        <v>7</v>
      </c>
      <c r="C707">
        <v>32.9</v>
      </c>
      <c r="D707">
        <v>2</v>
      </c>
      <c r="E707" t="s">
        <v>11</v>
      </c>
      <c r="F707" t="s">
        <v>9</v>
      </c>
      <c r="G707">
        <v>5375.0379999999996</v>
      </c>
    </row>
    <row r="708" spans="1:7" x14ac:dyDescent="0.25">
      <c r="A708">
        <v>51</v>
      </c>
      <c r="B708" t="s">
        <v>7</v>
      </c>
      <c r="C708">
        <v>38.06</v>
      </c>
      <c r="D708">
        <v>0</v>
      </c>
      <c r="E708" t="s">
        <v>8</v>
      </c>
      <c r="F708" t="s">
        <v>12</v>
      </c>
      <c r="G708">
        <v>44400.4064</v>
      </c>
    </row>
    <row r="709" spans="1:7" x14ac:dyDescent="0.25">
      <c r="A709">
        <v>49</v>
      </c>
      <c r="B709" t="s">
        <v>10</v>
      </c>
      <c r="C709">
        <v>28.69</v>
      </c>
      <c r="D709">
        <v>3</v>
      </c>
      <c r="E709" t="s">
        <v>11</v>
      </c>
      <c r="F709" t="s">
        <v>13</v>
      </c>
      <c r="G709">
        <v>10264.4421</v>
      </c>
    </row>
    <row r="710" spans="1:7" x14ac:dyDescent="0.25">
      <c r="A710">
        <v>31</v>
      </c>
      <c r="B710" t="s">
        <v>7</v>
      </c>
      <c r="C710">
        <v>30.495000000000001</v>
      </c>
      <c r="D710">
        <v>3</v>
      </c>
      <c r="E710" t="s">
        <v>11</v>
      </c>
      <c r="F710" t="s">
        <v>14</v>
      </c>
      <c r="G710">
        <v>6113.2310500000003</v>
      </c>
    </row>
    <row r="711" spans="1:7" x14ac:dyDescent="0.25">
      <c r="A711">
        <v>36</v>
      </c>
      <c r="B711" t="s">
        <v>7</v>
      </c>
      <c r="C711">
        <v>27.74</v>
      </c>
      <c r="D711">
        <v>0</v>
      </c>
      <c r="E711" t="s">
        <v>11</v>
      </c>
      <c r="F711" t="s">
        <v>14</v>
      </c>
      <c r="G711">
        <v>5469.0065999999997</v>
      </c>
    </row>
    <row r="712" spans="1:7" x14ac:dyDescent="0.25">
      <c r="A712">
        <v>18</v>
      </c>
      <c r="B712" t="s">
        <v>10</v>
      </c>
      <c r="C712">
        <v>35.200000000000003</v>
      </c>
      <c r="D712">
        <v>1</v>
      </c>
      <c r="E712" t="s">
        <v>11</v>
      </c>
      <c r="F712" t="s">
        <v>12</v>
      </c>
      <c r="G712">
        <v>1727.54</v>
      </c>
    </row>
    <row r="713" spans="1:7" x14ac:dyDescent="0.25">
      <c r="A713">
        <v>50</v>
      </c>
      <c r="B713" t="s">
        <v>7</v>
      </c>
      <c r="C713">
        <v>23.54</v>
      </c>
      <c r="D713">
        <v>2</v>
      </c>
      <c r="E713" t="s">
        <v>11</v>
      </c>
      <c r="F713" t="s">
        <v>12</v>
      </c>
      <c r="G713">
        <v>10107.220600000001</v>
      </c>
    </row>
    <row r="714" spans="1:7" x14ac:dyDescent="0.25">
      <c r="A714">
        <v>43</v>
      </c>
      <c r="B714" t="s">
        <v>7</v>
      </c>
      <c r="C714">
        <v>30.684999999999999</v>
      </c>
      <c r="D714">
        <v>2</v>
      </c>
      <c r="E714" t="s">
        <v>11</v>
      </c>
      <c r="F714" t="s">
        <v>13</v>
      </c>
      <c r="G714">
        <v>8310.8391499999998</v>
      </c>
    </row>
    <row r="715" spans="1:7" x14ac:dyDescent="0.25">
      <c r="A715">
        <v>20</v>
      </c>
      <c r="B715" t="s">
        <v>10</v>
      </c>
      <c r="C715">
        <v>40.47</v>
      </c>
      <c r="D715">
        <v>0</v>
      </c>
      <c r="E715" t="s">
        <v>11</v>
      </c>
      <c r="F715" t="s">
        <v>14</v>
      </c>
      <c r="G715">
        <v>1984.4532999999999</v>
      </c>
    </row>
    <row r="716" spans="1:7" x14ac:dyDescent="0.25">
      <c r="A716">
        <v>24</v>
      </c>
      <c r="B716" t="s">
        <v>7</v>
      </c>
      <c r="C716">
        <v>22.6</v>
      </c>
      <c r="D716">
        <v>0</v>
      </c>
      <c r="E716" t="s">
        <v>11</v>
      </c>
      <c r="F716" t="s">
        <v>9</v>
      </c>
      <c r="G716">
        <v>2457.502</v>
      </c>
    </row>
    <row r="717" spans="1:7" x14ac:dyDescent="0.25">
      <c r="A717">
        <v>60</v>
      </c>
      <c r="B717" t="s">
        <v>10</v>
      </c>
      <c r="C717">
        <v>28.9</v>
      </c>
      <c r="D717">
        <v>0</v>
      </c>
      <c r="E717" t="s">
        <v>11</v>
      </c>
      <c r="F717" t="s">
        <v>9</v>
      </c>
      <c r="G717">
        <v>12146.971</v>
      </c>
    </row>
    <row r="718" spans="1:7" x14ac:dyDescent="0.25">
      <c r="A718">
        <v>49</v>
      </c>
      <c r="B718" t="s">
        <v>7</v>
      </c>
      <c r="C718">
        <v>22.61</v>
      </c>
      <c r="D718">
        <v>1</v>
      </c>
      <c r="E718" t="s">
        <v>11</v>
      </c>
      <c r="F718" t="s">
        <v>13</v>
      </c>
      <c r="G718">
        <v>9566.9909000000007</v>
      </c>
    </row>
    <row r="719" spans="1:7" x14ac:dyDescent="0.25">
      <c r="A719">
        <v>60</v>
      </c>
      <c r="B719" t="s">
        <v>10</v>
      </c>
      <c r="C719">
        <v>24.32</v>
      </c>
      <c r="D719">
        <v>1</v>
      </c>
      <c r="E719" t="s">
        <v>11</v>
      </c>
      <c r="F719" t="s">
        <v>13</v>
      </c>
      <c r="G719">
        <v>13112.604799999999</v>
      </c>
    </row>
    <row r="720" spans="1:7" x14ac:dyDescent="0.25">
      <c r="A720">
        <v>51</v>
      </c>
      <c r="B720" t="s">
        <v>7</v>
      </c>
      <c r="C720">
        <v>36.67</v>
      </c>
      <c r="D720">
        <v>2</v>
      </c>
      <c r="E720" t="s">
        <v>11</v>
      </c>
      <c r="F720" t="s">
        <v>13</v>
      </c>
      <c r="G720">
        <v>10848.1343</v>
      </c>
    </row>
    <row r="721" spans="1:7" x14ac:dyDescent="0.25">
      <c r="A721">
        <v>58</v>
      </c>
      <c r="B721" t="s">
        <v>7</v>
      </c>
      <c r="C721">
        <v>33.44</v>
      </c>
      <c r="D721">
        <v>0</v>
      </c>
      <c r="E721" t="s">
        <v>11</v>
      </c>
      <c r="F721" t="s">
        <v>13</v>
      </c>
      <c r="G721">
        <v>12231.613600000001</v>
      </c>
    </row>
    <row r="722" spans="1:7" x14ac:dyDescent="0.25">
      <c r="A722">
        <v>51</v>
      </c>
      <c r="B722" t="s">
        <v>7</v>
      </c>
      <c r="C722">
        <v>40.659999999999997</v>
      </c>
      <c r="D722">
        <v>0</v>
      </c>
      <c r="E722" t="s">
        <v>11</v>
      </c>
      <c r="F722" t="s">
        <v>14</v>
      </c>
      <c r="G722">
        <v>9875.6803999999993</v>
      </c>
    </row>
    <row r="723" spans="1:7" x14ac:dyDescent="0.25">
      <c r="A723">
        <v>53</v>
      </c>
      <c r="B723" t="s">
        <v>10</v>
      </c>
      <c r="C723">
        <v>36.6</v>
      </c>
      <c r="D723">
        <v>3</v>
      </c>
      <c r="E723" t="s">
        <v>11</v>
      </c>
      <c r="F723" t="s">
        <v>9</v>
      </c>
      <c r="G723">
        <v>11264.540999999999</v>
      </c>
    </row>
    <row r="724" spans="1:7" x14ac:dyDescent="0.25">
      <c r="A724">
        <v>62</v>
      </c>
      <c r="B724" t="s">
        <v>10</v>
      </c>
      <c r="C724">
        <v>37.4</v>
      </c>
      <c r="D724">
        <v>0</v>
      </c>
      <c r="E724" t="s">
        <v>11</v>
      </c>
      <c r="F724" t="s">
        <v>9</v>
      </c>
      <c r="G724">
        <v>12979.358</v>
      </c>
    </row>
    <row r="725" spans="1:7" x14ac:dyDescent="0.25">
      <c r="A725">
        <v>19</v>
      </c>
      <c r="B725" t="s">
        <v>10</v>
      </c>
      <c r="C725">
        <v>35.4</v>
      </c>
      <c r="D725">
        <v>0</v>
      </c>
      <c r="E725" t="s">
        <v>11</v>
      </c>
      <c r="F725" t="s">
        <v>9</v>
      </c>
      <c r="G725">
        <v>1263.249</v>
      </c>
    </row>
    <row r="726" spans="1:7" x14ac:dyDescent="0.25">
      <c r="A726">
        <v>50</v>
      </c>
      <c r="B726" t="s">
        <v>7</v>
      </c>
      <c r="C726">
        <v>27.074999999999999</v>
      </c>
      <c r="D726">
        <v>1</v>
      </c>
      <c r="E726" t="s">
        <v>11</v>
      </c>
      <c r="F726" t="s">
        <v>14</v>
      </c>
      <c r="G726">
        <v>10106.134249999999</v>
      </c>
    </row>
    <row r="727" spans="1:7" x14ac:dyDescent="0.25">
      <c r="A727">
        <v>30</v>
      </c>
      <c r="B727" t="s">
        <v>7</v>
      </c>
      <c r="C727">
        <v>39.049999999999997</v>
      </c>
      <c r="D727">
        <v>3</v>
      </c>
      <c r="E727" t="s">
        <v>8</v>
      </c>
      <c r="F727" t="s">
        <v>12</v>
      </c>
      <c r="G727">
        <v>40932.429499999998</v>
      </c>
    </row>
    <row r="728" spans="1:7" x14ac:dyDescent="0.25">
      <c r="A728">
        <v>41</v>
      </c>
      <c r="B728" t="s">
        <v>10</v>
      </c>
      <c r="C728">
        <v>28.405000000000001</v>
      </c>
      <c r="D728">
        <v>1</v>
      </c>
      <c r="E728" t="s">
        <v>11</v>
      </c>
      <c r="F728" t="s">
        <v>13</v>
      </c>
      <c r="G728">
        <v>6664.68595</v>
      </c>
    </row>
    <row r="729" spans="1:7" x14ac:dyDescent="0.25">
      <c r="A729">
        <v>29</v>
      </c>
      <c r="B729" t="s">
        <v>7</v>
      </c>
      <c r="C729">
        <v>21.754999999999999</v>
      </c>
      <c r="D729">
        <v>1</v>
      </c>
      <c r="E729" t="s">
        <v>8</v>
      </c>
      <c r="F729" t="s">
        <v>14</v>
      </c>
      <c r="G729">
        <v>16657.71745</v>
      </c>
    </row>
    <row r="730" spans="1:7" x14ac:dyDescent="0.25">
      <c r="A730">
        <v>18</v>
      </c>
      <c r="B730" t="s">
        <v>7</v>
      </c>
      <c r="C730">
        <v>40.28</v>
      </c>
      <c r="D730">
        <v>0</v>
      </c>
      <c r="E730" t="s">
        <v>11</v>
      </c>
      <c r="F730" t="s">
        <v>14</v>
      </c>
      <c r="G730">
        <v>2217.6012000000001</v>
      </c>
    </row>
    <row r="731" spans="1:7" x14ac:dyDescent="0.25">
      <c r="A731">
        <v>41</v>
      </c>
      <c r="B731" t="s">
        <v>7</v>
      </c>
      <c r="C731">
        <v>36.08</v>
      </c>
      <c r="D731">
        <v>1</v>
      </c>
      <c r="E731" t="s">
        <v>11</v>
      </c>
      <c r="F731" t="s">
        <v>12</v>
      </c>
      <c r="G731">
        <v>6781.3541999999998</v>
      </c>
    </row>
    <row r="732" spans="1:7" x14ac:dyDescent="0.25">
      <c r="A732">
        <v>35</v>
      </c>
      <c r="B732" t="s">
        <v>10</v>
      </c>
      <c r="C732">
        <v>24.42</v>
      </c>
      <c r="D732">
        <v>3</v>
      </c>
      <c r="E732" t="s">
        <v>8</v>
      </c>
      <c r="F732" t="s">
        <v>12</v>
      </c>
      <c r="G732">
        <v>19361.998800000001</v>
      </c>
    </row>
    <row r="733" spans="1:7" x14ac:dyDescent="0.25">
      <c r="A733">
        <v>53</v>
      </c>
      <c r="B733" t="s">
        <v>10</v>
      </c>
      <c r="C733">
        <v>21.4</v>
      </c>
      <c r="D733">
        <v>1</v>
      </c>
      <c r="E733" t="s">
        <v>11</v>
      </c>
      <c r="F733" t="s">
        <v>9</v>
      </c>
      <c r="G733">
        <v>10065.413</v>
      </c>
    </row>
    <row r="734" spans="1:7" x14ac:dyDescent="0.25">
      <c r="A734">
        <v>24</v>
      </c>
      <c r="B734" t="s">
        <v>7</v>
      </c>
      <c r="C734">
        <v>30.1</v>
      </c>
      <c r="D734">
        <v>3</v>
      </c>
      <c r="E734" t="s">
        <v>11</v>
      </c>
      <c r="F734" t="s">
        <v>9</v>
      </c>
      <c r="G734">
        <v>4234.9269999999997</v>
      </c>
    </row>
    <row r="735" spans="1:7" x14ac:dyDescent="0.25">
      <c r="A735">
        <v>48</v>
      </c>
      <c r="B735" t="s">
        <v>7</v>
      </c>
      <c r="C735">
        <v>27.265000000000001</v>
      </c>
      <c r="D735">
        <v>1</v>
      </c>
      <c r="E735" t="s">
        <v>11</v>
      </c>
      <c r="F735" t="s">
        <v>14</v>
      </c>
      <c r="G735">
        <v>9447.2503500000003</v>
      </c>
    </row>
    <row r="736" spans="1:7" x14ac:dyDescent="0.25">
      <c r="A736">
        <v>59</v>
      </c>
      <c r="B736" t="s">
        <v>7</v>
      </c>
      <c r="C736">
        <v>32.1</v>
      </c>
      <c r="D736">
        <v>3</v>
      </c>
      <c r="E736" t="s">
        <v>11</v>
      </c>
      <c r="F736" t="s">
        <v>9</v>
      </c>
      <c r="G736">
        <v>14007.222</v>
      </c>
    </row>
    <row r="737" spans="1:7" x14ac:dyDescent="0.25">
      <c r="A737">
        <v>49</v>
      </c>
      <c r="B737" t="s">
        <v>7</v>
      </c>
      <c r="C737">
        <v>34.770000000000003</v>
      </c>
      <c r="D737">
        <v>1</v>
      </c>
      <c r="E737" t="s">
        <v>11</v>
      </c>
      <c r="F737" t="s">
        <v>13</v>
      </c>
      <c r="G737">
        <v>9583.8932999999997</v>
      </c>
    </row>
    <row r="738" spans="1:7" x14ac:dyDescent="0.25">
      <c r="A738">
        <v>37</v>
      </c>
      <c r="B738" t="s">
        <v>7</v>
      </c>
      <c r="C738">
        <v>38.39</v>
      </c>
      <c r="D738">
        <v>0</v>
      </c>
      <c r="E738" t="s">
        <v>8</v>
      </c>
      <c r="F738" t="s">
        <v>12</v>
      </c>
      <c r="G738">
        <v>40419.019099999998</v>
      </c>
    </row>
    <row r="739" spans="1:7" x14ac:dyDescent="0.25">
      <c r="A739">
        <v>26</v>
      </c>
      <c r="B739" t="s">
        <v>10</v>
      </c>
      <c r="C739">
        <v>23.7</v>
      </c>
      <c r="D739">
        <v>2</v>
      </c>
      <c r="E739" t="s">
        <v>11</v>
      </c>
      <c r="F739" t="s">
        <v>9</v>
      </c>
      <c r="G739">
        <v>3484.3310000000001</v>
      </c>
    </row>
    <row r="740" spans="1:7" x14ac:dyDescent="0.25">
      <c r="A740">
        <v>23</v>
      </c>
      <c r="B740" t="s">
        <v>10</v>
      </c>
      <c r="C740">
        <v>31.73</v>
      </c>
      <c r="D740">
        <v>3</v>
      </c>
      <c r="E740" t="s">
        <v>8</v>
      </c>
      <c r="F740" t="s">
        <v>14</v>
      </c>
      <c r="G740">
        <v>36189.101699999999</v>
      </c>
    </row>
    <row r="741" spans="1:7" x14ac:dyDescent="0.25">
      <c r="A741">
        <v>29</v>
      </c>
      <c r="B741" t="s">
        <v>10</v>
      </c>
      <c r="C741">
        <v>35.5</v>
      </c>
      <c r="D741">
        <v>2</v>
      </c>
      <c r="E741" t="s">
        <v>8</v>
      </c>
      <c r="F741" t="s">
        <v>9</v>
      </c>
      <c r="G741">
        <v>44585.455869999998</v>
      </c>
    </row>
    <row r="742" spans="1:7" x14ac:dyDescent="0.25">
      <c r="A742">
        <v>45</v>
      </c>
      <c r="B742" t="s">
        <v>10</v>
      </c>
      <c r="C742">
        <v>24.035</v>
      </c>
      <c r="D742">
        <v>2</v>
      </c>
      <c r="E742" t="s">
        <v>11</v>
      </c>
      <c r="F742" t="s">
        <v>14</v>
      </c>
      <c r="G742">
        <v>8604.4836500000001</v>
      </c>
    </row>
    <row r="743" spans="1:7" x14ac:dyDescent="0.25">
      <c r="A743">
        <v>27</v>
      </c>
      <c r="B743" t="s">
        <v>10</v>
      </c>
      <c r="C743">
        <v>29.15</v>
      </c>
      <c r="D743">
        <v>0</v>
      </c>
      <c r="E743" t="s">
        <v>8</v>
      </c>
      <c r="F743" t="s">
        <v>12</v>
      </c>
      <c r="G743">
        <v>18246.495500000001</v>
      </c>
    </row>
    <row r="744" spans="1:7" x14ac:dyDescent="0.25">
      <c r="A744">
        <v>53</v>
      </c>
      <c r="B744" t="s">
        <v>10</v>
      </c>
      <c r="C744">
        <v>34.104999999999997</v>
      </c>
      <c r="D744">
        <v>0</v>
      </c>
      <c r="E744" t="s">
        <v>8</v>
      </c>
      <c r="F744" t="s">
        <v>14</v>
      </c>
      <c r="G744">
        <v>43254.417950000003</v>
      </c>
    </row>
    <row r="745" spans="1:7" x14ac:dyDescent="0.25">
      <c r="A745">
        <v>31</v>
      </c>
      <c r="B745" t="s">
        <v>7</v>
      </c>
      <c r="C745">
        <v>26.62</v>
      </c>
      <c r="D745">
        <v>0</v>
      </c>
      <c r="E745" t="s">
        <v>11</v>
      </c>
      <c r="F745" t="s">
        <v>12</v>
      </c>
      <c r="G745">
        <v>3757.8447999999999</v>
      </c>
    </row>
    <row r="746" spans="1:7" x14ac:dyDescent="0.25">
      <c r="A746">
        <v>50</v>
      </c>
      <c r="B746" t="s">
        <v>10</v>
      </c>
      <c r="C746">
        <v>26.41</v>
      </c>
      <c r="D746">
        <v>0</v>
      </c>
      <c r="E746" t="s">
        <v>11</v>
      </c>
      <c r="F746" t="s">
        <v>13</v>
      </c>
      <c r="G746">
        <v>8827.2098999999998</v>
      </c>
    </row>
    <row r="747" spans="1:7" x14ac:dyDescent="0.25">
      <c r="A747">
        <v>50</v>
      </c>
      <c r="B747" t="s">
        <v>7</v>
      </c>
      <c r="C747">
        <v>30.114999999999998</v>
      </c>
      <c r="D747">
        <v>1</v>
      </c>
      <c r="E747" t="s">
        <v>11</v>
      </c>
      <c r="F747" t="s">
        <v>13</v>
      </c>
      <c r="G747">
        <v>9910.3598500000007</v>
      </c>
    </row>
    <row r="748" spans="1:7" x14ac:dyDescent="0.25">
      <c r="A748">
        <v>34</v>
      </c>
      <c r="B748" t="s">
        <v>10</v>
      </c>
      <c r="C748">
        <v>27</v>
      </c>
      <c r="D748">
        <v>2</v>
      </c>
      <c r="E748" t="s">
        <v>11</v>
      </c>
      <c r="F748" t="s">
        <v>9</v>
      </c>
      <c r="G748">
        <v>11737.848840000001</v>
      </c>
    </row>
    <row r="749" spans="1:7" x14ac:dyDescent="0.25">
      <c r="A749">
        <v>19</v>
      </c>
      <c r="B749" t="s">
        <v>10</v>
      </c>
      <c r="C749">
        <v>21.754999999999999</v>
      </c>
      <c r="D749">
        <v>0</v>
      </c>
      <c r="E749" t="s">
        <v>11</v>
      </c>
      <c r="F749" t="s">
        <v>13</v>
      </c>
      <c r="G749">
        <v>1627.2824499999999</v>
      </c>
    </row>
    <row r="750" spans="1:7" x14ac:dyDescent="0.25">
      <c r="A750">
        <v>47</v>
      </c>
      <c r="B750" t="s">
        <v>7</v>
      </c>
      <c r="C750">
        <v>36</v>
      </c>
      <c r="D750">
        <v>1</v>
      </c>
      <c r="E750" t="s">
        <v>11</v>
      </c>
      <c r="F750" t="s">
        <v>9</v>
      </c>
      <c r="G750">
        <v>8556.9069999999992</v>
      </c>
    </row>
    <row r="751" spans="1:7" x14ac:dyDescent="0.25">
      <c r="A751">
        <v>28</v>
      </c>
      <c r="B751" t="s">
        <v>10</v>
      </c>
      <c r="C751">
        <v>30.875</v>
      </c>
      <c r="D751">
        <v>0</v>
      </c>
      <c r="E751" t="s">
        <v>11</v>
      </c>
      <c r="F751" t="s">
        <v>13</v>
      </c>
      <c r="G751">
        <v>3062.5082499999999</v>
      </c>
    </row>
    <row r="752" spans="1:7" x14ac:dyDescent="0.25">
      <c r="A752">
        <v>37</v>
      </c>
      <c r="B752" t="s">
        <v>7</v>
      </c>
      <c r="C752">
        <v>26.4</v>
      </c>
      <c r="D752">
        <v>0</v>
      </c>
      <c r="E752" t="s">
        <v>8</v>
      </c>
      <c r="F752" t="s">
        <v>12</v>
      </c>
      <c r="G752">
        <v>19539.242999999999</v>
      </c>
    </row>
    <row r="753" spans="1:7" x14ac:dyDescent="0.25">
      <c r="A753">
        <v>21</v>
      </c>
      <c r="B753" t="s">
        <v>10</v>
      </c>
      <c r="C753">
        <v>28.975000000000001</v>
      </c>
      <c r="D753">
        <v>0</v>
      </c>
      <c r="E753" t="s">
        <v>11</v>
      </c>
      <c r="F753" t="s">
        <v>13</v>
      </c>
      <c r="G753">
        <v>1906.35825</v>
      </c>
    </row>
    <row r="754" spans="1:7" x14ac:dyDescent="0.25">
      <c r="A754">
        <v>64</v>
      </c>
      <c r="B754" t="s">
        <v>10</v>
      </c>
      <c r="C754">
        <v>37.905000000000001</v>
      </c>
      <c r="D754">
        <v>0</v>
      </c>
      <c r="E754" t="s">
        <v>11</v>
      </c>
      <c r="F754" t="s">
        <v>13</v>
      </c>
      <c r="G754">
        <v>14210.53595</v>
      </c>
    </row>
    <row r="755" spans="1:7" x14ac:dyDescent="0.25">
      <c r="A755">
        <v>58</v>
      </c>
      <c r="B755" t="s">
        <v>7</v>
      </c>
      <c r="C755">
        <v>22.77</v>
      </c>
      <c r="D755">
        <v>0</v>
      </c>
      <c r="E755" t="s">
        <v>11</v>
      </c>
      <c r="F755" t="s">
        <v>12</v>
      </c>
      <c r="G755">
        <v>11833.782300000001</v>
      </c>
    </row>
    <row r="756" spans="1:7" x14ac:dyDescent="0.25">
      <c r="A756">
        <v>24</v>
      </c>
      <c r="B756" t="s">
        <v>10</v>
      </c>
      <c r="C756">
        <v>33.630000000000003</v>
      </c>
      <c r="D756">
        <v>4</v>
      </c>
      <c r="E756" t="s">
        <v>11</v>
      </c>
      <c r="F756" t="s">
        <v>14</v>
      </c>
      <c r="G756">
        <v>17128.426080000001</v>
      </c>
    </row>
    <row r="757" spans="1:7" x14ac:dyDescent="0.25">
      <c r="A757">
        <v>31</v>
      </c>
      <c r="B757" t="s">
        <v>10</v>
      </c>
      <c r="C757">
        <v>27.645</v>
      </c>
      <c r="D757">
        <v>2</v>
      </c>
      <c r="E757" t="s">
        <v>11</v>
      </c>
      <c r="F757" t="s">
        <v>14</v>
      </c>
      <c r="G757">
        <v>5031.26955</v>
      </c>
    </row>
    <row r="758" spans="1:7" x14ac:dyDescent="0.25">
      <c r="A758">
        <v>39</v>
      </c>
      <c r="B758" t="s">
        <v>7</v>
      </c>
      <c r="C758">
        <v>22.8</v>
      </c>
      <c r="D758">
        <v>3</v>
      </c>
      <c r="E758" t="s">
        <v>11</v>
      </c>
      <c r="F758" t="s">
        <v>14</v>
      </c>
      <c r="G758">
        <v>7985.8149999999996</v>
      </c>
    </row>
    <row r="759" spans="1:7" x14ac:dyDescent="0.25">
      <c r="A759">
        <v>47</v>
      </c>
      <c r="B759" t="s">
        <v>7</v>
      </c>
      <c r="C759">
        <v>27.83</v>
      </c>
      <c r="D759">
        <v>0</v>
      </c>
      <c r="E759" t="s">
        <v>8</v>
      </c>
      <c r="F759" t="s">
        <v>12</v>
      </c>
      <c r="G759">
        <v>23065.420699999999</v>
      </c>
    </row>
    <row r="760" spans="1:7" x14ac:dyDescent="0.25">
      <c r="A760">
        <v>30</v>
      </c>
      <c r="B760" t="s">
        <v>10</v>
      </c>
      <c r="C760">
        <v>37.43</v>
      </c>
      <c r="D760">
        <v>3</v>
      </c>
      <c r="E760" t="s">
        <v>11</v>
      </c>
      <c r="F760" t="s">
        <v>14</v>
      </c>
      <c r="G760">
        <v>5428.7277000000004</v>
      </c>
    </row>
    <row r="761" spans="1:7" x14ac:dyDescent="0.25">
      <c r="A761">
        <v>18</v>
      </c>
      <c r="B761" t="s">
        <v>10</v>
      </c>
      <c r="C761">
        <v>38.17</v>
      </c>
      <c r="D761">
        <v>0</v>
      </c>
      <c r="E761" t="s">
        <v>8</v>
      </c>
      <c r="F761" t="s">
        <v>12</v>
      </c>
      <c r="G761">
        <v>36307.798300000002</v>
      </c>
    </row>
    <row r="762" spans="1:7" x14ac:dyDescent="0.25">
      <c r="A762">
        <v>22</v>
      </c>
      <c r="B762" t="s">
        <v>7</v>
      </c>
      <c r="C762">
        <v>34.58</v>
      </c>
      <c r="D762">
        <v>2</v>
      </c>
      <c r="E762" t="s">
        <v>11</v>
      </c>
      <c r="F762" t="s">
        <v>14</v>
      </c>
      <c r="G762">
        <v>3925.7582000000002</v>
      </c>
    </row>
    <row r="763" spans="1:7" x14ac:dyDescent="0.25">
      <c r="A763">
        <v>23</v>
      </c>
      <c r="B763" t="s">
        <v>10</v>
      </c>
      <c r="C763">
        <v>35.200000000000003</v>
      </c>
      <c r="D763">
        <v>1</v>
      </c>
      <c r="E763" t="s">
        <v>11</v>
      </c>
      <c r="F763" t="s">
        <v>9</v>
      </c>
      <c r="G763">
        <v>2416.9549999999999</v>
      </c>
    </row>
    <row r="764" spans="1:7" x14ac:dyDescent="0.25">
      <c r="A764">
        <v>33</v>
      </c>
      <c r="B764" t="s">
        <v>10</v>
      </c>
      <c r="C764">
        <v>27.1</v>
      </c>
      <c r="D764">
        <v>1</v>
      </c>
      <c r="E764" t="s">
        <v>8</v>
      </c>
      <c r="F764" t="s">
        <v>9</v>
      </c>
      <c r="G764">
        <v>19040.876</v>
      </c>
    </row>
    <row r="765" spans="1:7" x14ac:dyDescent="0.25">
      <c r="A765">
        <v>27</v>
      </c>
      <c r="B765" t="s">
        <v>10</v>
      </c>
      <c r="C765">
        <v>26.03</v>
      </c>
      <c r="D765">
        <v>0</v>
      </c>
      <c r="E765" t="s">
        <v>11</v>
      </c>
      <c r="F765" t="s">
        <v>14</v>
      </c>
      <c r="G765">
        <v>3070.8087</v>
      </c>
    </row>
    <row r="766" spans="1:7" x14ac:dyDescent="0.25">
      <c r="A766">
        <v>45</v>
      </c>
      <c r="B766" t="s">
        <v>7</v>
      </c>
      <c r="C766">
        <v>25.175000000000001</v>
      </c>
      <c r="D766">
        <v>2</v>
      </c>
      <c r="E766" t="s">
        <v>11</v>
      </c>
      <c r="F766" t="s">
        <v>14</v>
      </c>
      <c r="G766">
        <v>9095.0682500000003</v>
      </c>
    </row>
    <row r="767" spans="1:7" x14ac:dyDescent="0.25">
      <c r="A767">
        <v>57</v>
      </c>
      <c r="B767" t="s">
        <v>7</v>
      </c>
      <c r="C767">
        <v>31.824999999999999</v>
      </c>
      <c r="D767">
        <v>0</v>
      </c>
      <c r="E767" t="s">
        <v>11</v>
      </c>
      <c r="F767" t="s">
        <v>13</v>
      </c>
      <c r="G767">
        <v>11842.623750000001</v>
      </c>
    </row>
    <row r="768" spans="1:7" x14ac:dyDescent="0.25">
      <c r="A768">
        <v>47</v>
      </c>
      <c r="B768" t="s">
        <v>10</v>
      </c>
      <c r="C768">
        <v>32.299999999999997</v>
      </c>
      <c r="D768">
        <v>1</v>
      </c>
      <c r="E768" t="s">
        <v>11</v>
      </c>
      <c r="F768" t="s">
        <v>9</v>
      </c>
      <c r="G768">
        <v>8062.7640000000001</v>
      </c>
    </row>
    <row r="769" spans="1:7" x14ac:dyDescent="0.25">
      <c r="A769">
        <v>42</v>
      </c>
      <c r="B769" t="s">
        <v>7</v>
      </c>
      <c r="C769">
        <v>29</v>
      </c>
      <c r="D769">
        <v>1</v>
      </c>
      <c r="E769" t="s">
        <v>11</v>
      </c>
      <c r="F769" t="s">
        <v>9</v>
      </c>
      <c r="G769">
        <v>7050.6419999999998</v>
      </c>
    </row>
    <row r="770" spans="1:7" x14ac:dyDescent="0.25">
      <c r="A770">
        <v>64</v>
      </c>
      <c r="B770" t="s">
        <v>7</v>
      </c>
      <c r="C770">
        <v>39.700000000000003</v>
      </c>
      <c r="D770">
        <v>0</v>
      </c>
      <c r="E770" t="s">
        <v>11</v>
      </c>
      <c r="F770" t="s">
        <v>9</v>
      </c>
      <c r="G770">
        <v>14319.031000000001</v>
      </c>
    </row>
    <row r="771" spans="1:7" x14ac:dyDescent="0.25">
      <c r="A771">
        <v>38</v>
      </c>
      <c r="B771" t="s">
        <v>7</v>
      </c>
      <c r="C771">
        <v>19.475000000000001</v>
      </c>
      <c r="D771">
        <v>2</v>
      </c>
      <c r="E771" t="s">
        <v>11</v>
      </c>
      <c r="F771" t="s">
        <v>13</v>
      </c>
      <c r="G771">
        <v>6933.2422500000002</v>
      </c>
    </row>
    <row r="772" spans="1:7" x14ac:dyDescent="0.25">
      <c r="A772">
        <v>61</v>
      </c>
      <c r="B772" t="s">
        <v>10</v>
      </c>
      <c r="C772">
        <v>36.1</v>
      </c>
      <c r="D772">
        <v>3</v>
      </c>
      <c r="E772" t="s">
        <v>11</v>
      </c>
      <c r="F772" t="s">
        <v>9</v>
      </c>
      <c r="G772">
        <v>27941.28758</v>
      </c>
    </row>
    <row r="773" spans="1:7" x14ac:dyDescent="0.25">
      <c r="A773">
        <v>53</v>
      </c>
      <c r="B773" t="s">
        <v>7</v>
      </c>
      <c r="C773">
        <v>26.7</v>
      </c>
      <c r="D773">
        <v>2</v>
      </c>
      <c r="E773" t="s">
        <v>11</v>
      </c>
      <c r="F773" t="s">
        <v>9</v>
      </c>
      <c r="G773">
        <v>11150.78</v>
      </c>
    </row>
    <row r="774" spans="1:7" x14ac:dyDescent="0.25">
      <c r="A774">
        <v>44</v>
      </c>
      <c r="B774" t="s">
        <v>7</v>
      </c>
      <c r="C774">
        <v>36.479999999999997</v>
      </c>
      <c r="D774">
        <v>0</v>
      </c>
      <c r="E774" t="s">
        <v>11</v>
      </c>
      <c r="F774" t="s">
        <v>14</v>
      </c>
      <c r="G774">
        <v>12797.20962</v>
      </c>
    </row>
    <row r="775" spans="1:7" x14ac:dyDescent="0.25">
      <c r="A775">
        <v>19</v>
      </c>
      <c r="B775" t="s">
        <v>7</v>
      </c>
      <c r="C775">
        <v>28.88</v>
      </c>
      <c r="D775">
        <v>0</v>
      </c>
      <c r="E775" t="s">
        <v>8</v>
      </c>
      <c r="F775" t="s">
        <v>13</v>
      </c>
      <c r="G775">
        <v>17748.5062</v>
      </c>
    </row>
    <row r="776" spans="1:7" x14ac:dyDescent="0.25">
      <c r="A776">
        <v>41</v>
      </c>
      <c r="B776" t="s">
        <v>10</v>
      </c>
      <c r="C776">
        <v>34.200000000000003</v>
      </c>
      <c r="D776">
        <v>2</v>
      </c>
      <c r="E776" t="s">
        <v>11</v>
      </c>
      <c r="F776" t="s">
        <v>13</v>
      </c>
      <c r="G776">
        <v>7261.741</v>
      </c>
    </row>
    <row r="777" spans="1:7" x14ac:dyDescent="0.25">
      <c r="A777">
        <v>51</v>
      </c>
      <c r="B777" t="s">
        <v>10</v>
      </c>
      <c r="C777">
        <v>33.33</v>
      </c>
      <c r="D777">
        <v>3</v>
      </c>
      <c r="E777" t="s">
        <v>11</v>
      </c>
      <c r="F777" t="s">
        <v>12</v>
      </c>
      <c r="G777">
        <v>10560.4917</v>
      </c>
    </row>
    <row r="778" spans="1:7" x14ac:dyDescent="0.25">
      <c r="A778">
        <v>40</v>
      </c>
      <c r="B778" t="s">
        <v>10</v>
      </c>
      <c r="C778">
        <v>32.299999999999997</v>
      </c>
      <c r="D778">
        <v>2</v>
      </c>
      <c r="E778" t="s">
        <v>11</v>
      </c>
      <c r="F778" t="s">
        <v>13</v>
      </c>
      <c r="G778">
        <v>6986.6970000000001</v>
      </c>
    </row>
    <row r="779" spans="1:7" x14ac:dyDescent="0.25">
      <c r="A779">
        <v>45</v>
      </c>
      <c r="B779" t="s">
        <v>10</v>
      </c>
      <c r="C779">
        <v>39.805</v>
      </c>
      <c r="D779">
        <v>0</v>
      </c>
      <c r="E779" t="s">
        <v>11</v>
      </c>
      <c r="F779" t="s">
        <v>14</v>
      </c>
      <c r="G779">
        <v>7448.4039499999999</v>
      </c>
    </row>
    <row r="780" spans="1:7" x14ac:dyDescent="0.25">
      <c r="A780">
        <v>35</v>
      </c>
      <c r="B780" t="s">
        <v>10</v>
      </c>
      <c r="C780">
        <v>34.32</v>
      </c>
      <c r="D780">
        <v>3</v>
      </c>
      <c r="E780" t="s">
        <v>11</v>
      </c>
      <c r="F780" t="s">
        <v>12</v>
      </c>
      <c r="G780">
        <v>5934.3797999999997</v>
      </c>
    </row>
    <row r="781" spans="1:7" x14ac:dyDescent="0.25">
      <c r="A781">
        <v>53</v>
      </c>
      <c r="B781" t="s">
        <v>10</v>
      </c>
      <c r="C781">
        <v>28.88</v>
      </c>
      <c r="D781">
        <v>0</v>
      </c>
      <c r="E781" t="s">
        <v>11</v>
      </c>
      <c r="F781" t="s">
        <v>13</v>
      </c>
      <c r="G781">
        <v>9869.8101999999999</v>
      </c>
    </row>
    <row r="782" spans="1:7" x14ac:dyDescent="0.25">
      <c r="A782">
        <v>30</v>
      </c>
      <c r="B782" t="s">
        <v>10</v>
      </c>
      <c r="C782">
        <v>24.4</v>
      </c>
      <c r="D782">
        <v>3</v>
      </c>
      <c r="E782" t="s">
        <v>8</v>
      </c>
      <c r="F782" t="s">
        <v>9</v>
      </c>
      <c r="G782">
        <v>18259.216</v>
      </c>
    </row>
    <row r="783" spans="1:7" x14ac:dyDescent="0.25">
      <c r="A783">
        <v>18</v>
      </c>
      <c r="B783" t="s">
        <v>10</v>
      </c>
      <c r="C783">
        <v>41.14</v>
      </c>
      <c r="D783">
        <v>0</v>
      </c>
      <c r="E783" t="s">
        <v>11</v>
      </c>
      <c r="F783" t="s">
        <v>12</v>
      </c>
      <c r="G783">
        <v>1146.7965999999999</v>
      </c>
    </row>
    <row r="784" spans="1:7" x14ac:dyDescent="0.25">
      <c r="A784">
        <v>51</v>
      </c>
      <c r="B784" t="s">
        <v>10</v>
      </c>
      <c r="C784">
        <v>35.97</v>
      </c>
      <c r="D784">
        <v>1</v>
      </c>
      <c r="E784" t="s">
        <v>11</v>
      </c>
      <c r="F784" t="s">
        <v>12</v>
      </c>
      <c r="G784">
        <v>9386.1612999999998</v>
      </c>
    </row>
    <row r="785" spans="1:7" x14ac:dyDescent="0.25">
      <c r="A785">
        <v>50</v>
      </c>
      <c r="B785" t="s">
        <v>7</v>
      </c>
      <c r="C785">
        <v>27.6</v>
      </c>
      <c r="D785">
        <v>1</v>
      </c>
      <c r="E785" t="s">
        <v>8</v>
      </c>
      <c r="F785" t="s">
        <v>9</v>
      </c>
      <c r="G785">
        <v>24520.263999999999</v>
      </c>
    </row>
    <row r="786" spans="1:7" x14ac:dyDescent="0.25">
      <c r="A786">
        <v>31</v>
      </c>
      <c r="B786" t="s">
        <v>7</v>
      </c>
      <c r="C786">
        <v>29.26</v>
      </c>
      <c r="D786">
        <v>1</v>
      </c>
      <c r="E786" t="s">
        <v>11</v>
      </c>
      <c r="F786" t="s">
        <v>12</v>
      </c>
      <c r="G786">
        <v>4350.5144</v>
      </c>
    </row>
    <row r="787" spans="1:7" x14ac:dyDescent="0.25">
      <c r="A787">
        <v>35</v>
      </c>
      <c r="B787" t="s">
        <v>7</v>
      </c>
      <c r="C787">
        <v>27.7</v>
      </c>
      <c r="D787">
        <v>3</v>
      </c>
      <c r="E787" t="s">
        <v>11</v>
      </c>
      <c r="F787" t="s">
        <v>9</v>
      </c>
      <c r="G787">
        <v>6414.1779999999999</v>
      </c>
    </row>
    <row r="788" spans="1:7" x14ac:dyDescent="0.25">
      <c r="A788">
        <v>60</v>
      </c>
      <c r="B788" t="s">
        <v>10</v>
      </c>
      <c r="C788">
        <v>36.954999999999998</v>
      </c>
      <c r="D788">
        <v>0</v>
      </c>
      <c r="E788" t="s">
        <v>11</v>
      </c>
      <c r="F788" t="s">
        <v>14</v>
      </c>
      <c r="G788">
        <v>12741.167450000001</v>
      </c>
    </row>
    <row r="789" spans="1:7" x14ac:dyDescent="0.25">
      <c r="A789">
        <v>21</v>
      </c>
      <c r="B789" t="s">
        <v>10</v>
      </c>
      <c r="C789">
        <v>36.86</v>
      </c>
      <c r="D789">
        <v>0</v>
      </c>
      <c r="E789" t="s">
        <v>11</v>
      </c>
      <c r="F789" t="s">
        <v>13</v>
      </c>
      <c r="G789">
        <v>1917.3184000000001</v>
      </c>
    </row>
    <row r="790" spans="1:7" x14ac:dyDescent="0.25">
      <c r="A790">
        <v>29</v>
      </c>
      <c r="B790" t="s">
        <v>10</v>
      </c>
      <c r="C790">
        <v>22.515000000000001</v>
      </c>
      <c r="D790">
        <v>3</v>
      </c>
      <c r="E790" t="s">
        <v>11</v>
      </c>
      <c r="F790" t="s">
        <v>14</v>
      </c>
      <c r="G790">
        <v>5209.5788499999999</v>
      </c>
    </row>
    <row r="791" spans="1:7" x14ac:dyDescent="0.25">
      <c r="A791">
        <v>62</v>
      </c>
      <c r="B791" t="s">
        <v>7</v>
      </c>
      <c r="C791">
        <v>29.92</v>
      </c>
      <c r="D791">
        <v>0</v>
      </c>
      <c r="E791" t="s">
        <v>11</v>
      </c>
      <c r="F791" t="s">
        <v>12</v>
      </c>
      <c r="G791">
        <v>13457.960800000001</v>
      </c>
    </row>
    <row r="792" spans="1:7" x14ac:dyDescent="0.25">
      <c r="A792">
        <v>39</v>
      </c>
      <c r="B792" t="s">
        <v>7</v>
      </c>
      <c r="C792">
        <v>41.8</v>
      </c>
      <c r="D792">
        <v>0</v>
      </c>
      <c r="E792" t="s">
        <v>11</v>
      </c>
      <c r="F792" t="s">
        <v>12</v>
      </c>
      <c r="G792">
        <v>5662.2250000000004</v>
      </c>
    </row>
    <row r="793" spans="1:7" x14ac:dyDescent="0.25">
      <c r="A793">
        <v>19</v>
      </c>
      <c r="B793" t="s">
        <v>10</v>
      </c>
      <c r="C793">
        <v>27.6</v>
      </c>
      <c r="D793">
        <v>0</v>
      </c>
      <c r="E793" t="s">
        <v>11</v>
      </c>
      <c r="F793" t="s">
        <v>9</v>
      </c>
      <c r="G793">
        <v>1252.4069999999999</v>
      </c>
    </row>
    <row r="794" spans="1:7" x14ac:dyDescent="0.25">
      <c r="A794">
        <v>22</v>
      </c>
      <c r="B794" t="s">
        <v>7</v>
      </c>
      <c r="C794">
        <v>23.18</v>
      </c>
      <c r="D794">
        <v>0</v>
      </c>
      <c r="E794" t="s">
        <v>11</v>
      </c>
      <c r="F794" t="s">
        <v>14</v>
      </c>
      <c r="G794">
        <v>2731.9122000000002</v>
      </c>
    </row>
    <row r="795" spans="1:7" x14ac:dyDescent="0.25">
      <c r="A795">
        <v>53</v>
      </c>
      <c r="B795" t="s">
        <v>10</v>
      </c>
      <c r="C795">
        <v>20.9</v>
      </c>
      <c r="D795">
        <v>0</v>
      </c>
      <c r="E795" t="s">
        <v>8</v>
      </c>
      <c r="F795" t="s">
        <v>12</v>
      </c>
      <c r="G795">
        <v>21195.817999999999</v>
      </c>
    </row>
    <row r="796" spans="1:7" x14ac:dyDescent="0.25">
      <c r="A796">
        <v>39</v>
      </c>
      <c r="B796" t="s">
        <v>7</v>
      </c>
      <c r="C796">
        <v>31.92</v>
      </c>
      <c r="D796">
        <v>2</v>
      </c>
      <c r="E796" t="s">
        <v>11</v>
      </c>
      <c r="F796" t="s">
        <v>13</v>
      </c>
      <c r="G796">
        <v>7209.4917999999998</v>
      </c>
    </row>
    <row r="797" spans="1:7" x14ac:dyDescent="0.25">
      <c r="A797">
        <v>27</v>
      </c>
      <c r="B797" t="s">
        <v>10</v>
      </c>
      <c r="C797">
        <v>28.5</v>
      </c>
      <c r="D797">
        <v>0</v>
      </c>
      <c r="E797" t="s">
        <v>8</v>
      </c>
      <c r="F797" t="s">
        <v>13</v>
      </c>
      <c r="G797">
        <v>18310.741999999998</v>
      </c>
    </row>
    <row r="798" spans="1:7" x14ac:dyDescent="0.25">
      <c r="A798">
        <v>30</v>
      </c>
      <c r="B798" t="s">
        <v>10</v>
      </c>
      <c r="C798">
        <v>44.22</v>
      </c>
      <c r="D798">
        <v>2</v>
      </c>
      <c r="E798" t="s">
        <v>11</v>
      </c>
      <c r="F798" t="s">
        <v>12</v>
      </c>
      <c r="G798">
        <v>4266.1657999999998</v>
      </c>
    </row>
    <row r="799" spans="1:7" x14ac:dyDescent="0.25">
      <c r="A799">
        <v>30</v>
      </c>
      <c r="B799" t="s">
        <v>7</v>
      </c>
      <c r="C799">
        <v>22.895</v>
      </c>
      <c r="D799">
        <v>1</v>
      </c>
      <c r="E799" t="s">
        <v>11</v>
      </c>
      <c r="F799" t="s">
        <v>14</v>
      </c>
      <c r="G799">
        <v>4719.52405</v>
      </c>
    </row>
    <row r="800" spans="1:7" x14ac:dyDescent="0.25">
      <c r="A800">
        <v>58</v>
      </c>
      <c r="B800" t="s">
        <v>7</v>
      </c>
      <c r="C800">
        <v>33.1</v>
      </c>
      <c r="D800">
        <v>0</v>
      </c>
      <c r="E800" t="s">
        <v>11</v>
      </c>
      <c r="F800" t="s">
        <v>9</v>
      </c>
      <c r="G800">
        <v>11848.141</v>
      </c>
    </row>
    <row r="801" spans="1:7" x14ac:dyDescent="0.25">
      <c r="A801">
        <v>33</v>
      </c>
      <c r="B801" t="s">
        <v>10</v>
      </c>
      <c r="C801">
        <v>24.795000000000002</v>
      </c>
      <c r="D801">
        <v>0</v>
      </c>
      <c r="E801" t="s">
        <v>8</v>
      </c>
      <c r="F801" t="s">
        <v>14</v>
      </c>
      <c r="G801">
        <v>17904.527050000001</v>
      </c>
    </row>
    <row r="802" spans="1:7" x14ac:dyDescent="0.25">
      <c r="A802">
        <v>42</v>
      </c>
      <c r="B802" t="s">
        <v>7</v>
      </c>
      <c r="C802">
        <v>26.18</v>
      </c>
      <c r="D802">
        <v>1</v>
      </c>
      <c r="E802" t="s">
        <v>11</v>
      </c>
      <c r="F802" t="s">
        <v>12</v>
      </c>
      <c r="G802">
        <v>7046.7222000000002</v>
      </c>
    </row>
    <row r="803" spans="1:7" x14ac:dyDescent="0.25">
      <c r="A803">
        <v>64</v>
      </c>
      <c r="B803" t="s">
        <v>7</v>
      </c>
      <c r="C803">
        <v>35.97</v>
      </c>
      <c r="D803">
        <v>0</v>
      </c>
      <c r="E803" t="s">
        <v>11</v>
      </c>
      <c r="F803" t="s">
        <v>12</v>
      </c>
      <c r="G803">
        <v>14313.846299999999</v>
      </c>
    </row>
    <row r="804" spans="1:7" x14ac:dyDescent="0.25">
      <c r="A804">
        <v>21</v>
      </c>
      <c r="B804" t="s">
        <v>10</v>
      </c>
      <c r="C804">
        <v>22.3</v>
      </c>
      <c r="D804">
        <v>1</v>
      </c>
      <c r="E804" t="s">
        <v>11</v>
      </c>
      <c r="F804" t="s">
        <v>9</v>
      </c>
      <c r="G804">
        <v>2103.08</v>
      </c>
    </row>
    <row r="805" spans="1:7" x14ac:dyDescent="0.25">
      <c r="A805">
        <v>18</v>
      </c>
      <c r="B805" t="s">
        <v>7</v>
      </c>
      <c r="C805">
        <v>42.24</v>
      </c>
      <c r="D805">
        <v>0</v>
      </c>
      <c r="E805" t="s">
        <v>8</v>
      </c>
      <c r="F805" t="s">
        <v>12</v>
      </c>
      <c r="G805">
        <v>38792.685599999997</v>
      </c>
    </row>
    <row r="806" spans="1:7" x14ac:dyDescent="0.25">
      <c r="A806">
        <v>23</v>
      </c>
      <c r="B806" t="s">
        <v>10</v>
      </c>
      <c r="C806">
        <v>26.51</v>
      </c>
      <c r="D806">
        <v>0</v>
      </c>
      <c r="E806" t="s">
        <v>11</v>
      </c>
      <c r="F806" t="s">
        <v>12</v>
      </c>
      <c r="G806">
        <v>1815.8759</v>
      </c>
    </row>
    <row r="807" spans="1:7" x14ac:dyDescent="0.25">
      <c r="A807">
        <v>45</v>
      </c>
      <c r="B807" t="s">
        <v>7</v>
      </c>
      <c r="C807">
        <v>35.814999999999998</v>
      </c>
      <c r="D807">
        <v>0</v>
      </c>
      <c r="E807" t="s">
        <v>11</v>
      </c>
      <c r="F807" t="s">
        <v>13</v>
      </c>
      <c r="G807">
        <v>7731.8578500000003</v>
      </c>
    </row>
    <row r="808" spans="1:7" x14ac:dyDescent="0.25">
      <c r="A808">
        <v>40</v>
      </c>
      <c r="B808" t="s">
        <v>7</v>
      </c>
      <c r="C808">
        <v>41.42</v>
      </c>
      <c r="D808">
        <v>1</v>
      </c>
      <c r="E808" t="s">
        <v>11</v>
      </c>
      <c r="F808" t="s">
        <v>13</v>
      </c>
      <c r="G808">
        <v>28476.734990000001</v>
      </c>
    </row>
    <row r="809" spans="1:7" x14ac:dyDescent="0.25">
      <c r="A809">
        <v>19</v>
      </c>
      <c r="B809" t="s">
        <v>7</v>
      </c>
      <c r="C809">
        <v>36.575000000000003</v>
      </c>
      <c r="D809">
        <v>0</v>
      </c>
      <c r="E809" t="s">
        <v>11</v>
      </c>
      <c r="F809" t="s">
        <v>13</v>
      </c>
      <c r="G809">
        <v>2136.8822500000001</v>
      </c>
    </row>
    <row r="810" spans="1:7" x14ac:dyDescent="0.25">
      <c r="A810">
        <v>18</v>
      </c>
      <c r="B810" t="s">
        <v>10</v>
      </c>
      <c r="C810">
        <v>30.14</v>
      </c>
      <c r="D810">
        <v>0</v>
      </c>
      <c r="E810" t="s">
        <v>11</v>
      </c>
      <c r="F810" t="s">
        <v>12</v>
      </c>
      <c r="G810">
        <v>1131.5065999999999</v>
      </c>
    </row>
    <row r="811" spans="1:7" x14ac:dyDescent="0.25">
      <c r="A811">
        <v>25</v>
      </c>
      <c r="B811" t="s">
        <v>10</v>
      </c>
      <c r="C811">
        <v>25.84</v>
      </c>
      <c r="D811">
        <v>1</v>
      </c>
      <c r="E811" t="s">
        <v>11</v>
      </c>
      <c r="F811" t="s">
        <v>14</v>
      </c>
      <c r="G811">
        <v>3309.7926000000002</v>
      </c>
    </row>
    <row r="812" spans="1:7" x14ac:dyDescent="0.25">
      <c r="A812">
        <v>46</v>
      </c>
      <c r="B812" t="s">
        <v>7</v>
      </c>
      <c r="C812">
        <v>30.8</v>
      </c>
      <c r="D812">
        <v>3</v>
      </c>
      <c r="E812" t="s">
        <v>11</v>
      </c>
      <c r="F812" t="s">
        <v>9</v>
      </c>
      <c r="G812">
        <v>9414.92</v>
      </c>
    </row>
    <row r="813" spans="1:7" x14ac:dyDescent="0.25">
      <c r="A813">
        <v>33</v>
      </c>
      <c r="B813" t="s">
        <v>7</v>
      </c>
      <c r="C813">
        <v>42.94</v>
      </c>
      <c r="D813">
        <v>3</v>
      </c>
      <c r="E813" t="s">
        <v>11</v>
      </c>
      <c r="F813" t="s">
        <v>13</v>
      </c>
      <c r="G813">
        <v>6360.9935999999998</v>
      </c>
    </row>
    <row r="814" spans="1:7" x14ac:dyDescent="0.25">
      <c r="A814">
        <v>54</v>
      </c>
      <c r="B814" t="s">
        <v>10</v>
      </c>
      <c r="C814">
        <v>21.01</v>
      </c>
      <c r="D814">
        <v>2</v>
      </c>
      <c r="E814" t="s">
        <v>11</v>
      </c>
      <c r="F814" t="s">
        <v>12</v>
      </c>
      <c r="G814">
        <v>11013.7119</v>
      </c>
    </row>
    <row r="815" spans="1:7" x14ac:dyDescent="0.25">
      <c r="A815">
        <v>28</v>
      </c>
      <c r="B815" t="s">
        <v>10</v>
      </c>
      <c r="C815">
        <v>22.515000000000001</v>
      </c>
      <c r="D815">
        <v>2</v>
      </c>
      <c r="E815" t="s">
        <v>11</v>
      </c>
      <c r="F815" t="s">
        <v>14</v>
      </c>
      <c r="G815">
        <v>4428.8878500000001</v>
      </c>
    </row>
    <row r="816" spans="1:7" x14ac:dyDescent="0.25">
      <c r="A816">
        <v>36</v>
      </c>
      <c r="B816" t="s">
        <v>10</v>
      </c>
      <c r="C816">
        <v>34.43</v>
      </c>
      <c r="D816">
        <v>2</v>
      </c>
      <c r="E816" t="s">
        <v>11</v>
      </c>
      <c r="F816" t="s">
        <v>12</v>
      </c>
      <c r="G816">
        <v>5584.3056999999999</v>
      </c>
    </row>
    <row r="817" spans="1:7" x14ac:dyDescent="0.25">
      <c r="A817">
        <v>20</v>
      </c>
      <c r="B817" t="s">
        <v>7</v>
      </c>
      <c r="C817">
        <v>31.46</v>
      </c>
      <c r="D817">
        <v>0</v>
      </c>
      <c r="E817" t="s">
        <v>11</v>
      </c>
      <c r="F817" t="s">
        <v>12</v>
      </c>
      <c r="G817">
        <v>1877.9294</v>
      </c>
    </row>
    <row r="818" spans="1:7" x14ac:dyDescent="0.25">
      <c r="A818">
        <v>24</v>
      </c>
      <c r="B818" t="s">
        <v>7</v>
      </c>
      <c r="C818">
        <v>24.225000000000001</v>
      </c>
      <c r="D818">
        <v>0</v>
      </c>
      <c r="E818" t="s">
        <v>11</v>
      </c>
      <c r="F818" t="s">
        <v>13</v>
      </c>
      <c r="G818">
        <v>2842.7607499999999</v>
      </c>
    </row>
    <row r="819" spans="1:7" x14ac:dyDescent="0.25">
      <c r="A819">
        <v>23</v>
      </c>
      <c r="B819" t="s">
        <v>10</v>
      </c>
      <c r="C819">
        <v>37.1</v>
      </c>
      <c r="D819">
        <v>3</v>
      </c>
      <c r="E819" t="s">
        <v>11</v>
      </c>
      <c r="F819" t="s">
        <v>9</v>
      </c>
      <c r="G819">
        <v>3597.596</v>
      </c>
    </row>
    <row r="820" spans="1:7" x14ac:dyDescent="0.25">
      <c r="A820">
        <v>47</v>
      </c>
      <c r="B820" t="s">
        <v>7</v>
      </c>
      <c r="C820">
        <v>26.125</v>
      </c>
      <c r="D820">
        <v>1</v>
      </c>
      <c r="E820" t="s">
        <v>8</v>
      </c>
      <c r="F820" t="s">
        <v>14</v>
      </c>
      <c r="G820">
        <v>23401.30575</v>
      </c>
    </row>
    <row r="821" spans="1:7" x14ac:dyDescent="0.25">
      <c r="A821">
        <v>33</v>
      </c>
      <c r="B821" t="s">
        <v>7</v>
      </c>
      <c r="C821">
        <v>35.53</v>
      </c>
      <c r="D821">
        <v>0</v>
      </c>
      <c r="E821" t="s">
        <v>8</v>
      </c>
      <c r="F821" t="s">
        <v>13</v>
      </c>
      <c r="G821">
        <v>55135.402090000003</v>
      </c>
    </row>
    <row r="822" spans="1:7" x14ac:dyDescent="0.25">
      <c r="A822">
        <v>45</v>
      </c>
      <c r="B822" t="s">
        <v>10</v>
      </c>
      <c r="C822">
        <v>33.700000000000003</v>
      </c>
      <c r="D822">
        <v>1</v>
      </c>
      <c r="E822" t="s">
        <v>11</v>
      </c>
      <c r="F822" t="s">
        <v>9</v>
      </c>
      <c r="G822">
        <v>7445.9179999999997</v>
      </c>
    </row>
    <row r="823" spans="1:7" x14ac:dyDescent="0.25">
      <c r="A823">
        <v>26</v>
      </c>
      <c r="B823" t="s">
        <v>10</v>
      </c>
      <c r="C823">
        <v>17.670000000000002</v>
      </c>
      <c r="D823">
        <v>0</v>
      </c>
      <c r="E823" t="s">
        <v>11</v>
      </c>
      <c r="F823" t="s">
        <v>13</v>
      </c>
      <c r="G823">
        <v>2680.9493000000002</v>
      </c>
    </row>
    <row r="824" spans="1:7" x14ac:dyDescent="0.25">
      <c r="A824">
        <v>18</v>
      </c>
      <c r="B824" t="s">
        <v>7</v>
      </c>
      <c r="C824">
        <v>31.13</v>
      </c>
      <c r="D824">
        <v>0</v>
      </c>
      <c r="E824" t="s">
        <v>11</v>
      </c>
      <c r="F824" t="s">
        <v>12</v>
      </c>
      <c r="G824">
        <v>1621.8827000000001</v>
      </c>
    </row>
    <row r="825" spans="1:7" x14ac:dyDescent="0.25">
      <c r="A825">
        <v>44</v>
      </c>
      <c r="B825" t="s">
        <v>7</v>
      </c>
      <c r="C825">
        <v>29.81</v>
      </c>
      <c r="D825">
        <v>2</v>
      </c>
      <c r="E825" t="s">
        <v>11</v>
      </c>
      <c r="F825" t="s">
        <v>12</v>
      </c>
      <c r="G825">
        <v>8219.2039000000004</v>
      </c>
    </row>
    <row r="826" spans="1:7" x14ac:dyDescent="0.25">
      <c r="A826">
        <v>60</v>
      </c>
      <c r="B826" t="s">
        <v>10</v>
      </c>
      <c r="C826">
        <v>24.32</v>
      </c>
      <c r="D826">
        <v>0</v>
      </c>
      <c r="E826" t="s">
        <v>11</v>
      </c>
      <c r="F826" t="s">
        <v>13</v>
      </c>
      <c r="G826">
        <v>12523.604799999999</v>
      </c>
    </row>
    <row r="827" spans="1:7" x14ac:dyDescent="0.25">
      <c r="A827">
        <v>64</v>
      </c>
      <c r="B827" t="s">
        <v>7</v>
      </c>
      <c r="C827">
        <v>31.824999999999999</v>
      </c>
      <c r="D827">
        <v>2</v>
      </c>
      <c r="E827" t="s">
        <v>11</v>
      </c>
      <c r="F827" t="s">
        <v>14</v>
      </c>
      <c r="G827">
        <v>16069.08475</v>
      </c>
    </row>
    <row r="828" spans="1:7" x14ac:dyDescent="0.25">
      <c r="A828">
        <v>56</v>
      </c>
      <c r="B828" t="s">
        <v>10</v>
      </c>
      <c r="C828">
        <v>31.79</v>
      </c>
      <c r="D828">
        <v>2</v>
      </c>
      <c r="E828" t="s">
        <v>8</v>
      </c>
      <c r="F828" t="s">
        <v>12</v>
      </c>
      <c r="G828">
        <v>43813.866099999999</v>
      </c>
    </row>
    <row r="829" spans="1:7" x14ac:dyDescent="0.25">
      <c r="A829">
        <v>36</v>
      </c>
      <c r="B829" t="s">
        <v>10</v>
      </c>
      <c r="C829">
        <v>28.024999999999999</v>
      </c>
      <c r="D829">
        <v>1</v>
      </c>
      <c r="E829" t="s">
        <v>8</v>
      </c>
      <c r="F829" t="s">
        <v>14</v>
      </c>
      <c r="G829">
        <v>20773.62775</v>
      </c>
    </row>
    <row r="830" spans="1:7" x14ac:dyDescent="0.25">
      <c r="A830">
        <v>41</v>
      </c>
      <c r="B830" t="s">
        <v>10</v>
      </c>
      <c r="C830">
        <v>30.78</v>
      </c>
      <c r="D830">
        <v>3</v>
      </c>
      <c r="E830" t="s">
        <v>8</v>
      </c>
      <c r="F830" t="s">
        <v>14</v>
      </c>
      <c r="G830">
        <v>39597.407200000001</v>
      </c>
    </row>
    <row r="831" spans="1:7" x14ac:dyDescent="0.25">
      <c r="A831">
        <v>39</v>
      </c>
      <c r="B831" t="s">
        <v>10</v>
      </c>
      <c r="C831">
        <v>21.85</v>
      </c>
      <c r="D831">
        <v>1</v>
      </c>
      <c r="E831" t="s">
        <v>11</v>
      </c>
      <c r="F831" t="s">
        <v>13</v>
      </c>
      <c r="G831">
        <v>6117.4944999999998</v>
      </c>
    </row>
    <row r="832" spans="1:7" x14ac:dyDescent="0.25">
      <c r="A832">
        <v>63</v>
      </c>
      <c r="B832" t="s">
        <v>10</v>
      </c>
      <c r="C832">
        <v>33.1</v>
      </c>
      <c r="D832">
        <v>0</v>
      </c>
      <c r="E832" t="s">
        <v>11</v>
      </c>
      <c r="F832" t="s">
        <v>9</v>
      </c>
      <c r="G832">
        <v>13393.755999999999</v>
      </c>
    </row>
    <row r="833" spans="1:7" x14ac:dyDescent="0.25">
      <c r="A833">
        <v>36</v>
      </c>
      <c r="B833" t="s">
        <v>7</v>
      </c>
      <c r="C833">
        <v>25.84</v>
      </c>
      <c r="D833">
        <v>0</v>
      </c>
      <c r="E833" t="s">
        <v>11</v>
      </c>
      <c r="F833" t="s">
        <v>13</v>
      </c>
      <c r="G833">
        <v>5266.3656000000001</v>
      </c>
    </row>
    <row r="834" spans="1:7" x14ac:dyDescent="0.25">
      <c r="A834">
        <v>28</v>
      </c>
      <c r="B834" t="s">
        <v>7</v>
      </c>
      <c r="C834">
        <v>23.844999999999999</v>
      </c>
      <c r="D834">
        <v>2</v>
      </c>
      <c r="E834" t="s">
        <v>11</v>
      </c>
      <c r="F834" t="s">
        <v>13</v>
      </c>
      <c r="G834">
        <v>4719.7365499999996</v>
      </c>
    </row>
    <row r="835" spans="1:7" x14ac:dyDescent="0.25">
      <c r="A835">
        <v>58</v>
      </c>
      <c r="B835" t="s">
        <v>10</v>
      </c>
      <c r="C835">
        <v>34.39</v>
      </c>
      <c r="D835">
        <v>0</v>
      </c>
      <c r="E835" t="s">
        <v>11</v>
      </c>
      <c r="F835" t="s">
        <v>13</v>
      </c>
      <c r="G835">
        <v>11743.9341</v>
      </c>
    </row>
    <row r="836" spans="1:7" x14ac:dyDescent="0.25">
      <c r="A836">
        <v>36</v>
      </c>
      <c r="B836" t="s">
        <v>10</v>
      </c>
      <c r="C836">
        <v>33.82</v>
      </c>
      <c r="D836">
        <v>1</v>
      </c>
      <c r="E836" t="s">
        <v>11</v>
      </c>
      <c r="F836" t="s">
        <v>13</v>
      </c>
      <c r="G836">
        <v>5377.4578000000001</v>
      </c>
    </row>
    <row r="837" spans="1:7" x14ac:dyDescent="0.25">
      <c r="A837">
        <v>42</v>
      </c>
      <c r="B837" t="s">
        <v>10</v>
      </c>
      <c r="C837">
        <v>35.97</v>
      </c>
      <c r="D837">
        <v>2</v>
      </c>
      <c r="E837" t="s">
        <v>11</v>
      </c>
      <c r="F837" t="s">
        <v>12</v>
      </c>
      <c r="G837">
        <v>7160.3302999999996</v>
      </c>
    </row>
    <row r="838" spans="1:7" x14ac:dyDescent="0.25">
      <c r="A838">
        <v>36</v>
      </c>
      <c r="B838" t="s">
        <v>10</v>
      </c>
      <c r="C838">
        <v>31.5</v>
      </c>
      <c r="D838">
        <v>0</v>
      </c>
      <c r="E838" t="s">
        <v>11</v>
      </c>
      <c r="F838" t="s">
        <v>9</v>
      </c>
      <c r="G838">
        <v>4402.2330000000002</v>
      </c>
    </row>
    <row r="839" spans="1:7" x14ac:dyDescent="0.25">
      <c r="A839">
        <v>56</v>
      </c>
      <c r="B839" t="s">
        <v>7</v>
      </c>
      <c r="C839">
        <v>28.31</v>
      </c>
      <c r="D839">
        <v>0</v>
      </c>
      <c r="E839" t="s">
        <v>11</v>
      </c>
      <c r="F839" t="s">
        <v>14</v>
      </c>
      <c r="G839">
        <v>11657.7189</v>
      </c>
    </row>
    <row r="840" spans="1:7" x14ac:dyDescent="0.25">
      <c r="A840">
        <v>35</v>
      </c>
      <c r="B840" t="s">
        <v>7</v>
      </c>
      <c r="C840">
        <v>23.465</v>
      </c>
      <c r="D840">
        <v>2</v>
      </c>
      <c r="E840" t="s">
        <v>11</v>
      </c>
      <c r="F840" t="s">
        <v>14</v>
      </c>
      <c r="G840">
        <v>6402.2913500000004</v>
      </c>
    </row>
    <row r="841" spans="1:7" x14ac:dyDescent="0.25">
      <c r="A841">
        <v>59</v>
      </c>
      <c r="B841" t="s">
        <v>7</v>
      </c>
      <c r="C841">
        <v>31.35</v>
      </c>
      <c r="D841">
        <v>0</v>
      </c>
      <c r="E841" t="s">
        <v>11</v>
      </c>
      <c r="F841" t="s">
        <v>13</v>
      </c>
      <c r="G841">
        <v>12622.1795</v>
      </c>
    </row>
    <row r="842" spans="1:7" x14ac:dyDescent="0.25">
      <c r="A842">
        <v>21</v>
      </c>
      <c r="B842" t="s">
        <v>10</v>
      </c>
      <c r="C842">
        <v>31.1</v>
      </c>
      <c r="D842">
        <v>0</v>
      </c>
      <c r="E842" t="s">
        <v>11</v>
      </c>
      <c r="F842" t="s">
        <v>9</v>
      </c>
      <c r="G842">
        <v>1526.3119999999999</v>
      </c>
    </row>
    <row r="843" spans="1:7" x14ac:dyDescent="0.25">
      <c r="A843">
        <v>59</v>
      </c>
      <c r="B843" t="s">
        <v>10</v>
      </c>
      <c r="C843">
        <v>24.7</v>
      </c>
      <c r="D843">
        <v>0</v>
      </c>
      <c r="E843" t="s">
        <v>11</v>
      </c>
      <c r="F843" t="s">
        <v>14</v>
      </c>
      <c r="G843">
        <v>12323.936</v>
      </c>
    </row>
    <row r="844" spans="1:7" x14ac:dyDescent="0.25">
      <c r="A844">
        <v>23</v>
      </c>
      <c r="B844" t="s">
        <v>7</v>
      </c>
      <c r="C844">
        <v>32.78</v>
      </c>
      <c r="D844">
        <v>2</v>
      </c>
      <c r="E844" t="s">
        <v>8</v>
      </c>
      <c r="F844" t="s">
        <v>12</v>
      </c>
      <c r="G844">
        <v>36021.011200000001</v>
      </c>
    </row>
    <row r="845" spans="1:7" x14ac:dyDescent="0.25">
      <c r="A845">
        <v>57</v>
      </c>
      <c r="B845" t="s">
        <v>7</v>
      </c>
      <c r="C845">
        <v>29.81</v>
      </c>
      <c r="D845">
        <v>0</v>
      </c>
      <c r="E845" t="s">
        <v>8</v>
      </c>
      <c r="F845" t="s">
        <v>12</v>
      </c>
      <c r="G845">
        <v>27533.912899999999</v>
      </c>
    </row>
    <row r="846" spans="1:7" x14ac:dyDescent="0.25">
      <c r="A846">
        <v>53</v>
      </c>
      <c r="B846" t="s">
        <v>10</v>
      </c>
      <c r="C846">
        <v>30.495000000000001</v>
      </c>
      <c r="D846">
        <v>0</v>
      </c>
      <c r="E846" t="s">
        <v>11</v>
      </c>
      <c r="F846" t="s">
        <v>14</v>
      </c>
      <c r="G846">
        <v>10072.055050000001</v>
      </c>
    </row>
    <row r="847" spans="1:7" x14ac:dyDescent="0.25">
      <c r="A847">
        <v>60</v>
      </c>
      <c r="B847" t="s">
        <v>7</v>
      </c>
      <c r="C847">
        <v>32.450000000000003</v>
      </c>
      <c r="D847">
        <v>0</v>
      </c>
      <c r="E847" t="s">
        <v>8</v>
      </c>
      <c r="F847" t="s">
        <v>12</v>
      </c>
      <c r="G847">
        <v>45008.955499999996</v>
      </c>
    </row>
    <row r="848" spans="1:7" x14ac:dyDescent="0.25">
      <c r="A848">
        <v>51</v>
      </c>
      <c r="B848" t="s">
        <v>7</v>
      </c>
      <c r="C848">
        <v>34.200000000000003</v>
      </c>
      <c r="D848">
        <v>1</v>
      </c>
      <c r="E848" t="s">
        <v>11</v>
      </c>
      <c r="F848" t="s">
        <v>9</v>
      </c>
      <c r="G848">
        <v>9872.7009999999991</v>
      </c>
    </row>
    <row r="849" spans="1:7" x14ac:dyDescent="0.25">
      <c r="A849">
        <v>23</v>
      </c>
      <c r="B849" t="s">
        <v>10</v>
      </c>
      <c r="C849">
        <v>50.38</v>
      </c>
      <c r="D849">
        <v>1</v>
      </c>
      <c r="E849" t="s">
        <v>11</v>
      </c>
      <c r="F849" t="s">
        <v>12</v>
      </c>
      <c r="G849">
        <v>2438.0551999999998</v>
      </c>
    </row>
    <row r="850" spans="1:7" x14ac:dyDescent="0.25">
      <c r="A850">
        <v>27</v>
      </c>
      <c r="B850" t="s">
        <v>7</v>
      </c>
      <c r="C850">
        <v>24.1</v>
      </c>
      <c r="D850">
        <v>0</v>
      </c>
      <c r="E850" t="s">
        <v>11</v>
      </c>
      <c r="F850" t="s">
        <v>9</v>
      </c>
      <c r="G850">
        <v>2974.1260000000002</v>
      </c>
    </row>
    <row r="851" spans="1:7" x14ac:dyDescent="0.25">
      <c r="A851">
        <v>55</v>
      </c>
      <c r="B851" t="s">
        <v>10</v>
      </c>
      <c r="C851">
        <v>32.774999999999999</v>
      </c>
      <c r="D851">
        <v>0</v>
      </c>
      <c r="E851" t="s">
        <v>11</v>
      </c>
      <c r="F851" t="s">
        <v>13</v>
      </c>
      <c r="G851">
        <v>10601.632250000001</v>
      </c>
    </row>
    <row r="852" spans="1:7" x14ac:dyDescent="0.25">
      <c r="A852">
        <v>37</v>
      </c>
      <c r="B852" t="s">
        <v>7</v>
      </c>
      <c r="C852">
        <v>30.78</v>
      </c>
      <c r="D852">
        <v>0</v>
      </c>
      <c r="E852" t="s">
        <v>8</v>
      </c>
      <c r="F852" t="s">
        <v>14</v>
      </c>
      <c r="G852">
        <v>37270.1512</v>
      </c>
    </row>
    <row r="853" spans="1:7" x14ac:dyDescent="0.25">
      <c r="A853">
        <v>61</v>
      </c>
      <c r="B853" t="s">
        <v>10</v>
      </c>
      <c r="C853">
        <v>32.299999999999997</v>
      </c>
      <c r="D853">
        <v>2</v>
      </c>
      <c r="E853" t="s">
        <v>11</v>
      </c>
      <c r="F853" t="s">
        <v>13</v>
      </c>
      <c r="G853">
        <v>14119.62</v>
      </c>
    </row>
    <row r="854" spans="1:7" x14ac:dyDescent="0.25">
      <c r="A854">
        <v>46</v>
      </c>
      <c r="B854" t="s">
        <v>7</v>
      </c>
      <c r="C854">
        <v>35.53</v>
      </c>
      <c r="D854">
        <v>0</v>
      </c>
      <c r="E854" t="s">
        <v>8</v>
      </c>
      <c r="F854" t="s">
        <v>14</v>
      </c>
      <c r="G854">
        <v>42111.664700000001</v>
      </c>
    </row>
    <row r="855" spans="1:7" x14ac:dyDescent="0.25">
      <c r="A855">
        <v>53</v>
      </c>
      <c r="B855" t="s">
        <v>7</v>
      </c>
      <c r="C855">
        <v>23.75</v>
      </c>
      <c r="D855">
        <v>2</v>
      </c>
      <c r="E855" t="s">
        <v>11</v>
      </c>
      <c r="F855" t="s">
        <v>14</v>
      </c>
      <c r="G855">
        <v>11729.6795</v>
      </c>
    </row>
    <row r="856" spans="1:7" x14ac:dyDescent="0.25">
      <c r="A856">
        <v>49</v>
      </c>
      <c r="B856" t="s">
        <v>7</v>
      </c>
      <c r="C856">
        <v>23.844999999999999</v>
      </c>
      <c r="D856">
        <v>3</v>
      </c>
      <c r="E856" t="s">
        <v>8</v>
      </c>
      <c r="F856" t="s">
        <v>14</v>
      </c>
      <c r="G856">
        <v>24106.912550000001</v>
      </c>
    </row>
    <row r="857" spans="1:7" x14ac:dyDescent="0.25">
      <c r="A857">
        <v>20</v>
      </c>
      <c r="B857" t="s">
        <v>7</v>
      </c>
      <c r="C857">
        <v>29.6</v>
      </c>
      <c r="D857">
        <v>0</v>
      </c>
      <c r="E857" t="s">
        <v>11</v>
      </c>
      <c r="F857" t="s">
        <v>9</v>
      </c>
      <c r="G857">
        <v>1875.3440000000001</v>
      </c>
    </row>
    <row r="858" spans="1:7" x14ac:dyDescent="0.25">
      <c r="A858">
        <v>48</v>
      </c>
      <c r="B858" t="s">
        <v>7</v>
      </c>
      <c r="C858">
        <v>33.11</v>
      </c>
      <c r="D858">
        <v>0</v>
      </c>
      <c r="E858" t="s">
        <v>8</v>
      </c>
      <c r="F858" t="s">
        <v>12</v>
      </c>
      <c r="G858">
        <v>40974.164900000003</v>
      </c>
    </row>
    <row r="859" spans="1:7" x14ac:dyDescent="0.25">
      <c r="A859">
        <v>25</v>
      </c>
      <c r="B859" t="s">
        <v>10</v>
      </c>
      <c r="C859">
        <v>24.13</v>
      </c>
      <c r="D859">
        <v>0</v>
      </c>
      <c r="E859" t="s">
        <v>8</v>
      </c>
      <c r="F859" t="s">
        <v>13</v>
      </c>
      <c r="G859">
        <v>15817.985699999999</v>
      </c>
    </row>
    <row r="860" spans="1:7" x14ac:dyDescent="0.25">
      <c r="A860">
        <v>25</v>
      </c>
      <c r="B860" t="s">
        <v>7</v>
      </c>
      <c r="C860">
        <v>32.229999999999997</v>
      </c>
      <c r="D860">
        <v>1</v>
      </c>
      <c r="E860" t="s">
        <v>11</v>
      </c>
      <c r="F860" t="s">
        <v>12</v>
      </c>
      <c r="G860">
        <v>18218.161390000001</v>
      </c>
    </row>
    <row r="861" spans="1:7" x14ac:dyDescent="0.25">
      <c r="A861">
        <v>57</v>
      </c>
      <c r="B861" t="s">
        <v>10</v>
      </c>
      <c r="C861">
        <v>28.1</v>
      </c>
      <c r="D861">
        <v>0</v>
      </c>
      <c r="E861" t="s">
        <v>11</v>
      </c>
      <c r="F861" t="s">
        <v>9</v>
      </c>
      <c r="G861">
        <v>10965.446</v>
      </c>
    </row>
    <row r="862" spans="1:7" x14ac:dyDescent="0.25">
      <c r="A862">
        <v>37</v>
      </c>
      <c r="B862" t="s">
        <v>7</v>
      </c>
      <c r="C862">
        <v>47.6</v>
      </c>
      <c r="D862">
        <v>2</v>
      </c>
      <c r="E862" t="s">
        <v>8</v>
      </c>
      <c r="F862" t="s">
        <v>9</v>
      </c>
      <c r="G862">
        <v>46113.510999999999</v>
      </c>
    </row>
    <row r="863" spans="1:7" x14ac:dyDescent="0.25">
      <c r="A863">
        <v>38</v>
      </c>
      <c r="B863" t="s">
        <v>7</v>
      </c>
      <c r="C863">
        <v>28</v>
      </c>
      <c r="D863">
        <v>3</v>
      </c>
      <c r="E863" t="s">
        <v>11</v>
      </c>
      <c r="F863" t="s">
        <v>9</v>
      </c>
      <c r="G863">
        <v>7151.0919999999996</v>
      </c>
    </row>
    <row r="864" spans="1:7" x14ac:dyDescent="0.25">
      <c r="A864">
        <v>55</v>
      </c>
      <c r="B864" t="s">
        <v>7</v>
      </c>
      <c r="C864">
        <v>33.534999999999997</v>
      </c>
      <c r="D864">
        <v>2</v>
      </c>
      <c r="E864" t="s">
        <v>11</v>
      </c>
      <c r="F864" t="s">
        <v>13</v>
      </c>
      <c r="G864">
        <v>12269.68865</v>
      </c>
    </row>
    <row r="865" spans="1:7" x14ac:dyDescent="0.25">
      <c r="A865">
        <v>36</v>
      </c>
      <c r="B865" t="s">
        <v>7</v>
      </c>
      <c r="C865">
        <v>19.855</v>
      </c>
      <c r="D865">
        <v>0</v>
      </c>
      <c r="E865" t="s">
        <v>11</v>
      </c>
      <c r="F865" t="s">
        <v>14</v>
      </c>
      <c r="G865">
        <v>5458.0464499999998</v>
      </c>
    </row>
    <row r="866" spans="1:7" x14ac:dyDescent="0.25">
      <c r="A866">
        <v>51</v>
      </c>
      <c r="B866" t="s">
        <v>10</v>
      </c>
      <c r="C866">
        <v>25.4</v>
      </c>
      <c r="D866">
        <v>0</v>
      </c>
      <c r="E866" t="s">
        <v>11</v>
      </c>
      <c r="F866" t="s">
        <v>9</v>
      </c>
      <c r="G866">
        <v>8782.4689999999991</v>
      </c>
    </row>
    <row r="867" spans="1:7" x14ac:dyDescent="0.25">
      <c r="A867">
        <v>40</v>
      </c>
      <c r="B867" t="s">
        <v>10</v>
      </c>
      <c r="C867">
        <v>29.9</v>
      </c>
      <c r="D867">
        <v>2</v>
      </c>
      <c r="E867" t="s">
        <v>11</v>
      </c>
      <c r="F867" t="s">
        <v>9</v>
      </c>
      <c r="G867">
        <v>6600.3609999999999</v>
      </c>
    </row>
    <row r="868" spans="1:7" x14ac:dyDescent="0.25">
      <c r="A868">
        <v>18</v>
      </c>
      <c r="B868" t="s">
        <v>10</v>
      </c>
      <c r="C868">
        <v>37.29</v>
      </c>
      <c r="D868">
        <v>0</v>
      </c>
      <c r="E868" t="s">
        <v>11</v>
      </c>
      <c r="F868" t="s">
        <v>12</v>
      </c>
      <c r="G868">
        <v>1141.4450999999999</v>
      </c>
    </row>
    <row r="869" spans="1:7" x14ac:dyDescent="0.25">
      <c r="A869">
        <v>57</v>
      </c>
      <c r="B869" t="s">
        <v>10</v>
      </c>
      <c r="C869">
        <v>43.7</v>
      </c>
      <c r="D869">
        <v>1</v>
      </c>
      <c r="E869" t="s">
        <v>11</v>
      </c>
      <c r="F869" t="s">
        <v>9</v>
      </c>
      <c r="G869">
        <v>11576.13</v>
      </c>
    </row>
    <row r="870" spans="1:7" x14ac:dyDescent="0.25">
      <c r="A870">
        <v>61</v>
      </c>
      <c r="B870" t="s">
        <v>10</v>
      </c>
      <c r="C870">
        <v>23.655000000000001</v>
      </c>
      <c r="D870">
        <v>0</v>
      </c>
      <c r="E870" t="s">
        <v>11</v>
      </c>
      <c r="F870" t="s">
        <v>14</v>
      </c>
      <c r="G870">
        <v>13129.603450000001</v>
      </c>
    </row>
    <row r="871" spans="1:7" x14ac:dyDescent="0.25">
      <c r="A871">
        <v>25</v>
      </c>
      <c r="B871" t="s">
        <v>7</v>
      </c>
      <c r="C871">
        <v>24.3</v>
      </c>
      <c r="D871">
        <v>3</v>
      </c>
      <c r="E871" t="s">
        <v>11</v>
      </c>
      <c r="F871" t="s">
        <v>9</v>
      </c>
      <c r="G871">
        <v>4391.652</v>
      </c>
    </row>
    <row r="872" spans="1:7" x14ac:dyDescent="0.25">
      <c r="A872">
        <v>50</v>
      </c>
      <c r="B872" t="s">
        <v>10</v>
      </c>
      <c r="C872">
        <v>36.200000000000003</v>
      </c>
      <c r="D872">
        <v>0</v>
      </c>
      <c r="E872" t="s">
        <v>11</v>
      </c>
      <c r="F872" t="s">
        <v>9</v>
      </c>
      <c r="G872">
        <v>8457.8179999999993</v>
      </c>
    </row>
    <row r="873" spans="1:7" x14ac:dyDescent="0.25">
      <c r="A873">
        <v>26</v>
      </c>
      <c r="B873" t="s">
        <v>7</v>
      </c>
      <c r="C873">
        <v>29.48</v>
      </c>
      <c r="D873">
        <v>1</v>
      </c>
      <c r="E873" t="s">
        <v>11</v>
      </c>
      <c r="F873" t="s">
        <v>12</v>
      </c>
      <c r="G873">
        <v>3392.3652000000002</v>
      </c>
    </row>
    <row r="874" spans="1:7" x14ac:dyDescent="0.25">
      <c r="A874">
        <v>42</v>
      </c>
      <c r="B874" t="s">
        <v>10</v>
      </c>
      <c r="C874">
        <v>24.86</v>
      </c>
      <c r="D874">
        <v>0</v>
      </c>
      <c r="E874" t="s">
        <v>11</v>
      </c>
      <c r="F874" t="s">
        <v>12</v>
      </c>
      <c r="G874">
        <v>5966.8873999999996</v>
      </c>
    </row>
    <row r="875" spans="1:7" x14ac:dyDescent="0.25">
      <c r="A875">
        <v>43</v>
      </c>
      <c r="B875" t="s">
        <v>10</v>
      </c>
      <c r="C875">
        <v>30.1</v>
      </c>
      <c r="D875">
        <v>1</v>
      </c>
      <c r="E875" t="s">
        <v>11</v>
      </c>
      <c r="F875" t="s">
        <v>9</v>
      </c>
      <c r="G875">
        <v>6849.0259999999998</v>
      </c>
    </row>
    <row r="876" spans="1:7" x14ac:dyDescent="0.25">
      <c r="A876">
        <v>44</v>
      </c>
      <c r="B876" t="s">
        <v>10</v>
      </c>
      <c r="C876">
        <v>21.85</v>
      </c>
      <c r="D876">
        <v>3</v>
      </c>
      <c r="E876" t="s">
        <v>11</v>
      </c>
      <c r="F876" t="s">
        <v>14</v>
      </c>
      <c r="G876">
        <v>8891.1394999999993</v>
      </c>
    </row>
    <row r="877" spans="1:7" x14ac:dyDescent="0.25">
      <c r="A877">
        <v>23</v>
      </c>
      <c r="B877" t="s">
        <v>7</v>
      </c>
      <c r="C877">
        <v>28.12</v>
      </c>
      <c r="D877">
        <v>0</v>
      </c>
      <c r="E877" t="s">
        <v>11</v>
      </c>
      <c r="F877" t="s">
        <v>13</v>
      </c>
      <c r="G877">
        <v>2690.1138000000001</v>
      </c>
    </row>
    <row r="878" spans="1:7" x14ac:dyDescent="0.25">
      <c r="A878">
        <v>49</v>
      </c>
      <c r="B878" t="s">
        <v>7</v>
      </c>
      <c r="C878">
        <v>27.1</v>
      </c>
      <c r="D878">
        <v>1</v>
      </c>
      <c r="E878" t="s">
        <v>11</v>
      </c>
      <c r="F878" t="s">
        <v>9</v>
      </c>
      <c r="G878">
        <v>26140.3603</v>
      </c>
    </row>
    <row r="879" spans="1:7" x14ac:dyDescent="0.25">
      <c r="A879">
        <v>33</v>
      </c>
      <c r="B879" t="s">
        <v>10</v>
      </c>
      <c r="C879">
        <v>33.44</v>
      </c>
      <c r="D879">
        <v>5</v>
      </c>
      <c r="E879" t="s">
        <v>11</v>
      </c>
      <c r="F879" t="s">
        <v>12</v>
      </c>
      <c r="G879">
        <v>6653.7885999999999</v>
      </c>
    </row>
    <row r="880" spans="1:7" x14ac:dyDescent="0.25">
      <c r="A880">
        <v>41</v>
      </c>
      <c r="B880" t="s">
        <v>10</v>
      </c>
      <c r="C880">
        <v>28.8</v>
      </c>
      <c r="D880">
        <v>1</v>
      </c>
      <c r="E880" t="s">
        <v>11</v>
      </c>
      <c r="F880" t="s">
        <v>9</v>
      </c>
      <c r="G880">
        <v>6282.2349999999997</v>
      </c>
    </row>
    <row r="881" spans="1:7" x14ac:dyDescent="0.25">
      <c r="A881">
        <v>37</v>
      </c>
      <c r="B881" t="s">
        <v>7</v>
      </c>
      <c r="C881">
        <v>29.5</v>
      </c>
      <c r="D881">
        <v>2</v>
      </c>
      <c r="E881" t="s">
        <v>11</v>
      </c>
      <c r="F881" t="s">
        <v>9</v>
      </c>
      <c r="G881">
        <v>6311.9520000000002</v>
      </c>
    </row>
    <row r="882" spans="1:7" x14ac:dyDescent="0.25">
      <c r="A882">
        <v>22</v>
      </c>
      <c r="B882" t="s">
        <v>10</v>
      </c>
      <c r="C882">
        <v>34.799999999999997</v>
      </c>
      <c r="D882">
        <v>3</v>
      </c>
      <c r="E882" t="s">
        <v>11</v>
      </c>
      <c r="F882" t="s">
        <v>9</v>
      </c>
      <c r="G882">
        <v>3443.0639999999999</v>
      </c>
    </row>
    <row r="883" spans="1:7" x14ac:dyDescent="0.25">
      <c r="A883">
        <v>23</v>
      </c>
      <c r="B883" t="s">
        <v>10</v>
      </c>
      <c r="C883">
        <v>27.36</v>
      </c>
      <c r="D883">
        <v>1</v>
      </c>
      <c r="E883" t="s">
        <v>11</v>
      </c>
      <c r="F883" t="s">
        <v>13</v>
      </c>
      <c r="G883">
        <v>2789.0574000000001</v>
      </c>
    </row>
    <row r="884" spans="1:7" x14ac:dyDescent="0.25">
      <c r="A884">
        <v>21</v>
      </c>
      <c r="B884" t="s">
        <v>7</v>
      </c>
      <c r="C884">
        <v>22.135000000000002</v>
      </c>
      <c r="D884">
        <v>0</v>
      </c>
      <c r="E884" t="s">
        <v>11</v>
      </c>
      <c r="F884" t="s">
        <v>14</v>
      </c>
      <c r="G884">
        <v>2585.8506499999999</v>
      </c>
    </row>
    <row r="885" spans="1:7" x14ac:dyDescent="0.25">
      <c r="A885">
        <v>51</v>
      </c>
      <c r="B885" t="s">
        <v>7</v>
      </c>
      <c r="C885">
        <v>37.049999999999997</v>
      </c>
      <c r="D885">
        <v>3</v>
      </c>
      <c r="E885" t="s">
        <v>8</v>
      </c>
      <c r="F885" t="s">
        <v>14</v>
      </c>
      <c r="G885">
        <v>46255.112500000003</v>
      </c>
    </row>
    <row r="886" spans="1:7" x14ac:dyDescent="0.25">
      <c r="A886">
        <v>25</v>
      </c>
      <c r="B886" t="s">
        <v>10</v>
      </c>
      <c r="C886">
        <v>26.695</v>
      </c>
      <c r="D886">
        <v>4</v>
      </c>
      <c r="E886" t="s">
        <v>11</v>
      </c>
      <c r="F886" t="s">
        <v>13</v>
      </c>
      <c r="G886">
        <v>4877.9810500000003</v>
      </c>
    </row>
    <row r="887" spans="1:7" x14ac:dyDescent="0.25">
      <c r="A887">
        <v>32</v>
      </c>
      <c r="B887" t="s">
        <v>10</v>
      </c>
      <c r="C887">
        <v>28.93</v>
      </c>
      <c r="D887">
        <v>1</v>
      </c>
      <c r="E887" t="s">
        <v>8</v>
      </c>
      <c r="F887" t="s">
        <v>12</v>
      </c>
      <c r="G887">
        <v>19719.6947</v>
      </c>
    </row>
    <row r="888" spans="1:7" x14ac:dyDescent="0.25">
      <c r="A888">
        <v>57</v>
      </c>
      <c r="B888" t="s">
        <v>10</v>
      </c>
      <c r="C888">
        <v>28.975000000000001</v>
      </c>
      <c r="D888">
        <v>0</v>
      </c>
      <c r="E888" t="s">
        <v>8</v>
      </c>
      <c r="F888" t="s">
        <v>14</v>
      </c>
      <c r="G888">
        <v>27218.437249999999</v>
      </c>
    </row>
    <row r="889" spans="1:7" x14ac:dyDescent="0.25">
      <c r="A889">
        <v>36</v>
      </c>
      <c r="B889" t="s">
        <v>7</v>
      </c>
      <c r="C889">
        <v>30.02</v>
      </c>
      <c r="D889">
        <v>0</v>
      </c>
      <c r="E889" t="s">
        <v>11</v>
      </c>
      <c r="F889" t="s">
        <v>13</v>
      </c>
      <c r="G889">
        <v>5272.1758</v>
      </c>
    </row>
    <row r="890" spans="1:7" x14ac:dyDescent="0.25">
      <c r="A890">
        <v>22</v>
      </c>
      <c r="B890" t="s">
        <v>10</v>
      </c>
      <c r="C890">
        <v>39.5</v>
      </c>
      <c r="D890">
        <v>0</v>
      </c>
      <c r="E890" t="s">
        <v>11</v>
      </c>
      <c r="F890" t="s">
        <v>9</v>
      </c>
      <c r="G890">
        <v>1682.597</v>
      </c>
    </row>
    <row r="891" spans="1:7" x14ac:dyDescent="0.25">
      <c r="A891">
        <v>57</v>
      </c>
      <c r="B891" t="s">
        <v>10</v>
      </c>
      <c r="C891">
        <v>33.630000000000003</v>
      </c>
      <c r="D891">
        <v>1</v>
      </c>
      <c r="E891" t="s">
        <v>11</v>
      </c>
      <c r="F891" t="s">
        <v>13</v>
      </c>
      <c r="G891">
        <v>11945.1327</v>
      </c>
    </row>
    <row r="892" spans="1:7" x14ac:dyDescent="0.25">
      <c r="A892">
        <v>64</v>
      </c>
      <c r="B892" t="s">
        <v>7</v>
      </c>
      <c r="C892">
        <v>26.885000000000002</v>
      </c>
      <c r="D892">
        <v>0</v>
      </c>
      <c r="E892" t="s">
        <v>8</v>
      </c>
      <c r="F892" t="s">
        <v>13</v>
      </c>
      <c r="G892">
        <v>29330.98315</v>
      </c>
    </row>
    <row r="893" spans="1:7" x14ac:dyDescent="0.25">
      <c r="A893">
        <v>36</v>
      </c>
      <c r="B893" t="s">
        <v>7</v>
      </c>
      <c r="C893">
        <v>29.04</v>
      </c>
      <c r="D893">
        <v>4</v>
      </c>
      <c r="E893" t="s">
        <v>11</v>
      </c>
      <c r="F893" t="s">
        <v>12</v>
      </c>
      <c r="G893">
        <v>7243.8136000000004</v>
      </c>
    </row>
    <row r="894" spans="1:7" x14ac:dyDescent="0.25">
      <c r="A894">
        <v>54</v>
      </c>
      <c r="B894" t="s">
        <v>10</v>
      </c>
      <c r="C894">
        <v>24.035</v>
      </c>
      <c r="D894">
        <v>0</v>
      </c>
      <c r="E894" t="s">
        <v>11</v>
      </c>
      <c r="F894" t="s">
        <v>14</v>
      </c>
      <c r="G894">
        <v>10422.916649999999</v>
      </c>
    </row>
    <row r="895" spans="1:7" x14ac:dyDescent="0.25">
      <c r="A895">
        <v>47</v>
      </c>
      <c r="B895" t="s">
        <v>10</v>
      </c>
      <c r="C895">
        <v>38.94</v>
      </c>
      <c r="D895">
        <v>2</v>
      </c>
      <c r="E895" t="s">
        <v>8</v>
      </c>
      <c r="F895" t="s">
        <v>12</v>
      </c>
      <c r="G895">
        <v>44202.653599999998</v>
      </c>
    </row>
    <row r="896" spans="1:7" x14ac:dyDescent="0.25">
      <c r="A896">
        <v>62</v>
      </c>
      <c r="B896" t="s">
        <v>10</v>
      </c>
      <c r="C896">
        <v>32.11</v>
      </c>
      <c r="D896">
        <v>0</v>
      </c>
      <c r="E896" t="s">
        <v>11</v>
      </c>
      <c r="F896" t="s">
        <v>14</v>
      </c>
      <c r="G896">
        <v>13555.0049</v>
      </c>
    </row>
    <row r="897" spans="1:7" x14ac:dyDescent="0.25">
      <c r="A897">
        <v>61</v>
      </c>
      <c r="B897" t="s">
        <v>7</v>
      </c>
      <c r="C897">
        <v>44</v>
      </c>
      <c r="D897">
        <v>0</v>
      </c>
      <c r="E897" t="s">
        <v>11</v>
      </c>
      <c r="F897" t="s">
        <v>9</v>
      </c>
      <c r="G897">
        <v>13063.883</v>
      </c>
    </row>
    <row r="898" spans="1:7" x14ac:dyDescent="0.25">
      <c r="A898">
        <v>43</v>
      </c>
      <c r="B898" t="s">
        <v>7</v>
      </c>
      <c r="C898">
        <v>20.045000000000002</v>
      </c>
      <c r="D898">
        <v>2</v>
      </c>
      <c r="E898" t="s">
        <v>8</v>
      </c>
      <c r="F898" t="s">
        <v>14</v>
      </c>
      <c r="G898">
        <v>19798.054550000001</v>
      </c>
    </row>
    <row r="899" spans="1:7" x14ac:dyDescent="0.25">
      <c r="A899">
        <v>19</v>
      </c>
      <c r="B899" t="s">
        <v>10</v>
      </c>
      <c r="C899">
        <v>25.555</v>
      </c>
      <c r="D899">
        <v>1</v>
      </c>
      <c r="E899" t="s">
        <v>11</v>
      </c>
      <c r="F899" t="s">
        <v>13</v>
      </c>
      <c r="G899">
        <v>2221.5644499999999</v>
      </c>
    </row>
    <row r="900" spans="1:7" x14ac:dyDescent="0.25">
      <c r="A900">
        <v>18</v>
      </c>
      <c r="B900" t="s">
        <v>7</v>
      </c>
      <c r="C900">
        <v>40.26</v>
      </c>
      <c r="D900">
        <v>0</v>
      </c>
      <c r="E900" t="s">
        <v>11</v>
      </c>
      <c r="F900" t="s">
        <v>12</v>
      </c>
      <c r="G900">
        <v>1634.5734</v>
      </c>
    </row>
    <row r="901" spans="1:7" x14ac:dyDescent="0.25">
      <c r="A901">
        <v>19</v>
      </c>
      <c r="B901" t="s">
        <v>7</v>
      </c>
      <c r="C901">
        <v>22.515000000000001</v>
      </c>
      <c r="D901">
        <v>0</v>
      </c>
      <c r="E901" t="s">
        <v>11</v>
      </c>
      <c r="F901" t="s">
        <v>13</v>
      </c>
      <c r="G901">
        <v>2117.3388500000001</v>
      </c>
    </row>
    <row r="902" spans="1:7" x14ac:dyDescent="0.25">
      <c r="A902">
        <v>49</v>
      </c>
      <c r="B902" t="s">
        <v>10</v>
      </c>
      <c r="C902">
        <v>22.515000000000001</v>
      </c>
      <c r="D902">
        <v>0</v>
      </c>
      <c r="E902" t="s">
        <v>11</v>
      </c>
      <c r="F902" t="s">
        <v>14</v>
      </c>
      <c r="G902">
        <v>8688.8588500000005</v>
      </c>
    </row>
    <row r="903" spans="1:7" x14ac:dyDescent="0.25">
      <c r="A903">
        <v>60</v>
      </c>
      <c r="B903" t="s">
        <v>10</v>
      </c>
      <c r="C903">
        <v>40.92</v>
      </c>
      <c r="D903">
        <v>0</v>
      </c>
      <c r="E903" t="s">
        <v>8</v>
      </c>
      <c r="F903" t="s">
        <v>12</v>
      </c>
      <c r="G903">
        <v>48673.558799999999</v>
      </c>
    </row>
    <row r="904" spans="1:7" x14ac:dyDescent="0.25">
      <c r="A904">
        <v>26</v>
      </c>
      <c r="B904" t="s">
        <v>10</v>
      </c>
      <c r="C904">
        <v>27.265000000000001</v>
      </c>
      <c r="D904">
        <v>3</v>
      </c>
      <c r="E904" t="s">
        <v>11</v>
      </c>
      <c r="F904" t="s">
        <v>14</v>
      </c>
      <c r="G904">
        <v>4661.2863500000003</v>
      </c>
    </row>
    <row r="905" spans="1:7" x14ac:dyDescent="0.25">
      <c r="A905">
        <v>49</v>
      </c>
      <c r="B905" t="s">
        <v>10</v>
      </c>
      <c r="C905">
        <v>36.85</v>
      </c>
      <c r="D905">
        <v>0</v>
      </c>
      <c r="E905" t="s">
        <v>11</v>
      </c>
      <c r="F905" t="s">
        <v>12</v>
      </c>
      <c r="G905">
        <v>8125.7844999999998</v>
      </c>
    </row>
    <row r="906" spans="1:7" x14ac:dyDescent="0.25">
      <c r="A906">
        <v>60</v>
      </c>
      <c r="B906" t="s">
        <v>7</v>
      </c>
      <c r="C906">
        <v>35.1</v>
      </c>
      <c r="D906">
        <v>0</v>
      </c>
      <c r="E906" t="s">
        <v>11</v>
      </c>
      <c r="F906" t="s">
        <v>9</v>
      </c>
      <c r="G906">
        <v>12644.589</v>
      </c>
    </row>
    <row r="907" spans="1:7" x14ac:dyDescent="0.25">
      <c r="A907">
        <v>26</v>
      </c>
      <c r="B907" t="s">
        <v>7</v>
      </c>
      <c r="C907">
        <v>29.355</v>
      </c>
      <c r="D907">
        <v>2</v>
      </c>
      <c r="E907" t="s">
        <v>11</v>
      </c>
      <c r="F907" t="s">
        <v>14</v>
      </c>
      <c r="G907">
        <v>4564.1914500000003</v>
      </c>
    </row>
    <row r="908" spans="1:7" x14ac:dyDescent="0.25">
      <c r="A908">
        <v>27</v>
      </c>
      <c r="B908" t="s">
        <v>10</v>
      </c>
      <c r="C908">
        <v>32.585000000000001</v>
      </c>
      <c r="D908">
        <v>3</v>
      </c>
      <c r="E908" t="s">
        <v>11</v>
      </c>
      <c r="F908" t="s">
        <v>14</v>
      </c>
      <c r="G908">
        <v>4846.9201499999999</v>
      </c>
    </row>
    <row r="909" spans="1:7" x14ac:dyDescent="0.25">
      <c r="A909">
        <v>44</v>
      </c>
      <c r="B909" t="s">
        <v>7</v>
      </c>
      <c r="C909">
        <v>32.340000000000003</v>
      </c>
      <c r="D909">
        <v>1</v>
      </c>
      <c r="E909" t="s">
        <v>11</v>
      </c>
      <c r="F909" t="s">
        <v>12</v>
      </c>
      <c r="G909">
        <v>7633.7205999999996</v>
      </c>
    </row>
    <row r="910" spans="1:7" x14ac:dyDescent="0.25">
      <c r="A910">
        <v>63</v>
      </c>
      <c r="B910" t="s">
        <v>10</v>
      </c>
      <c r="C910">
        <v>39.799999999999997</v>
      </c>
      <c r="D910">
        <v>3</v>
      </c>
      <c r="E910" t="s">
        <v>11</v>
      </c>
      <c r="F910" t="s">
        <v>9</v>
      </c>
      <c r="G910">
        <v>15170.069</v>
      </c>
    </row>
    <row r="911" spans="1:7" x14ac:dyDescent="0.25">
      <c r="A911">
        <v>32</v>
      </c>
      <c r="B911" t="s">
        <v>7</v>
      </c>
      <c r="C911">
        <v>24.6</v>
      </c>
      <c r="D911">
        <v>0</v>
      </c>
      <c r="E911" t="s">
        <v>8</v>
      </c>
      <c r="F911" t="s">
        <v>9</v>
      </c>
      <c r="G911">
        <v>17496.306</v>
      </c>
    </row>
    <row r="912" spans="1:7" x14ac:dyDescent="0.25">
      <c r="A912">
        <v>22</v>
      </c>
      <c r="B912" t="s">
        <v>10</v>
      </c>
      <c r="C912">
        <v>28.31</v>
      </c>
      <c r="D912">
        <v>1</v>
      </c>
      <c r="E912" t="s">
        <v>11</v>
      </c>
      <c r="F912" t="s">
        <v>13</v>
      </c>
      <c r="G912">
        <v>2639.0428999999999</v>
      </c>
    </row>
    <row r="913" spans="1:7" x14ac:dyDescent="0.25">
      <c r="A913">
        <v>18</v>
      </c>
      <c r="B913" t="s">
        <v>10</v>
      </c>
      <c r="C913">
        <v>31.73</v>
      </c>
      <c r="D913">
        <v>0</v>
      </c>
      <c r="E913" t="s">
        <v>8</v>
      </c>
      <c r="F913" t="s">
        <v>14</v>
      </c>
      <c r="G913">
        <v>33732.686699999998</v>
      </c>
    </row>
    <row r="914" spans="1:7" x14ac:dyDescent="0.25">
      <c r="A914">
        <v>59</v>
      </c>
      <c r="B914" t="s">
        <v>7</v>
      </c>
      <c r="C914">
        <v>26.695</v>
      </c>
      <c r="D914">
        <v>3</v>
      </c>
      <c r="E914" t="s">
        <v>11</v>
      </c>
      <c r="F914" t="s">
        <v>13</v>
      </c>
      <c r="G914">
        <v>14382.709049999999</v>
      </c>
    </row>
    <row r="915" spans="1:7" x14ac:dyDescent="0.25">
      <c r="A915">
        <v>44</v>
      </c>
      <c r="B915" t="s">
        <v>7</v>
      </c>
      <c r="C915">
        <v>27.5</v>
      </c>
      <c r="D915">
        <v>1</v>
      </c>
      <c r="E915" t="s">
        <v>11</v>
      </c>
      <c r="F915" t="s">
        <v>9</v>
      </c>
      <c r="G915">
        <v>7626.9930000000004</v>
      </c>
    </row>
    <row r="916" spans="1:7" x14ac:dyDescent="0.25">
      <c r="A916">
        <v>33</v>
      </c>
      <c r="B916" t="s">
        <v>10</v>
      </c>
      <c r="C916">
        <v>24.605</v>
      </c>
      <c r="D916">
        <v>2</v>
      </c>
      <c r="E916" t="s">
        <v>11</v>
      </c>
      <c r="F916" t="s">
        <v>13</v>
      </c>
      <c r="G916">
        <v>5257.5079500000002</v>
      </c>
    </row>
    <row r="917" spans="1:7" x14ac:dyDescent="0.25">
      <c r="A917">
        <v>24</v>
      </c>
      <c r="B917" t="s">
        <v>7</v>
      </c>
      <c r="C917">
        <v>33.99</v>
      </c>
      <c r="D917">
        <v>0</v>
      </c>
      <c r="E917" t="s">
        <v>11</v>
      </c>
      <c r="F917" t="s">
        <v>12</v>
      </c>
      <c r="G917">
        <v>2473.3341</v>
      </c>
    </row>
    <row r="918" spans="1:7" x14ac:dyDescent="0.25">
      <c r="A918">
        <v>43</v>
      </c>
      <c r="B918" t="s">
        <v>7</v>
      </c>
      <c r="C918">
        <v>26.885000000000002</v>
      </c>
      <c r="D918">
        <v>0</v>
      </c>
      <c r="E918" t="s">
        <v>8</v>
      </c>
      <c r="F918" t="s">
        <v>13</v>
      </c>
      <c r="G918">
        <v>21774.32215</v>
      </c>
    </row>
    <row r="919" spans="1:7" x14ac:dyDescent="0.25">
      <c r="A919">
        <v>45</v>
      </c>
      <c r="B919" t="s">
        <v>10</v>
      </c>
      <c r="C919">
        <v>22.895</v>
      </c>
      <c r="D919">
        <v>0</v>
      </c>
      <c r="E919" t="s">
        <v>8</v>
      </c>
      <c r="F919" t="s">
        <v>14</v>
      </c>
      <c r="G919">
        <v>35069.374519999998</v>
      </c>
    </row>
    <row r="920" spans="1:7" x14ac:dyDescent="0.25">
      <c r="A920">
        <v>61</v>
      </c>
      <c r="B920" t="s">
        <v>7</v>
      </c>
      <c r="C920">
        <v>28.2</v>
      </c>
      <c r="D920">
        <v>0</v>
      </c>
      <c r="E920" t="s">
        <v>11</v>
      </c>
      <c r="F920" t="s">
        <v>9</v>
      </c>
      <c r="G920">
        <v>13041.921</v>
      </c>
    </row>
    <row r="921" spans="1:7" x14ac:dyDescent="0.25">
      <c r="A921">
        <v>35</v>
      </c>
      <c r="B921" t="s">
        <v>7</v>
      </c>
      <c r="C921">
        <v>34.21</v>
      </c>
      <c r="D921">
        <v>1</v>
      </c>
      <c r="E921" t="s">
        <v>11</v>
      </c>
      <c r="F921" t="s">
        <v>12</v>
      </c>
      <c r="G921">
        <v>5245.2268999999997</v>
      </c>
    </row>
    <row r="922" spans="1:7" x14ac:dyDescent="0.25">
      <c r="A922">
        <v>62</v>
      </c>
      <c r="B922" t="s">
        <v>7</v>
      </c>
      <c r="C922">
        <v>25</v>
      </c>
      <c r="D922">
        <v>0</v>
      </c>
      <c r="E922" t="s">
        <v>11</v>
      </c>
      <c r="F922" t="s">
        <v>9</v>
      </c>
      <c r="G922">
        <v>13451.121999999999</v>
      </c>
    </row>
    <row r="923" spans="1:7" x14ac:dyDescent="0.25">
      <c r="A923">
        <v>62</v>
      </c>
      <c r="B923" t="s">
        <v>7</v>
      </c>
      <c r="C923">
        <v>33.200000000000003</v>
      </c>
      <c r="D923">
        <v>0</v>
      </c>
      <c r="E923" t="s">
        <v>11</v>
      </c>
      <c r="F923" t="s">
        <v>9</v>
      </c>
      <c r="G923">
        <v>13462.52</v>
      </c>
    </row>
    <row r="924" spans="1:7" x14ac:dyDescent="0.25">
      <c r="A924">
        <v>38</v>
      </c>
      <c r="B924" t="s">
        <v>10</v>
      </c>
      <c r="C924">
        <v>31</v>
      </c>
      <c r="D924">
        <v>1</v>
      </c>
      <c r="E924" t="s">
        <v>11</v>
      </c>
      <c r="F924" t="s">
        <v>9</v>
      </c>
      <c r="G924">
        <v>5488.2619999999997</v>
      </c>
    </row>
    <row r="925" spans="1:7" x14ac:dyDescent="0.25">
      <c r="A925">
        <v>34</v>
      </c>
      <c r="B925" t="s">
        <v>10</v>
      </c>
      <c r="C925">
        <v>35.814999999999998</v>
      </c>
      <c r="D925">
        <v>0</v>
      </c>
      <c r="E925" t="s">
        <v>11</v>
      </c>
      <c r="F925" t="s">
        <v>13</v>
      </c>
      <c r="G925">
        <v>4320.4108500000002</v>
      </c>
    </row>
    <row r="926" spans="1:7" x14ac:dyDescent="0.25">
      <c r="A926">
        <v>43</v>
      </c>
      <c r="B926" t="s">
        <v>10</v>
      </c>
      <c r="C926">
        <v>23.2</v>
      </c>
      <c r="D926">
        <v>0</v>
      </c>
      <c r="E926" t="s">
        <v>11</v>
      </c>
      <c r="F926" t="s">
        <v>9</v>
      </c>
      <c r="G926">
        <v>6250.4350000000004</v>
      </c>
    </row>
    <row r="927" spans="1:7" x14ac:dyDescent="0.25">
      <c r="A927">
        <v>50</v>
      </c>
      <c r="B927" t="s">
        <v>10</v>
      </c>
      <c r="C927">
        <v>32.11</v>
      </c>
      <c r="D927">
        <v>2</v>
      </c>
      <c r="E927" t="s">
        <v>11</v>
      </c>
      <c r="F927" t="s">
        <v>14</v>
      </c>
      <c r="G927">
        <v>25333.332839999999</v>
      </c>
    </row>
    <row r="928" spans="1:7" x14ac:dyDescent="0.25">
      <c r="A928">
        <v>19</v>
      </c>
      <c r="B928" t="s">
        <v>7</v>
      </c>
      <c r="C928">
        <v>23.4</v>
      </c>
      <c r="D928">
        <v>2</v>
      </c>
      <c r="E928" t="s">
        <v>11</v>
      </c>
      <c r="F928" t="s">
        <v>9</v>
      </c>
      <c r="G928">
        <v>2913.569</v>
      </c>
    </row>
    <row r="929" spans="1:7" x14ac:dyDescent="0.25">
      <c r="A929">
        <v>57</v>
      </c>
      <c r="B929" t="s">
        <v>7</v>
      </c>
      <c r="C929">
        <v>20.100000000000001</v>
      </c>
      <c r="D929">
        <v>1</v>
      </c>
      <c r="E929" t="s">
        <v>11</v>
      </c>
      <c r="F929" t="s">
        <v>9</v>
      </c>
      <c r="G929">
        <v>12032.325999999999</v>
      </c>
    </row>
    <row r="930" spans="1:7" x14ac:dyDescent="0.25">
      <c r="A930">
        <v>62</v>
      </c>
      <c r="B930" t="s">
        <v>7</v>
      </c>
      <c r="C930">
        <v>39.159999999999997</v>
      </c>
      <c r="D930">
        <v>0</v>
      </c>
      <c r="E930" t="s">
        <v>11</v>
      </c>
      <c r="F930" t="s">
        <v>12</v>
      </c>
      <c r="G930">
        <v>13470.804400000001</v>
      </c>
    </row>
    <row r="931" spans="1:7" x14ac:dyDescent="0.25">
      <c r="A931">
        <v>41</v>
      </c>
      <c r="B931" t="s">
        <v>10</v>
      </c>
      <c r="C931">
        <v>34.21</v>
      </c>
      <c r="D931">
        <v>1</v>
      </c>
      <c r="E931" t="s">
        <v>11</v>
      </c>
      <c r="F931" t="s">
        <v>12</v>
      </c>
      <c r="G931">
        <v>6289.7548999999999</v>
      </c>
    </row>
    <row r="932" spans="1:7" x14ac:dyDescent="0.25">
      <c r="A932">
        <v>26</v>
      </c>
      <c r="B932" t="s">
        <v>10</v>
      </c>
      <c r="C932">
        <v>46.53</v>
      </c>
      <c r="D932">
        <v>1</v>
      </c>
      <c r="E932" t="s">
        <v>11</v>
      </c>
      <c r="F932" t="s">
        <v>12</v>
      </c>
      <c r="G932">
        <v>2927.0646999999999</v>
      </c>
    </row>
    <row r="933" spans="1:7" x14ac:dyDescent="0.25">
      <c r="A933">
        <v>39</v>
      </c>
      <c r="B933" t="s">
        <v>7</v>
      </c>
      <c r="C933">
        <v>32.5</v>
      </c>
      <c r="D933">
        <v>1</v>
      </c>
      <c r="E933" t="s">
        <v>11</v>
      </c>
      <c r="F933" t="s">
        <v>9</v>
      </c>
      <c r="G933">
        <v>6238.2979999999998</v>
      </c>
    </row>
    <row r="934" spans="1:7" x14ac:dyDescent="0.25">
      <c r="A934">
        <v>46</v>
      </c>
      <c r="B934" t="s">
        <v>10</v>
      </c>
      <c r="C934">
        <v>25.8</v>
      </c>
      <c r="D934">
        <v>5</v>
      </c>
      <c r="E934" t="s">
        <v>11</v>
      </c>
      <c r="F934" t="s">
        <v>9</v>
      </c>
      <c r="G934">
        <v>10096.969999999999</v>
      </c>
    </row>
    <row r="935" spans="1:7" x14ac:dyDescent="0.25">
      <c r="A935">
        <v>45</v>
      </c>
      <c r="B935" t="s">
        <v>7</v>
      </c>
      <c r="C935">
        <v>35.299999999999997</v>
      </c>
      <c r="D935">
        <v>0</v>
      </c>
      <c r="E935" t="s">
        <v>11</v>
      </c>
      <c r="F935" t="s">
        <v>9</v>
      </c>
      <c r="G935">
        <v>7348.1419999999998</v>
      </c>
    </row>
    <row r="936" spans="1:7" x14ac:dyDescent="0.25">
      <c r="A936">
        <v>32</v>
      </c>
      <c r="B936" t="s">
        <v>10</v>
      </c>
      <c r="C936">
        <v>37.18</v>
      </c>
      <c r="D936">
        <v>2</v>
      </c>
      <c r="E936" t="s">
        <v>11</v>
      </c>
      <c r="F936" t="s">
        <v>12</v>
      </c>
      <c r="G936">
        <v>4673.3922000000002</v>
      </c>
    </row>
    <row r="937" spans="1:7" x14ac:dyDescent="0.25">
      <c r="A937">
        <v>59</v>
      </c>
      <c r="B937" t="s">
        <v>7</v>
      </c>
      <c r="C937">
        <v>27.5</v>
      </c>
      <c r="D937">
        <v>0</v>
      </c>
      <c r="E937" t="s">
        <v>11</v>
      </c>
      <c r="F937" t="s">
        <v>9</v>
      </c>
      <c r="G937">
        <v>12233.828</v>
      </c>
    </row>
    <row r="938" spans="1:7" x14ac:dyDescent="0.25">
      <c r="A938">
        <v>44</v>
      </c>
      <c r="B938" t="s">
        <v>10</v>
      </c>
      <c r="C938">
        <v>29.734999999999999</v>
      </c>
      <c r="D938">
        <v>2</v>
      </c>
      <c r="E938" t="s">
        <v>11</v>
      </c>
      <c r="F938" t="s">
        <v>14</v>
      </c>
      <c r="G938">
        <v>32108.662820000001</v>
      </c>
    </row>
    <row r="939" spans="1:7" x14ac:dyDescent="0.25">
      <c r="A939">
        <v>39</v>
      </c>
      <c r="B939" t="s">
        <v>7</v>
      </c>
      <c r="C939">
        <v>24.225000000000001</v>
      </c>
      <c r="D939">
        <v>5</v>
      </c>
      <c r="E939" t="s">
        <v>11</v>
      </c>
      <c r="F939" t="s">
        <v>13</v>
      </c>
      <c r="G939">
        <v>8965.7957499999993</v>
      </c>
    </row>
    <row r="940" spans="1:7" x14ac:dyDescent="0.25">
      <c r="A940">
        <v>18</v>
      </c>
      <c r="B940" t="s">
        <v>10</v>
      </c>
      <c r="C940">
        <v>26.18</v>
      </c>
      <c r="D940">
        <v>2</v>
      </c>
      <c r="E940" t="s">
        <v>11</v>
      </c>
      <c r="F940" t="s">
        <v>12</v>
      </c>
      <c r="G940">
        <v>2304.0021999999999</v>
      </c>
    </row>
    <row r="941" spans="1:7" x14ac:dyDescent="0.25">
      <c r="A941">
        <v>53</v>
      </c>
      <c r="B941" t="s">
        <v>10</v>
      </c>
      <c r="C941">
        <v>29.48</v>
      </c>
      <c r="D941">
        <v>0</v>
      </c>
      <c r="E941" t="s">
        <v>11</v>
      </c>
      <c r="F941" t="s">
        <v>12</v>
      </c>
      <c r="G941">
        <v>9487.6442000000006</v>
      </c>
    </row>
    <row r="942" spans="1:7" x14ac:dyDescent="0.25">
      <c r="A942">
        <v>18</v>
      </c>
      <c r="B942" t="s">
        <v>10</v>
      </c>
      <c r="C942">
        <v>23.21</v>
      </c>
      <c r="D942">
        <v>0</v>
      </c>
      <c r="E942" t="s">
        <v>11</v>
      </c>
      <c r="F942" t="s">
        <v>12</v>
      </c>
      <c r="G942">
        <v>1121.8739</v>
      </c>
    </row>
    <row r="943" spans="1:7" x14ac:dyDescent="0.25">
      <c r="A943">
        <v>50</v>
      </c>
      <c r="B943" t="s">
        <v>7</v>
      </c>
      <c r="C943">
        <v>46.09</v>
      </c>
      <c r="D943">
        <v>1</v>
      </c>
      <c r="E943" t="s">
        <v>11</v>
      </c>
      <c r="F943" t="s">
        <v>12</v>
      </c>
      <c r="G943">
        <v>9549.5650999999998</v>
      </c>
    </row>
    <row r="944" spans="1:7" x14ac:dyDescent="0.25">
      <c r="A944">
        <v>18</v>
      </c>
      <c r="B944" t="s">
        <v>7</v>
      </c>
      <c r="C944">
        <v>40.185000000000002</v>
      </c>
      <c r="D944">
        <v>0</v>
      </c>
      <c r="E944" t="s">
        <v>11</v>
      </c>
      <c r="F944" t="s">
        <v>14</v>
      </c>
      <c r="G944">
        <v>2217.4691499999999</v>
      </c>
    </row>
    <row r="945" spans="1:7" x14ac:dyDescent="0.25">
      <c r="A945">
        <v>19</v>
      </c>
      <c r="B945" t="s">
        <v>10</v>
      </c>
      <c r="C945">
        <v>22.61</v>
      </c>
      <c r="D945">
        <v>0</v>
      </c>
      <c r="E945" t="s">
        <v>11</v>
      </c>
      <c r="F945" t="s">
        <v>13</v>
      </c>
      <c r="G945">
        <v>1628.4709</v>
      </c>
    </row>
    <row r="946" spans="1:7" x14ac:dyDescent="0.25">
      <c r="A946">
        <v>62</v>
      </c>
      <c r="B946" t="s">
        <v>10</v>
      </c>
      <c r="C946">
        <v>39.93</v>
      </c>
      <c r="D946">
        <v>0</v>
      </c>
      <c r="E946" t="s">
        <v>11</v>
      </c>
      <c r="F946" t="s">
        <v>12</v>
      </c>
      <c r="G946">
        <v>12982.8747</v>
      </c>
    </row>
    <row r="947" spans="1:7" x14ac:dyDescent="0.25">
      <c r="A947">
        <v>56</v>
      </c>
      <c r="B947" t="s">
        <v>7</v>
      </c>
      <c r="C947">
        <v>35.799999999999997</v>
      </c>
      <c r="D947">
        <v>1</v>
      </c>
      <c r="E947" t="s">
        <v>11</v>
      </c>
      <c r="F947" t="s">
        <v>9</v>
      </c>
      <c r="G947">
        <v>11674.13</v>
      </c>
    </row>
    <row r="948" spans="1:7" x14ac:dyDescent="0.25">
      <c r="A948">
        <v>42</v>
      </c>
      <c r="B948" t="s">
        <v>10</v>
      </c>
      <c r="C948">
        <v>35.799999999999997</v>
      </c>
      <c r="D948">
        <v>2</v>
      </c>
      <c r="E948" t="s">
        <v>11</v>
      </c>
      <c r="F948" t="s">
        <v>9</v>
      </c>
      <c r="G948">
        <v>7160.0940000000001</v>
      </c>
    </row>
    <row r="949" spans="1:7" x14ac:dyDescent="0.25">
      <c r="A949">
        <v>37</v>
      </c>
      <c r="B949" t="s">
        <v>10</v>
      </c>
      <c r="C949">
        <v>34.200000000000003</v>
      </c>
      <c r="D949">
        <v>1</v>
      </c>
      <c r="E949" t="s">
        <v>8</v>
      </c>
      <c r="F949" t="s">
        <v>14</v>
      </c>
      <c r="G949">
        <v>39047.285000000003</v>
      </c>
    </row>
    <row r="950" spans="1:7" x14ac:dyDescent="0.25">
      <c r="A950">
        <v>42</v>
      </c>
      <c r="B950" t="s">
        <v>10</v>
      </c>
      <c r="C950">
        <v>31.254999999999999</v>
      </c>
      <c r="D950">
        <v>0</v>
      </c>
      <c r="E950" t="s">
        <v>11</v>
      </c>
      <c r="F950" t="s">
        <v>13</v>
      </c>
      <c r="G950">
        <v>6358.7764500000003</v>
      </c>
    </row>
    <row r="951" spans="1:7" x14ac:dyDescent="0.25">
      <c r="A951">
        <v>25</v>
      </c>
      <c r="B951" t="s">
        <v>10</v>
      </c>
      <c r="C951">
        <v>29.7</v>
      </c>
      <c r="D951">
        <v>3</v>
      </c>
      <c r="E951" t="s">
        <v>8</v>
      </c>
      <c r="F951" t="s">
        <v>9</v>
      </c>
      <c r="G951">
        <v>19933.457999999999</v>
      </c>
    </row>
    <row r="952" spans="1:7" x14ac:dyDescent="0.25">
      <c r="A952">
        <v>57</v>
      </c>
      <c r="B952" t="s">
        <v>10</v>
      </c>
      <c r="C952">
        <v>18.335000000000001</v>
      </c>
      <c r="D952">
        <v>0</v>
      </c>
      <c r="E952" t="s">
        <v>11</v>
      </c>
      <c r="F952" t="s">
        <v>14</v>
      </c>
      <c r="G952">
        <v>11534.872649999999</v>
      </c>
    </row>
    <row r="953" spans="1:7" x14ac:dyDescent="0.25">
      <c r="A953">
        <v>51</v>
      </c>
      <c r="B953" t="s">
        <v>10</v>
      </c>
      <c r="C953">
        <v>42.9</v>
      </c>
      <c r="D953">
        <v>2</v>
      </c>
      <c r="E953" t="s">
        <v>8</v>
      </c>
      <c r="F953" t="s">
        <v>12</v>
      </c>
      <c r="G953">
        <v>47462.894</v>
      </c>
    </row>
    <row r="954" spans="1:7" x14ac:dyDescent="0.25">
      <c r="A954">
        <v>30</v>
      </c>
      <c r="B954" t="s">
        <v>7</v>
      </c>
      <c r="C954">
        <v>28.405000000000001</v>
      </c>
      <c r="D954">
        <v>1</v>
      </c>
      <c r="E954" t="s">
        <v>11</v>
      </c>
      <c r="F954" t="s">
        <v>13</v>
      </c>
      <c r="G954">
        <v>4527.1829500000003</v>
      </c>
    </row>
    <row r="955" spans="1:7" x14ac:dyDescent="0.25">
      <c r="A955">
        <v>44</v>
      </c>
      <c r="B955" t="s">
        <v>10</v>
      </c>
      <c r="C955">
        <v>30.2</v>
      </c>
      <c r="D955">
        <v>2</v>
      </c>
      <c r="E955" t="s">
        <v>8</v>
      </c>
      <c r="F955" t="s">
        <v>9</v>
      </c>
      <c r="G955">
        <v>38998.546000000002</v>
      </c>
    </row>
    <row r="956" spans="1:7" x14ac:dyDescent="0.25">
      <c r="A956">
        <v>34</v>
      </c>
      <c r="B956" t="s">
        <v>10</v>
      </c>
      <c r="C956">
        <v>27.835000000000001</v>
      </c>
      <c r="D956">
        <v>1</v>
      </c>
      <c r="E956" t="s">
        <v>8</v>
      </c>
      <c r="F956" t="s">
        <v>13</v>
      </c>
      <c r="G956">
        <v>20009.63365</v>
      </c>
    </row>
    <row r="957" spans="1:7" x14ac:dyDescent="0.25">
      <c r="A957">
        <v>31</v>
      </c>
      <c r="B957" t="s">
        <v>10</v>
      </c>
      <c r="C957">
        <v>39.49</v>
      </c>
      <c r="D957">
        <v>1</v>
      </c>
      <c r="E957" t="s">
        <v>11</v>
      </c>
      <c r="F957" t="s">
        <v>12</v>
      </c>
      <c r="G957">
        <v>3875.7341000000001</v>
      </c>
    </row>
    <row r="958" spans="1:7" x14ac:dyDescent="0.25">
      <c r="A958">
        <v>54</v>
      </c>
      <c r="B958" t="s">
        <v>10</v>
      </c>
      <c r="C958">
        <v>30.8</v>
      </c>
      <c r="D958">
        <v>1</v>
      </c>
      <c r="E958" t="s">
        <v>8</v>
      </c>
      <c r="F958" t="s">
        <v>12</v>
      </c>
      <c r="G958">
        <v>41999.519999999997</v>
      </c>
    </row>
    <row r="959" spans="1:7" x14ac:dyDescent="0.25">
      <c r="A959">
        <v>24</v>
      </c>
      <c r="B959" t="s">
        <v>10</v>
      </c>
      <c r="C959">
        <v>26.79</v>
      </c>
      <c r="D959">
        <v>1</v>
      </c>
      <c r="E959" t="s">
        <v>11</v>
      </c>
      <c r="F959" t="s">
        <v>13</v>
      </c>
      <c r="G959">
        <v>12609.88702</v>
      </c>
    </row>
    <row r="960" spans="1:7" x14ac:dyDescent="0.25">
      <c r="A960">
        <v>43</v>
      </c>
      <c r="B960" t="s">
        <v>10</v>
      </c>
      <c r="C960">
        <v>34.96</v>
      </c>
      <c r="D960">
        <v>1</v>
      </c>
      <c r="E960" t="s">
        <v>8</v>
      </c>
      <c r="F960" t="s">
        <v>14</v>
      </c>
      <c r="G960">
        <v>41034.221400000002</v>
      </c>
    </row>
    <row r="961" spans="1:7" x14ac:dyDescent="0.25">
      <c r="A961">
        <v>48</v>
      </c>
      <c r="B961" t="s">
        <v>10</v>
      </c>
      <c r="C961">
        <v>36.67</v>
      </c>
      <c r="D961">
        <v>1</v>
      </c>
      <c r="E961" t="s">
        <v>11</v>
      </c>
      <c r="F961" t="s">
        <v>13</v>
      </c>
      <c r="G961">
        <v>28468.919010000001</v>
      </c>
    </row>
    <row r="962" spans="1:7" x14ac:dyDescent="0.25">
      <c r="A962">
        <v>19</v>
      </c>
      <c r="B962" t="s">
        <v>7</v>
      </c>
      <c r="C962">
        <v>39.615000000000002</v>
      </c>
      <c r="D962">
        <v>1</v>
      </c>
      <c r="E962" t="s">
        <v>11</v>
      </c>
      <c r="F962" t="s">
        <v>13</v>
      </c>
      <c r="G962">
        <v>2730.1078499999999</v>
      </c>
    </row>
    <row r="963" spans="1:7" x14ac:dyDescent="0.25">
      <c r="A963">
        <v>29</v>
      </c>
      <c r="B963" t="s">
        <v>7</v>
      </c>
      <c r="C963">
        <v>25.9</v>
      </c>
      <c r="D963">
        <v>0</v>
      </c>
      <c r="E963" t="s">
        <v>11</v>
      </c>
      <c r="F963" t="s">
        <v>9</v>
      </c>
      <c r="G963">
        <v>3353.2840000000001</v>
      </c>
    </row>
    <row r="964" spans="1:7" x14ac:dyDescent="0.25">
      <c r="A964">
        <v>63</v>
      </c>
      <c r="B964" t="s">
        <v>7</v>
      </c>
      <c r="C964">
        <v>35.200000000000003</v>
      </c>
      <c r="D964">
        <v>1</v>
      </c>
      <c r="E964" t="s">
        <v>11</v>
      </c>
      <c r="F964" t="s">
        <v>12</v>
      </c>
      <c r="G964">
        <v>14474.674999999999</v>
      </c>
    </row>
    <row r="965" spans="1:7" x14ac:dyDescent="0.25">
      <c r="A965">
        <v>46</v>
      </c>
      <c r="B965" t="s">
        <v>10</v>
      </c>
      <c r="C965">
        <v>24.795000000000002</v>
      </c>
      <c r="D965">
        <v>3</v>
      </c>
      <c r="E965" t="s">
        <v>11</v>
      </c>
      <c r="F965" t="s">
        <v>14</v>
      </c>
      <c r="G965">
        <v>9500.5730500000009</v>
      </c>
    </row>
    <row r="966" spans="1:7" x14ac:dyDescent="0.25">
      <c r="A966">
        <v>52</v>
      </c>
      <c r="B966" t="s">
        <v>10</v>
      </c>
      <c r="C966">
        <v>36.765000000000001</v>
      </c>
      <c r="D966">
        <v>2</v>
      </c>
      <c r="E966" t="s">
        <v>11</v>
      </c>
      <c r="F966" t="s">
        <v>13</v>
      </c>
      <c r="G966">
        <v>26467.09737</v>
      </c>
    </row>
    <row r="967" spans="1:7" x14ac:dyDescent="0.25">
      <c r="A967">
        <v>35</v>
      </c>
      <c r="B967" t="s">
        <v>10</v>
      </c>
      <c r="C967">
        <v>27.1</v>
      </c>
      <c r="D967">
        <v>1</v>
      </c>
      <c r="E967" t="s">
        <v>11</v>
      </c>
      <c r="F967" t="s">
        <v>9</v>
      </c>
      <c r="G967">
        <v>4746.3440000000001</v>
      </c>
    </row>
    <row r="968" spans="1:7" x14ac:dyDescent="0.25">
      <c r="A968">
        <v>51</v>
      </c>
      <c r="B968" t="s">
        <v>10</v>
      </c>
      <c r="C968">
        <v>24.795000000000002</v>
      </c>
      <c r="D968">
        <v>2</v>
      </c>
      <c r="E968" t="s">
        <v>8</v>
      </c>
      <c r="F968" t="s">
        <v>13</v>
      </c>
      <c r="G968">
        <v>23967.38305</v>
      </c>
    </row>
    <row r="969" spans="1:7" x14ac:dyDescent="0.25">
      <c r="A969">
        <v>44</v>
      </c>
      <c r="B969" t="s">
        <v>10</v>
      </c>
      <c r="C969">
        <v>25.364999999999998</v>
      </c>
      <c r="D969">
        <v>1</v>
      </c>
      <c r="E969" t="s">
        <v>11</v>
      </c>
      <c r="F969" t="s">
        <v>13</v>
      </c>
      <c r="G969">
        <v>7518.0253499999999</v>
      </c>
    </row>
    <row r="970" spans="1:7" x14ac:dyDescent="0.25">
      <c r="A970">
        <v>21</v>
      </c>
      <c r="B970" t="s">
        <v>10</v>
      </c>
      <c r="C970">
        <v>25.745000000000001</v>
      </c>
      <c r="D970">
        <v>2</v>
      </c>
      <c r="E970" t="s">
        <v>11</v>
      </c>
      <c r="F970" t="s">
        <v>14</v>
      </c>
      <c r="G970">
        <v>3279.8685500000001</v>
      </c>
    </row>
    <row r="971" spans="1:7" x14ac:dyDescent="0.25">
      <c r="A971">
        <v>39</v>
      </c>
      <c r="B971" t="s">
        <v>7</v>
      </c>
      <c r="C971">
        <v>34.32</v>
      </c>
      <c r="D971">
        <v>5</v>
      </c>
      <c r="E971" t="s">
        <v>11</v>
      </c>
      <c r="F971" t="s">
        <v>12</v>
      </c>
      <c r="G971">
        <v>8596.8277999999991</v>
      </c>
    </row>
    <row r="972" spans="1:7" x14ac:dyDescent="0.25">
      <c r="A972">
        <v>50</v>
      </c>
      <c r="B972" t="s">
        <v>7</v>
      </c>
      <c r="C972">
        <v>28.16</v>
      </c>
      <c r="D972">
        <v>3</v>
      </c>
      <c r="E972" t="s">
        <v>11</v>
      </c>
      <c r="F972" t="s">
        <v>12</v>
      </c>
      <c r="G972">
        <v>10702.642400000001</v>
      </c>
    </row>
    <row r="973" spans="1:7" x14ac:dyDescent="0.25">
      <c r="A973">
        <v>34</v>
      </c>
      <c r="B973" t="s">
        <v>7</v>
      </c>
      <c r="C973">
        <v>23.56</v>
      </c>
      <c r="D973">
        <v>0</v>
      </c>
      <c r="E973" t="s">
        <v>11</v>
      </c>
      <c r="F973" t="s">
        <v>14</v>
      </c>
      <c r="G973">
        <v>4992.3764000000001</v>
      </c>
    </row>
    <row r="974" spans="1:7" x14ac:dyDescent="0.25">
      <c r="A974">
        <v>22</v>
      </c>
      <c r="B974" t="s">
        <v>7</v>
      </c>
      <c r="C974">
        <v>20.234999999999999</v>
      </c>
      <c r="D974">
        <v>0</v>
      </c>
      <c r="E974" t="s">
        <v>11</v>
      </c>
      <c r="F974" t="s">
        <v>13</v>
      </c>
      <c r="G974">
        <v>2527.8186500000002</v>
      </c>
    </row>
    <row r="975" spans="1:7" x14ac:dyDescent="0.25">
      <c r="A975">
        <v>19</v>
      </c>
      <c r="B975" t="s">
        <v>7</v>
      </c>
      <c r="C975">
        <v>40.5</v>
      </c>
      <c r="D975">
        <v>0</v>
      </c>
      <c r="E975" t="s">
        <v>11</v>
      </c>
      <c r="F975" t="s">
        <v>9</v>
      </c>
      <c r="G975">
        <v>1759.338</v>
      </c>
    </row>
    <row r="976" spans="1:7" x14ac:dyDescent="0.25">
      <c r="A976">
        <v>26</v>
      </c>
      <c r="B976" t="s">
        <v>10</v>
      </c>
      <c r="C976">
        <v>35.42</v>
      </c>
      <c r="D976">
        <v>0</v>
      </c>
      <c r="E976" t="s">
        <v>11</v>
      </c>
      <c r="F976" t="s">
        <v>12</v>
      </c>
      <c r="G976">
        <v>2322.6217999999999</v>
      </c>
    </row>
    <row r="977" spans="1:7" x14ac:dyDescent="0.25">
      <c r="A977">
        <v>29</v>
      </c>
      <c r="B977" t="s">
        <v>10</v>
      </c>
      <c r="C977">
        <v>22.895</v>
      </c>
      <c r="D977">
        <v>0</v>
      </c>
      <c r="E977" t="s">
        <v>8</v>
      </c>
      <c r="F977" t="s">
        <v>14</v>
      </c>
      <c r="G977">
        <v>16138.762049999999</v>
      </c>
    </row>
    <row r="978" spans="1:7" x14ac:dyDescent="0.25">
      <c r="A978">
        <v>48</v>
      </c>
      <c r="B978" t="s">
        <v>10</v>
      </c>
      <c r="C978">
        <v>40.15</v>
      </c>
      <c r="D978">
        <v>0</v>
      </c>
      <c r="E978" t="s">
        <v>11</v>
      </c>
      <c r="F978" t="s">
        <v>12</v>
      </c>
      <c r="G978">
        <v>7804.1605</v>
      </c>
    </row>
    <row r="979" spans="1:7" x14ac:dyDescent="0.25">
      <c r="A979">
        <v>26</v>
      </c>
      <c r="B979" t="s">
        <v>10</v>
      </c>
      <c r="C979">
        <v>29.15</v>
      </c>
      <c r="D979">
        <v>1</v>
      </c>
      <c r="E979" t="s">
        <v>11</v>
      </c>
      <c r="F979" t="s">
        <v>12</v>
      </c>
      <c r="G979">
        <v>2902.9065000000001</v>
      </c>
    </row>
    <row r="980" spans="1:7" x14ac:dyDescent="0.25">
      <c r="A980">
        <v>45</v>
      </c>
      <c r="B980" t="s">
        <v>7</v>
      </c>
      <c r="C980">
        <v>39.994999999999997</v>
      </c>
      <c r="D980">
        <v>3</v>
      </c>
      <c r="E980" t="s">
        <v>11</v>
      </c>
      <c r="F980" t="s">
        <v>14</v>
      </c>
      <c r="G980">
        <v>9704.6680500000002</v>
      </c>
    </row>
    <row r="981" spans="1:7" x14ac:dyDescent="0.25">
      <c r="A981">
        <v>36</v>
      </c>
      <c r="B981" t="s">
        <v>7</v>
      </c>
      <c r="C981">
        <v>29.92</v>
      </c>
      <c r="D981">
        <v>0</v>
      </c>
      <c r="E981" t="s">
        <v>11</v>
      </c>
      <c r="F981" t="s">
        <v>12</v>
      </c>
      <c r="G981">
        <v>4889.0367999999999</v>
      </c>
    </row>
    <row r="982" spans="1:7" x14ac:dyDescent="0.25">
      <c r="A982">
        <v>54</v>
      </c>
      <c r="B982" t="s">
        <v>10</v>
      </c>
      <c r="C982">
        <v>25.46</v>
      </c>
      <c r="D982">
        <v>1</v>
      </c>
      <c r="E982" t="s">
        <v>11</v>
      </c>
      <c r="F982" t="s">
        <v>14</v>
      </c>
      <c r="G982">
        <v>25517.11363</v>
      </c>
    </row>
    <row r="983" spans="1:7" x14ac:dyDescent="0.25">
      <c r="A983">
        <v>34</v>
      </c>
      <c r="B983" t="s">
        <v>10</v>
      </c>
      <c r="C983">
        <v>21.375</v>
      </c>
      <c r="D983">
        <v>0</v>
      </c>
      <c r="E983" t="s">
        <v>11</v>
      </c>
      <c r="F983" t="s">
        <v>14</v>
      </c>
      <c r="G983">
        <v>4500.33925</v>
      </c>
    </row>
    <row r="984" spans="1:7" x14ac:dyDescent="0.25">
      <c r="A984">
        <v>31</v>
      </c>
      <c r="B984" t="s">
        <v>10</v>
      </c>
      <c r="C984">
        <v>25.9</v>
      </c>
      <c r="D984">
        <v>3</v>
      </c>
      <c r="E984" t="s">
        <v>8</v>
      </c>
      <c r="F984" t="s">
        <v>9</v>
      </c>
      <c r="G984">
        <v>19199.944</v>
      </c>
    </row>
    <row r="985" spans="1:7" x14ac:dyDescent="0.25">
      <c r="A985">
        <v>27</v>
      </c>
      <c r="B985" t="s">
        <v>7</v>
      </c>
      <c r="C985">
        <v>30.59</v>
      </c>
      <c r="D985">
        <v>1</v>
      </c>
      <c r="E985" t="s">
        <v>11</v>
      </c>
      <c r="F985" t="s">
        <v>14</v>
      </c>
      <c r="G985">
        <v>16796.411940000002</v>
      </c>
    </row>
    <row r="986" spans="1:7" x14ac:dyDescent="0.25">
      <c r="A986">
        <v>20</v>
      </c>
      <c r="B986" t="s">
        <v>10</v>
      </c>
      <c r="C986">
        <v>30.114999999999998</v>
      </c>
      <c r="D986">
        <v>5</v>
      </c>
      <c r="E986" t="s">
        <v>11</v>
      </c>
      <c r="F986" t="s">
        <v>14</v>
      </c>
      <c r="G986">
        <v>4915.0598499999996</v>
      </c>
    </row>
    <row r="987" spans="1:7" x14ac:dyDescent="0.25">
      <c r="A987">
        <v>44</v>
      </c>
      <c r="B987" t="s">
        <v>7</v>
      </c>
      <c r="C987">
        <v>25.8</v>
      </c>
      <c r="D987">
        <v>1</v>
      </c>
      <c r="E987" t="s">
        <v>11</v>
      </c>
      <c r="F987" t="s">
        <v>9</v>
      </c>
      <c r="G987">
        <v>7624.63</v>
      </c>
    </row>
    <row r="988" spans="1:7" x14ac:dyDescent="0.25">
      <c r="A988">
        <v>43</v>
      </c>
      <c r="B988" t="s">
        <v>10</v>
      </c>
      <c r="C988">
        <v>30.114999999999998</v>
      </c>
      <c r="D988">
        <v>3</v>
      </c>
      <c r="E988" t="s">
        <v>11</v>
      </c>
      <c r="F988" t="s">
        <v>13</v>
      </c>
      <c r="G988">
        <v>8410.0468500000006</v>
      </c>
    </row>
    <row r="989" spans="1:7" x14ac:dyDescent="0.25">
      <c r="A989">
        <v>45</v>
      </c>
      <c r="B989" t="s">
        <v>7</v>
      </c>
      <c r="C989">
        <v>27.645</v>
      </c>
      <c r="D989">
        <v>1</v>
      </c>
      <c r="E989" t="s">
        <v>11</v>
      </c>
      <c r="F989" t="s">
        <v>13</v>
      </c>
      <c r="G989">
        <v>28340.188849999999</v>
      </c>
    </row>
    <row r="990" spans="1:7" x14ac:dyDescent="0.25">
      <c r="A990">
        <v>34</v>
      </c>
      <c r="B990" t="s">
        <v>10</v>
      </c>
      <c r="C990">
        <v>34.674999999999997</v>
      </c>
      <c r="D990">
        <v>0</v>
      </c>
      <c r="E990" t="s">
        <v>11</v>
      </c>
      <c r="F990" t="s">
        <v>14</v>
      </c>
      <c r="G990">
        <v>4518.8262500000001</v>
      </c>
    </row>
    <row r="991" spans="1:7" x14ac:dyDescent="0.25">
      <c r="A991">
        <v>24</v>
      </c>
      <c r="B991" t="s">
        <v>7</v>
      </c>
      <c r="C991">
        <v>20.52</v>
      </c>
      <c r="D991">
        <v>0</v>
      </c>
      <c r="E991" t="s">
        <v>8</v>
      </c>
      <c r="F991" t="s">
        <v>14</v>
      </c>
      <c r="G991">
        <v>14571.890799999999</v>
      </c>
    </row>
    <row r="992" spans="1:7" x14ac:dyDescent="0.25">
      <c r="A992">
        <v>26</v>
      </c>
      <c r="B992" t="s">
        <v>7</v>
      </c>
      <c r="C992">
        <v>19.8</v>
      </c>
      <c r="D992">
        <v>1</v>
      </c>
      <c r="E992" t="s">
        <v>11</v>
      </c>
      <c r="F992" t="s">
        <v>9</v>
      </c>
      <c r="G992">
        <v>3378.91</v>
      </c>
    </row>
    <row r="993" spans="1:7" x14ac:dyDescent="0.25">
      <c r="A993">
        <v>38</v>
      </c>
      <c r="B993" t="s">
        <v>7</v>
      </c>
      <c r="C993">
        <v>27.835000000000001</v>
      </c>
      <c r="D993">
        <v>2</v>
      </c>
      <c r="E993" t="s">
        <v>11</v>
      </c>
      <c r="F993" t="s">
        <v>14</v>
      </c>
      <c r="G993">
        <v>7144.86265</v>
      </c>
    </row>
    <row r="994" spans="1:7" x14ac:dyDescent="0.25">
      <c r="A994">
        <v>50</v>
      </c>
      <c r="B994" t="s">
        <v>7</v>
      </c>
      <c r="C994">
        <v>31.6</v>
      </c>
      <c r="D994">
        <v>2</v>
      </c>
      <c r="E994" t="s">
        <v>11</v>
      </c>
      <c r="F994" t="s">
        <v>9</v>
      </c>
      <c r="G994">
        <v>10118.424000000001</v>
      </c>
    </row>
    <row r="995" spans="1:7" x14ac:dyDescent="0.25">
      <c r="A995">
        <v>38</v>
      </c>
      <c r="B995" t="s">
        <v>10</v>
      </c>
      <c r="C995">
        <v>28.27</v>
      </c>
      <c r="D995">
        <v>1</v>
      </c>
      <c r="E995" t="s">
        <v>11</v>
      </c>
      <c r="F995" t="s">
        <v>12</v>
      </c>
      <c r="G995">
        <v>5484.4673000000003</v>
      </c>
    </row>
    <row r="996" spans="1:7" x14ac:dyDescent="0.25">
      <c r="A996">
        <v>27</v>
      </c>
      <c r="B996" t="s">
        <v>7</v>
      </c>
      <c r="C996">
        <v>20.045000000000002</v>
      </c>
      <c r="D996">
        <v>3</v>
      </c>
      <c r="E996" t="s">
        <v>8</v>
      </c>
      <c r="F996" t="s">
        <v>13</v>
      </c>
      <c r="G996">
        <v>16420.494549999999</v>
      </c>
    </row>
    <row r="997" spans="1:7" x14ac:dyDescent="0.25">
      <c r="A997">
        <v>39</v>
      </c>
      <c r="B997" t="s">
        <v>7</v>
      </c>
      <c r="C997">
        <v>23.274999999999999</v>
      </c>
      <c r="D997">
        <v>3</v>
      </c>
      <c r="E997" t="s">
        <v>11</v>
      </c>
      <c r="F997" t="s">
        <v>14</v>
      </c>
      <c r="G997">
        <v>7986.4752500000004</v>
      </c>
    </row>
    <row r="998" spans="1:7" x14ac:dyDescent="0.25">
      <c r="A998">
        <v>39</v>
      </c>
      <c r="B998" t="s">
        <v>7</v>
      </c>
      <c r="C998">
        <v>34.1</v>
      </c>
      <c r="D998">
        <v>3</v>
      </c>
      <c r="E998" t="s">
        <v>11</v>
      </c>
      <c r="F998" t="s">
        <v>9</v>
      </c>
      <c r="G998">
        <v>7418.5219999999999</v>
      </c>
    </row>
    <row r="999" spans="1:7" x14ac:dyDescent="0.25">
      <c r="A999">
        <v>63</v>
      </c>
      <c r="B999" t="s">
        <v>7</v>
      </c>
      <c r="C999">
        <v>36.85</v>
      </c>
      <c r="D999">
        <v>0</v>
      </c>
      <c r="E999" t="s">
        <v>11</v>
      </c>
      <c r="F999" t="s">
        <v>12</v>
      </c>
      <c r="G999">
        <v>13887.968500000001</v>
      </c>
    </row>
    <row r="1000" spans="1:7" x14ac:dyDescent="0.25">
      <c r="A1000">
        <v>33</v>
      </c>
      <c r="B1000" t="s">
        <v>7</v>
      </c>
      <c r="C1000">
        <v>36.29</v>
      </c>
      <c r="D1000">
        <v>3</v>
      </c>
      <c r="E1000" t="s">
        <v>11</v>
      </c>
      <c r="F1000" t="s">
        <v>14</v>
      </c>
      <c r="G1000">
        <v>6551.7501000000002</v>
      </c>
    </row>
    <row r="1001" spans="1:7" x14ac:dyDescent="0.25">
      <c r="A1001">
        <v>36</v>
      </c>
      <c r="B1001" t="s">
        <v>7</v>
      </c>
      <c r="C1001">
        <v>26.885000000000002</v>
      </c>
      <c r="D1001">
        <v>0</v>
      </c>
      <c r="E1001" t="s">
        <v>11</v>
      </c>
      <c r="F1001" t="s">
        <v>13</v>
      </c>
      <c r="G1001">
        <v>5267.8181500000001</v>
      </c>
    </row>
    <row r="1002" spans="1:7" x14ac:dyDescent="0.25">
      <c r="A1002">
        <v>30</v>
      </c>
      <c r="B1002" t="s">
        <v>10</v>
      </c>
      <c r="C1002">
        <v>22.99</v>
      </c>
      <c r="D1002">
        <v>2</v>
      </c>
      <c r="E1002" t="s">
        <v>8</v>
      </c>
      <c r="F1002" t="s">
        <v>13</v>
      </c>
      <c r="G1002">
        <v>17361.766100000001</v>
      </c>
    </row>
    <row r="1003" spans="1:7" x14ac:dyDescent="0.25">
      <c r="A1003">
        <v>24</v>
      </c>
      <c r="B1003" t="s">
        <v>10</v>
      </c>
      <c r="C1003">
        <v>32.700000000000003</v>
      </c>
      <c r="D1003">
        <v>0</v>
      </c>
      <c r="E1003" t="s">
        <v>8</v>
      </c>
      <c r="F1003" t="s">
        <v>9</v>
      </c>
      <c r="G1003">
        <v>34472.841</v>
      </c>
    </row>
    <row r="1004" spans="1:7" x14ac:dyDescent="0.25">
      <c r="A1004">
        <v>24</v>
      </c>
      <c r="B1004" t="s">
        <v>10</v>
      </c>
      <c r="C1004">
        <v>25.8</v>
      </c>
      <c r="D1004">
        <v>0</v>
      </c>
      <c r="E1004" t="s">
        <v>11</v>
      </c>
      <c r="F1004" t="s">
        <v>9</v>
      </c>
      <c r="G1004">
        <v>1972.95</v>
      </c>
    </row>
    <row r="1005" spans="1:7" x14ac:dyDescent="0.25">
      <c r="A1005">
        <v>48</v>
      </c>
      <c r="B1005" t="s">
        <v>10</v>
      </c>
      <c r="C1005">
        <v>29.6</v>
      </c>
      <c r="D1005">
        <v>0</v>
      </c>
      <c r="E1005" t="s">
        <v>11</v>
      </c>
      <c r="F1005" t="s">
        <v>9</v>
      </c>
      <c r="G1005">
        <v>21232.182260000001</v>
      </c>
    </row>
    <row r="1006" spans="1:7" x14ac:dyDescent="0.25">
      <c r="A1006">
        <v>47</v>
      </c>
      <c r="B1006" t="s">
        <v>10</v>
      </c>
      <c r="C1006">
        <v>19.190000000000001</v>
      </c>
      <c r="D1006">
        <v>1</v>
      </c>
      <c r="E1006" t="s">
        <v>11</v>
      </c>
      <c r="F1006" t="s">
        <v>14</v>
      </c>
      <c r="G1006">
        <v>8627.5411000000004</v>
      </c>
    </row>
    <row r="1007" spans="1:7" x14ac:dyDescent="0.25">
      <c r="A1007">
        <v>29</v>
      </c>
      <c r="B1007" t="s">
        <v>10</v>
      </c>
      <c r="C1007">
        <v>31.73</v>
      </c>
      <c r="D1007">
        <v>2</v>
      </c>
      <c r="E1007" t="s">
        <v>11</v>
      </c>
      <c r="F1007" t="s">
        <v>13</v>
      </c>
      <c r="G1007">
        <v>4433.3877000000002</v>
      </c>
    </row>
    <row r="1008" spans="1:7" x14ac:dyDescent="0.25">
      <c r="A1008">
        <v>28</v>
      </c>
      <c r="B1008" t="s">
        <v>10</v>
      </c>
      <c r="C1008">
        <v>29.26</v>
      </c>
      <c r="D1008">
        <v>2</v>
      </c>
      <c r="E1008" t="s">
        <v>11</v>
      </c>
      <c r="F1008" t="s">
        <v>14</v>
      </c>
      <c r="G1008">
        <v>4438.2633999999998</v>
      </c>
    </row>
    <row r="1009" spans="1:7" x14ac:dyDescent="0.25">
      <c r="A1009">
        <v>47</v>
      </c>
      <c r="B1009" t="s">
        <v>10</v>
      </c>
      <c r="C1009">
        <v>28.215</v>
      </c>
      <c r="D1009">
        <v>3</v>
      </c>
      <c r="E1009" t="s">
        <v>8</v>
      </c>
      <c r="F1009" t="s">
        <v>13</v>
      </c>
      <c r="G1009">
        <v>24915.220850000002</v>
      </c>
    </row>
    <row r="1010" spans="1:7" x14ac:dyDescent="0.25">
      <c r="A1010">
        <v>25</v>
      </c>
      <c r="B1010" t="s">
        <v>10</v>
      </c>
      <c r="C1010">
        <v>24.984999999999999</v>
      </c>
      <c r="D1010">
        <v>2</v>
      </c>
      <c r="E1010" t="s">
        <v>11</v>
      </c>
      <c r="F1010" t="s">
        <v>14</v>
      </c>
      <c r="G1010">
        <v>23241.47453</v>
      </c>
    </row>
    <row r="1011" spans="1:7" x14ac:dyDescent="0.25">
      <c r="A1011">
        <v>51</v>
      </c>
      <c r="B1011" t="s">
        <v>10</v>
      </c>
      <c r="C1011">
        <v>27.74</v>
      </c>
      <c r="D1011">
        <v>1</v>
      </c>
      <c r="E1011" t="s">
        <v>11</v>
      </c>
      <c r="F1011" t="s">
        <v>14</v>
      </c>
      <c r="G1011">
        <v>9957.7216000000008</v>
      </c>
    </row>
    <row r="1012" spans="1:7" x14ac:dyDescent="0.25">
      <c r="A1012">
        <v>48</v>
      </c>
      <c r="B1012" t="s">
        <v>7</v>
      </c>
      <c r="C1012">
        <v>22.8</v>
      </c>
      <c r="D1012">
        <v>0</v>
      </c>
      <c r="E1012" t="s">
        <v>11</v>
      </c>
      <c r="F1012" t="s">
        <v>9</v>
      </c>
      <c r="G1012">
        <v>8269.0439999999999</v>
      </c>
    </row>
    <row r="1013" spans="1:7" x14ac:dyDescent="0.25">
      <c r="A1013">
        <v>43</v>
      </c>
      <c r="B1013" t="s">
        <v>10</v>
      </c>
      <c r="C1013">
        <v>20.13</v>
      </c>
      <c r="D1013">
        <v>2</v>
      </c>
      <c r="E1013" t="s">
        <v>8</v>
      </c>
      <c r="F1013" t="s">
        <v>12</v>
      </c>
      <c r="G1013">
        <v>18767.737700000001</v>
      </c>
    </row>
    <row r="1014" spans="1:7" x14ac:dyDescent="0.25">
      <c r="A1014">
        <v>61</v>
      </c>
      <c r="B1014" t="s">
        <v>7</v>
      </c>
      <c r="C1014">
        <v>33.33</v>
      </c>
      <c r="D1014">
        <v>4</v>
      </c>
      <c r="E1014" t="s">
        <v>11</v>
      </c>
      <c r="F1014" t="s">
        <v>12</v>
      </c>
      <c r="G1014">
        <v>36580.282160000002</v>
      </c>
    </row>
    <row r="1015" spans="1:7" x14ac:dyDescent="0.25">
      <c r="A1015">
        <v>48</v>
      </c>
      <c r="B1015" t="s">
        <v>10</v>
      </c>
      <c r="C1015">
        <v>32.299999999999997</v>
      </c>
      <c r="D1015">
        <v>1</v>
      </c>
      <c r="E1015" t="s">
        <v>11</v>
      </c>
      <c r="F1015" t="s">
        <v>13</v>
      </c>
      <c r="G1015">
        <v>8765.2489999999998</v>
      </c>
    </row>
    <row r="1016" spans="1:7" x14ac:dyDescent="0.25">
      <c r="A1016">
        <v>38</v>
      </c>
      <c r="B1016" t="s">
        <v>7</v>
      </c>
      <c r="C1016">
        <v>27.6</v>
      </c>
      <c r="D1016">
        <v>0</v>
      </c>
      <c r="E1016" t="s">
        <v>11</v>
      </c>
      <c r="F1016" t="s">
        <v>9</v>
      </c>
      <c r="G1016">
        <v>5383.5360000000001</v>
      </c>
    </row>
    <row r="1017" spans="1:7" x14ac:dyDescent="0.25">
      <c r="A1017">
        <v>59</v>
      </c>
      <c r="B1017" t="s">
        <v>10</v>
      </c>
      <c r="C1017">
        <v>25.46</v>
      </c>
      <c r="D1017">
        <v>0</v>
      </c>
      <c r="E1017" t="s">
        <v>11</v>
      </c>
      <c r="F1017" t="s">
        <v>13</v>
      </c>
      <c r="G1017">
        <v>12124.992399999999</v>
      </c>
    </row>
    <row r="1018" spans="1:7" x14ac:dyDescent="0.25">
      <c r="A1018">
        <v>19</v>
      </c>
      <c r="B1018" t="s">
        <v>7</v>
      </c>
      <c r="C1018">
        <v>24.605</v>
      </c>
      <c r="D1018">
        <v>1</v>
      </c>
      <c r="E1018" t="s">
        <v>11</v>
      </c>
      <c r="F1018" t="s">
        <v>13</v>
      </c>
      <c r="G1018">
        <v>2709.24395</v>
      </c>
    </row>
    <row r="1019" spans="1:7" x14ac:dyDescent="0.25">
      <c r="A1019">
        <v>26</v>
      </c>
      <c r="B1019" t="s">
        <v>7</v>
      </c>
      <c r="C1019">
        <v>34.200000000000003</v>
      </c>
      <c r="D1019">
        <v>2</v>
      </c>
      <c r="E1019" t="s">
        <v>11</v>
      </c>
      <c r="F1019" t="s">
        <v>9</v>
      </c>
      <c r="G1019">
        <v>3987.9259999999999</v>
      </c>
    </row>
    <row r="1020" spans="1:7" x14ac:dyDescent="0.25">
      <c r="A1020">
        <v>54</v>
      </c>
      <c r="B1020" t="s">
        <v>7</v>
      </c>
      <c r="C1020">
        <v>35.814999999999998</v>
      </c>
      <c r="D1020">
        <v>3</v>
      </c>
      <c r="E1020" t="s">
        <v>11</v>
      </c>
      <c r="F1020" t="s">
        <v>13</v>
      </c>
      <c r="G1020">
        <v>12495.290849999999</v>
      </c>
    </row>
    <row r="1021" spans="1:7" x14ac:dyDescent="0.25">
      <c r="A1021">
        <v>21</v>
      </c>
      <c r="B1021" t="s">
        <v>7</v>
      </c>
      <c r="C1021">
        <v>32.68</v>
      </c>
      <c r="D1021">
        <v>2</v>
      </c>
      <c r="E1021" t="s">
        <v>11</v>
      </c>
      <c r="F1021" t="s">
        <v>13</v>
      </c>
      <c r="G1021">
        <v>26018.950519999999</v>
      </c>
    </row>
    <row r="1022" spans="1:7" x14ac:dyDescent="0.25">
      <c r="A1022">
        <v>51</v>
      </c>
      <c r="B1022" t="s">
        <v>10</v>
      </c>
      <c r="C1022">
        <v>37</v>
      </c>
      <c r="D1022">
        <v>0</v>
      </c>
      <c r="E1022" t="s">
        <v>11</v>
      </c>
      <c r="F1022" t="s">
        <v>9</v>
      </c>
      <c r="G1022">
        <v>8798.5930000000008</v>
      </c>
    </row>
    <row r="1023" spans="1:7" x14ac:dyDescent="0.25">
      <c r="A1023">
        <v>22</v>
      </c>
      <c r="B1023" t="s">
        <v>7</v>
      </c>
      <c r="C1023">
        <v>31.02</v>
      </c>
      <c r="D1023">
        <v>3</v>
      </c>
      <c r="E1023" t="s">
        <v>8</v>
      </c>
      <c r="F1023" t="s">
        <v>12</v>
      </c>
      <c r="G1023">
        <v>35595.589800000002</v>
      </c>
    </row>
    <row r="1024" spans="1:7" x14ac:dyDescent="0.25">
      <c r="A1024">
        <v>47</v>
      </c>
      <c r="B1024" t="s">
        <v>10</v>
      </c>
      <c r="C1024">
        <v>36.08</v>
      </c>
      <c r="D1024">
        <v>1</v>
      </c>
      <c r="E1024" t="s">
        <v>8</v>
      </c>
      <c r="F1024" t="s">
        <v>12</v>
      </c>
      <c r="G1024">
        <v>42211.138200000001</v>
      </c>
    </row>
    <row r="1025" spans="1:7" x14ac:dyDescent="0.25">
      <c r="A1025">
        <v>18</v>
      </c>
      <c r="B1025" t="s">
        <v>10</v>
      </c>
      <c r="C1025">
        <v>23.32</v>
      </c>
      <c r="D1025">
        <v>1</v>
      </c>
      <c r="E1025" t="s">
        <v>11</v>
      </c>
      <c r="F1025" t="s">
        <v>12</v>
      </c>
      <c r="G1025">
        <v>1711.0268000000001</v>
      </c>
    </row>
    <row r="1026" spans="1:7" x14ac:dyDescent="0.25">
      <c r="A1026">
        <v>47</v>
      </c>
      <c r="B1026" t="s">
        <v>7</v>
      </c>
      <c r="C1026">
        <v>45.32</v>
      </c>
      <c r="D1026">
        <v>1</v>
      </c>
      <c r="E1026" t="s">
        <v>11</v>
      </c>
      <c r="F1026" t="s">
        <v>12</v>
      </c>
      <c r="G1026">
        <v>8569.8618000000006</v>
      </c>
    </row>
    <row r="1027" spans="1:7" x14ac:dyDescent="0.25">
      <c r="A1027">
        <v>21</v>
      </c>
      <c r="B1027" t="s">
        <v>7</v>
      </c>
      <c r="C1027">
        <v>34.6</v>
      </c>
      <c r="D1027">
        <v>0</v>
      </c>
      <c r="E1027" t="s">
        <v>11</v>
      </c>
      <c r="F1027" t="s">
        <v>9</v>
      </c>
      <c r="G1027">
        <v>2020.1769999999999</v>
      </c>
    </row>
    <row r="1028" spans="1:7" x14ac:dyDescent="0.25">
      <c r="A1028">
        <v>19</v>
      </c>
      <c r="B1028" t="s">
        <v>10</v>
      </c>
      <c r="C1028">
        <v>26.03</v>
      </c>
      <c r="D1028">
        <v>1</v>
      </c>
      <c r="E1028" t="s">
        <v>8</v>
      </c>
      <c r="F1028" t="s">
        <v>13</v>
      </c>
      <c r="G1028">
        <v>16450.894700000001</v>
      </c>
    </row>
    <row r="1029" spans="1:7" x14ac:dyDescent="0.25">
      <c r="A1029">
        <v>23</v>
      </c>
      <c r="B1029" t="s">
        <v>10</v>
      </c>
      <c r="C1029">
        <v>18.715</v>
      </c>
      <c r="D1029">
        <v>0</v>
      </c>
      <c r="E1029" t="s">
        <v>11</v>
      </c>
      <c r="F1029" t="s">
        <v>13</v>
      </c>
      <c r="G1029">
        <v>21595.382290000001</v>
      </c>
    </row>
    <row r="1030" spans="1:7" x14ac:dyDescent="0.25">
      <c r="A1030">
        <v>54</v>
      </c>
      <c r="B1030" t="s">
        <v>10</v>
      </c>
      <c r="C1030">
        <v>31.6</v>
      </c>
      <c r="D1030">
        <v>0</v>
      </c>
      <c r="E1030" t="s">
        <v>11</v>
      </c>
      <c r="F1030" t="s">
        <v>9</v>
      </c>
      <c r="G1030">
        <v>9850.4320000000007</v>
      </c>
    </row>
    <row r="1031" spans="1:7" x14ac:dyDescent="0.25">
      <c r="A1031">
        <v>37</v>
      </c>
      <c r="B1031" t="s">
        <v>7</v>
      </c>
      <c r="C1031">
        <v>17.29</v>
      </c>
      <c r="D1031">
        <v>2</v>
      </c>
      <c r="E1031" t="s">
        <v>11</v>
      </c>
      <c r="F1031" t="s">
        <v>14</v>
      </c>
      <c r="G1031">
        <v>6877.9800999999998</v>
      </c>
    </row>
    <row r="1032" spans="1:7" x14ac:dyDescent="0.25">
      <c r="A1032">
        <v>46</v>
      </c>
      <c r="B1032" t="s">
        <v>7</v>
      </c>
      <c r="C1032">
        <v>23.655000000000001</v>
      </c>
      <c r="D1032">
        <v>1</v>
      </c>
      <c r="E1032" t="s">
        <v>8</v>
      </c>
      <c r="F1032" t="s">
        <v>13</v>
      </c>
      <c r="G1032">
        <v>21677.283449999999</v>
      </c>
    </row>
    <row r="1033" spans="1:7" x14ac:dyDescent="0.25">
      <c r="A1033">
        <v>55</v>
      </c>
      <c r="B1033" t="s">
        <v>7</v>
      </c>
      <c r="C1033">
        <v>35.200000000000003</v>
      </c>
      <c r="D1033">
        <v>0</v>
      </c>
      <c r="E1033" t="s">
        <v>8</v>
      </c>
      <c r="F1033" t="s">
        <v>12</v>
      </c>
      <c r="G1033">
        <v>44423.803</v>
      </c>
    </row>
    <row r="1034" spans="1:7" x14ac:dyDescent="0.25">
      <c r="A1034">
        <v>30</v>
      </c>
      <c r="B1034" t="s">
        <v>7</v>
      </c>
      <c r="C1034">
        <v>27.93</v>
      </c>
      <c r="D1034">
        <v>0</v>
      </c>
      <c r="E1034" t="s">
        <v>11</v>
      </c>
      <c r="F1034" t="s">
        <v>14</v>
      </c>
      <c r="G1034">
        <v>4137.5227000000004</v>
      </c>
    </row>
    <row r="1035" spans="1:7" x14ac:dyDescent="0.25">
      <c r="A1035">
        <v>18</v>
      </c>
      <c r="B1035" t="s">
        <v>10</v>
      </c>
      <c r="C1035">
        <v>21.565000000000001</v>
      </c>
      <c r="D1035">
        <v>0</v>
      </c>
      <c r="E1035" t="s">
        <v>8</v>
      </c>
      <c r="F1035" t="s">
        <v>14</v>
      </c>
      <c r="G1035">
        <v>13747.87235</v>
      </c>
    </row>
    <row r="1036" spans="1:7" x14ac:dyDescent="0.25">
      <c r="A1036">
        <v>61</v>
      </c>
      <c r="B1036" t="s">
        <v>10</v>
      </c>
      <c r="C1036">
        <v>38.380000000000003</v>
      </c>
      <c r="D1036">
        <v>0</v>
      </c>
      <c r="E1036" t="s">
        <v>11</v>
      </c>
      <c r="F1036" t="s">
        <v>13</v>
      </c>
      <c r="G1036">
        <v>12950.0712</v>
      </c>
    </row>
    <row r="1037" spans="1:7" x14ac:dyDescent="0.25">
      <c r="A1037">
        <v>54</v>
      </c>
      <c r="B1037" t="s">
        <v>7</v>
      </c>
      <c r="C1037">
        <v>23</v>
      </c>
      <c r="D1037">
        <v>3</v>
      </c>
      <c r="E1037" t="s">
        <v>11</v>
      </c>
      <c r="F1037" t="s">
        <v>9</v>
      </c>
      <c r="G1037">
        <v>12094.477999999999</v>
      </c>
    </row>
    <row r="1038" spans="1:7" x14ac:dyDescent="0.25">
      <c r="A1038">
        <v>22</v>
      </c>
      <c r="B1038" t="s">
        <v>10</v>
      </c>
      <c r="C1038">
        <v>37.07</v>
      </c>
      <c r="D1038">
        <v>2</v>
      </c>
      <c r="E1038" t="s">
        <v>8</v>
      </c>
      <c r="F1038" t="s">
        <v>12</v>
      </c>
      <c r="G1038">
        <v>37484.4493</v>
      </c>
    </row>
    <row r="1039" spans="1:7" x14ac:dyDescent="0.25">
      <c r="A1039">
        <v>45</v>
      </c>
      <c r="B1039" t="s">
        <v>7</v>
      </c>
      <c r="C1039">
        <v>30.495000000000001</v>
      </c>
      <c r="D1039">
        <v>1</v>
      </c>
      <c r="E1039" t="s">
        <v>8</v>
      </c>
      <c r="F1039" t="s">
        <v>13</v>
      </c>
      <c r="G1039">
        <v>39725.518049999999</v>
      </c>
    </row>
    <row r="1040" spans="1:7" x14ac:dyDescent="0.25">
      <c r="A1040">
        <v>22</v>
      </c>
      <c r="B1040" t="s">
        <v>10</v>
      </c>
      <c r="C1040">
        <v>28.88</v>
      </c>
      <c r="D1040">
        <v>0</v>
      </c>
      <c r="E1040" t="s">
        <v>11</v>
      </c>
      <c r="F1040" t="s">
        <v>14</v>
      </c>
      <c r="G1040">
        <v>2250.8352</v>
      </c>
    </row>
    <row r="1041" spans="1:7" x14ac:dyDescent="0.25">
      <c r="A1041">
        <v>19</v>
      </c>
      <c r="B1041" t="s">
        <v>10</v>
      </c>
      <c r="C1041">
        <v>27.265000000000001</v>
      </c>
      <c r="D1041">
        <v>2</v>
      </c>
      <c r="E1041" t="s">
        <v>11</v>
      </c>
      <c r="F1041" t="s">
        <v>13</v>
      </c>
      <c r="G1041">
        <v>22493.659640000002</v>
      </c>
    </row>
    <row r="1042" spans="1:7" x14ac:dyDescent="0.25">
      <c r="A1042">
        <v>35</v>
      </c>
      <c r="B1042" t="s">
        <v>7</v>
      </c>
      <c r="C1042">
        <v>28.024999999999999</v>
      </c>
      <c r="D1042">
        <v>0</v>
      </c>
      <c r="E1042" t="s">
        <v>8</v>
      </c>
      <c r="F1042" t="s">
        <v>13</v>
      </c>
      <c r="G1042">
        <v>20234.854749999999</v>
      </c>
    </row>
    <row r="1043" spans="1:7" x14ac:dyDescent="0.25">
      <c r="A1043">
        <v>18</v>
      </c>
      <c r="B1043" t="s">
        <v>10</v>
      </c>
      <c r="C1043">
        <v>23.085000000000001</v>
      </c>
      <c r="D1043">
        <v>0</v>
      </c>
      <c r="E1043" t="s">
        <v>11</v>
      </c>
      <c r="F1043" t="s">
        <v>14</v>
      </c>
      <c r="G1043">
        <v>1704.7001499999999</v>
      </c>
    </row>
    <row r="1044" spans="1:7" x14ac:dyDescent="0.25">
      <c r="A1044">
        <v>20</v>
      </c>
      <c r="B1044" t="s">
        <v>10</v>
      </c>
      <c r="C1044">
        <v>30.684999999999999</v>
      </c>
      <c r="D1044">
        <v>0</v>
      </c>
      <c r="E1044" t="s">
        <v>8</v>
      </c>
      <c r="F1044" t="s">
        <v>14</v>
      </c>
      <c r="G1044">
        <v>33475.817150000003</v>
      </c>
    </row>
    <row r="1045" spans="1:7" x14ac:dyDescent="0.25">
      <c r="A1045">
        <v>28</v>
      </c>
      <c r="B1045" t="s">
        <v>7</v>
      </c>
      <c r="C1045">
        <v>25.8</v>
      </c>
      <c r="D1045">
        <v>0</v>
      </c>
      <c r="E1045" t="s">
        <v>11</v>
      </c>
      <c r="F1045" t="s">
        <v>9</v>
      </c>
      <c r="G1045">
        <v>3161.4540000000002</v>
      </c>
    </row>
    <row r="1046" spans="1:7" x14ac:dyDescent="0.25">
      <c r="A1046">
        <v>55</v>
      </c>
      <c r="B1046" t="s">
        <v>10</v>
      </c>
      <c r="C1046">
        <v>35.244999999999997</v>
      </c>
      <c r="D1046">
        <v>1</v>
      </c>
      <c r="E1046" t="s">
        <v>11</v>
      </c>
      <c r="F1046" t="s">
        <v>14</v>
      </c>
      <c r="G1046">
        <v>11394.065549999999</v>
      </c>
    </row>
    <row r="1047" spans="1:7" x14ac:dyDescent="0.25">
      <c r="A1047">
        <v>43</v>
      </c>
      <c r="B1047" t="s">
        <v>7</v>
      </c>
      <c r="C1047">
        <v>24.7</v>
      </c>
      <c r="D1047">
        <v>2</v>
      </c>
      <c r="E1047" t="s">
        <v>8</v>
      </c>
      <c r="F1047" t="s">
        <v>13</v>
      </c>
      <c r="G1047">
        <v>21880.82</v>
      </c>
    </row>
    <row r="1048" spans="1:7" x14ac:dyDescent="0.25">
      <c r="A1048">
        <v>43</v>
      </c>
      <c r="B1048" t="s">
        <v>7</v>
      </c>
      <c r="C1048">
        <v>25.08</v>
      </c>
      <c r="D1048">
        <v>0</v>
      </c>
      <c r="E1048" t="s">
        <v>11</v>
      </c>
      <c r="F1048" t="s">
        <v>14</v>
      </c>
      <c r="G1048">
        <v>7325.0482000000002</v>
      </c>
    </row>
    <row r="1049" spans="1:7" x14ac:dyDescent="0.25">
      <c r="A1049">
        <v>22</v>
      </c>
      <c r="B1049" t="s">
        <v>10</v>
      </c>
      <c r="C1049">
        <v>52.58</v>
      </c>
      <c r="D1049">
        <v>1</v>
      </c>
      <c r="E1049" t="s">
        <v>8</v>
      </c>
      <c r="F1049" t="s">
        <v>12</v>
      </c>
      <c r="G1049">
        <v>44501.398200000003</v>
      </c>
    </row>
    <row r="1050" spans="1:7" x14ac:dyDescent="0.25">
      <c r="A1050">
        <v>25</v>
      </c>
      <c r="B1050" t="s">
        <v>7</v>
      </c>
      <c r="C1050">
        <v>22.515000000000001</v>
      </c>
      <c r="D1050">
        <v>1</v>
      </c>
      <c r="E1050" t="s">
        <v>11</v>
      </c>
      <c r="F1050" t="s">
        <v>13</v>
      </c>
      <c r="G1050">
        <v>3594.17085</v>
      </c>
    </row>
    <row r="1051" spans="1:7" x14ac:dyDescent="0.25">
      <c r="A1051">
        <v>49</v>
      </c>
      <c r="B1051" t="s">
        <v>10</v>
      </c>
      <c r="C1051">
        <v>30.9</v>
      </c>
      <c r="D1051">
        <v>0</v>
      </c>
      <c r="E1051" t="s">
        <v>8</v>
      </c>
      <c r="F1051" t="s">
        <v>9</v>
      </c>
      <c r="G1051">
        <v>39727.614000000001</v>
      </c>
    </row>
    <row r="1052" spans="1:7" x14ac:dyDescent="0.25">
      <c r="A1052">
        <v>44</v>
      </c>
      <c r="B1052" t="s">
        <v>7</v>
      </c>
      <c r="C1052">
        <v>36.954999999999998</v>
      </c>
      <c r="D1052">
        <v>1</v>
      </c>
      <c r="E1052" t="s">
        <v>11</v>
      </c>
      <c r="F1052" t="s">
        <v>13</v>
      </c>
      <c r="G1052">
        <v>8023.1354499999998</v>
      </c>
    </row>
    <row r="1053" spans="1:7" x14ac:dyDescent="0.25">
      <c r="A1053">
        <v>64</v>
      </c>
      <c r="B1053" t="s">
        <v>10</v>
      </c>
      <c r="C1053">
        <v>26.41</v>
      </c>
      <c r="D1053">
        <v>0</v>
      </c>
      <c r="E1053" t="s">
        <v>11</v>
      </c>
      <c r="F1053" t="s">
        <v>14</v>
      </c>
      <c r="G1053">
        <v>14394.5579</v>
      </c>
    </row>
    <row r="1054" spans="1:7" x14ac:dyDescent="0.25">
      <c r="A1054">
        <v>49</v>
      </c>
      <c r="B1054" t="s">
        <v>10</v>
      </c>
      <c r="C1054">
        <v>29.83</v>
      </c>
      <c r="D1054">
        <v>1</v>
      </c>
      <c r="E1054" t="s">
        <v>11</v>
      </c>
      <c r="F1054" t="s">
        <v>14</v>
      </c>
      <c r="G1054">
        <v>9288.0267000000003</v>
      </c>
    </row>
    <row r="1055" spans="1:7" x14ac:dyDescent="0.25">
      <c r="A1055">
        <v>47</v>
      </c>
      <c r="B1055" t="s">
        <v>10</v>
      </c>
      <c r="C1055">
        <v>29.8</v>
      </c>
      <c r="D1055">
        <v>3</v>
      </c>
      <c r="E1055" t="s">
        <v>8</v>
      </c>
      <c r="F1055" t="s">
        <v>9</v>
      </c>
      <c r="G1055">
        <v>25309.489000000001</v>
      </c>
    </row>
    <row r="1056" spans="1:7" x14ac:dyDescent="0.25">
      <c r="A1056">
        <v>27</v>
      </c>
      <c r="B1056" t="s">
        <v>7</v>
      </c>
      <c r="C1056">
        <v>21.47</v>
      </c>
      <c r="D1056">
        <v>0</v>
      </c>
      <c r="E1056" t="s">
        <v>11</v>
      </c>
      <c r="F1056" t="s">
        <v>13</v>
      </c>
      <c r="G1056">
        <v>3353.4703</v>
      </c>
    </row>
    <row r="1057" spans="1:7" x14ac:dyDescent="0.25">
      <c r="A1057">
        <v>55</v>
      </c>
      <c r="B1057" t="s">
        <v>10</v>
      </c>
      <c r="C1057">
        <v>27.645</v>
      </c>
      <c r="D1057">
        <v>0</v>
      </c>
      <c r="E1057" t="s">
        <v>11</v>
      </c>
      <c r="F1057" t="s">
        <v>13</v>
      </c>
      <c r="G1057">
        <v>10594.501550000001</v>
      </c>
    </row>
    <row r="1058" spans="1:7" x14ac:dyDescent="0.25">
      <c r="A1058">
        <v>48</v>
      </c>
      <c r="B1058" t="s">
        <v>7</v>
      </c>
      <c r="C1058">
        <v>28.9</v>
      </c>
      <c r="D1058">
        <v>0</v>
      </c>
      <c r="E1058" t="s">
        <v>11</v>
      </c>
      <c r="F1058" t="s">
        <v>9</v>
      </c>
      <c r="G1058">
        <v>8277.5229999999992</v>
      </c>
    </row>
    <row r="1059" spans="1:7" x14ac:dyDescent="0.25">
      <c r="A1059">
        <v>45</v>
      </c>
      <c r="B1059" t="s">
        <v>7</v>
      </c>
      <c r="C1059">
        <v>31.79</v>
      </c>
      <c r="D1059">
        <v>0</v>
      </c>
      <c r="E1059" t="s">
        <v>11</v>
      </c>
      <c r="F1059" t="s">
        <v>12</v>
      </c>
      <c r="G1059">
        <v>17929.303370000001</v>
      </c>
    </row>
    <row r="1060" spans="1:7" x14ac:dyDescent="0.25">
      <c r="A1060">
        <v>24</v>
      </c>
      <c r="B1060" t="s">
        <v>7</v>
      </c>
      <c r="C1060">
        <v>39.49</v>
      </c>
      <c r="D1060">
        <v>0</v>
      </c>
      <c r="E1060" t="s">
        <v>11</v>
      </c>
      <c r="F1060" t="s">
        <v>12</v>
      </c>
      <c r="G1060">
        <v>2480.9791</v>
      </c>
    </row>
    <row r="1061" spans="1:7" x14ac:dyDescent="0.25">
      <c r="A1061">
        <v>32</v>
      </c>
      <c r="B1061" t="s">
        <v>10</v>
      </c>
      <c r="C1061">
        <v>33.82</v>
      </c>
      <c r="D1061">
        <v>1</v>
      </c>
      <c r="E1061" t="s">
        <v>11</v>
      </c>
      <c r="F1061" t="s">
        <v>13</v>
      </c>
      <c r="G1061">
        <v>4462.7218000000003</v>
      </c>
    </row>
    <row r="1062" spans="1:7" x14ac:dyDescent="0.25">
      <c r="A1062">
        <v>24</v>
      </c>
      <c r="B1062" t="s">
        <v>10</v>
      </c>
      <c r="C1062">
        <v>32.01</v>
      </c>
      <c r="D1062">
        <v>0</v>
      </c>
      <c r="E1062" t="s">
        <v>11</v>
      </c>
      <c r="F1062" t="s">
        <v>12</v>
      </c>
      <c r="G1062">
        <v>1981.5818999999999</v>
      </c>
    </row>
    <row r="1063" spans="1:7" x14ac:dyDescent="0.25">
      <c r="A1063">
        <v>57</v>
      </c>
      <c r="B1063" t="s">
        <v>10</v>
      </c>
      <c r="C1063">
        <v>27.94</v>
      </c>
      <c r="D1063">
        <v>1</v>
      </c>
      <c r="E1063" t="s">
        <v>11</v>
      </c>
      <c r="F1063" t="s">
        <v>12</v>
      </c>
      <c r="G1063">
        <v>11554.223599999999</v>
      </c>
    </row>
    <row r="1064" spans="1:7" x14ac:dyDescent="0.25">
      <c r="A1064">
        <v>59</v>
      </c>
      <c r="B1064" t="s">
        <v>10</v>
      </c>
      <c r="C1064">
        <v>41.14</v>
      </c>
      <c r="D1064">
        <v>1</v>
      </c>
      <c r="E1064" t="s">
        <v>8</v>
      </c>
      <c r="F1064" t="s">
        <v>12</v>
      </c>
      <c r="G1064">
        <v>48970.247600000002</v>
      </c>
    </row>
    <row r="1065" spans="1:7" x14ac:dyDescent="0.25">
      <c r="A1065">
        <v>36</v>
      </c>
      <c r="B1065" t="s">
        <v>10</v>
      </c>
      <c r="C1065">
        <v>28.594999999999999</v>
      </c>
      <c r="D1065">
        <v>3</v>
      </c>
      <c r="E1065" t="s">
        <v>11</v>
      </c>
      <c r="F1065" t="s">
        <v>13</v>
      </c>
      <c r="G1065">
        <v>6548.1950500000003</v>
      </c>
    </row>
    <row r="1066" spans="1:7" x14ac:dyDescent="0.25">
      <c r="A1066">
        <v>29</v>
      </c>
      <c r="B1066" t="s">
        <v>7</v>
      </c>
      <c r="C1066">
        <v>25.6</v>
      </c>
      <c r="D1066">
        <v>4</v>
      </c>
      <c r="E1066" t="s">
        <v>11</v>
      </c>
      <c r="F1066" t="s">
        <v>9</v>
      </c>
      <c r="G1066">
        <v>5708.8670000000002</v>
      </c>
    </row>
    <row r="1067" spans="1:7" x14ac:dyDescent="0.25">
      <c r="A1067">
        <v>42</v>
      </c>
      <c r="B1067" t="s">
        <v>7</v>
      </c>
      <c r="C1067">
        <v>25.3</v>
      </c>
      <c r="D1067">
        <v>1</v>
      </c>
      <c r="E1067" t="s">
        <v>11</v>
      </c>
      <c r="F1067" t="s">
        <v>9</v>
      </c>
      <c r="G1067">
        <v>7045.4989999999998</v>
      </c>
    </row>
    <row r="1068" spans="1:7" x14ac:dyDescent="0.25">
      <c r="A1068">
        <v>48</v>
      </c>
      <c r="B1068" t="s">
        <v>10</v>
      </c>
      <c r="C1068">
        <v>37.29</v>
      </c>
      <c r="D1068">
        <v>2</v>
      </c>
      <c r="E1068" t="s">
        <v>11</v>
      </c>
      <c r="F1068" t="s">
        <v>12</v>
      </c>
      <c r="G1068">
        <v>8978.1851000000006</v>
      </c>
    </row>
    <row r="1069" spans="1:7" x14ac:dyDescent="0.25">
      <c r="A1069">
        <v>39</v>
      </c>
      <c r="B1069" t="s">
        <v>10</v>
      </c>
      <c r="C1069">
        <v>42.655000000000001</v>
      </c>
      <c r="D1069">
        <v>0</v>
      </c>
      <c r="E1069" t="s">
        <v>11</v>
      </c>
      <c r="F1069" t="s">
        <v>14</v>
      </c>
      <c r="G1069">
        <v>5757.41345</v>
      </c>
    </row>
    <row r="1070" spans="1:7" x14ac:dyDescent="0.25">
      <c r="A1070">
        <v>63</v>
      </c>
      <c r="B1070" t="s">
        <v>10</v>
      </c>
      <c r="C1070">
        <v>21.66</v>
      </c>
      <c r="D1070">
        <v>1</v>
      </c>
      <c r="E1070" t="s">
        <v>11</v>
      </c>
      <c r="F1070" t="s">
        <v>13</v>
      </c>
      <c r="G1070">
        <v>14349.8544</v>
      </c>
    </row>
    <row r="1071" spans="1:7" x14ac:dyDescent="0.25">
      <c r="A1071">
        <v>54</v>
      </c>
      <c r="B1071" t="s">
        <v>7</v>
      </c>
      <c r="C1071">
        <v>31.9</v>
      </c>
      <c r="D1071">
        <v>1</v>
      </c>
      <c r="E1071" t="s">
        <v>11</v>
      </c>
      <c r="F1071" t="s">
        <v>12</v>
      </c>
      <c r="G1071">
        <v>10928.849</v>
      </c>
    </row>
    <row r="1072" spans="1:7" x14ac:dyDescent="0.25">
      <c r="A1072">
        <v>37</v>
      </c>
      <c r="B1072" t="s">
        <v>10</v>
      </c>
      <c r="C1072">
        <v>37.07</v>
      </c>
      <c r="D1072">
        <v>1</v>
      </c>
      <c r="E1072" t="s">
        <v>8</v>
      </c>
      <c r="F1072" t="s">
        <v>12</v>
      </c>
      <c r="G1072">
        <v>39871.704299999998</v>
      </c>
    </row>
    <row r="1073" spans="1:7" x14ac:dyDescent="0.25">
      <c r="A1073">
        <v>63</v>
      </c>
      <c r="B1073" t="s">
        <v>10</v>
      </c>
      <c r="C1073">
        <v>31.445</v>
      </c>
      <c r="D1073">
        <v>0</v>
      </c>
      <c r="E1073" t="s">
        <v>11</v>
      </c>
      <c r="F1073" t="s">
        <v>14</v>
      </c>
      <c r="G1073">
        <v>13974.455550000001</v>
      </c>
    </row>
    <row r="1074" spans="1:7" x14ac:dyDescent="0.25">
      <c r="A1074">
        <v>21</v>
      </c>
      <c r="B1074" t="s">
        <v>10</v>
      </c>
      <c r="C1074">
        <v>31.254999999999999</v>
      </c>
      <c r="D1074">
        <v>0</v>
      </c>
      <c r="E1074" t="s">
        <v>11</v>
      </c>
      <c r="F1074" t="s">
        <v>13</v>
      </c>
      <c r="G1074">
        <v>1909.52745</v>
      </c>
    </row>
    <row r="1075" spans="1:7" x14ac:dyDescent="0.25">
      <c r="A1075">
        <v>54</v>
      </c>
      <c r="B1075" t="s">
        <v>7</v>
      </c>
      <c r="C1075">
        <v>28.88</v>
      </c>
      <c r="D1075">
        <v>2</v>
      </c>
      <c r="E1075" t="s">
        <v>11</v>
      </c>
      <c r="F1075" t="s">
        <v>14</v>
      </c>
      <c r="G1075">
        <v>12096.6512</v>
      </c>
    </row>
    <row r="1076" spans="1:7" x14ac:dyDescent="0.25">
      <c r="A1076">
        <v>60</v>
      </c>
      <c r="B1076" t="s">
        <v>7</v>
      </c>
      <c r="C1076">
        <v>18.335000000000001</v>
      </c>
      <c r="D1076">
        <v>0</v>
      </c>
      <c r="E1076" t="s">
        <v>11</v>
      </c>
      <c r="F1076" t="s">
        <v>14</v>
      </c>
      <c r="G1076">
        <v>13204.28565</v>
      </c>
    </row>
    <row r="1077" spans="1:7" x14ac:dyDescent="0.25">
      <c r="A1077">
        <v>32</v>
      </c>
      <c r="B1077" t="s">
        <v>7</v>
      </c>
      <c r="C1077">
        <v>29.59</v>
      </c>
      <c r="D1077">
        <v>1</v>
      </c>
      <c r="E1077" t="s">
        <v>11</v>
      </c>
      <c r="F1077" t="s">
        <v>12</v>
      </c>
      <c r="G1077">
        <v>4562.8420999999998</v>
      </c>
    </row>
    <row r="1078" spans="1:7" x14ac:dyDescent="0.25">
      <c r="A1078">
        <v>47</v>
      </c>
      <c r="B1078" t="s">
        <v>7</v>
      </c>
      <c r="C1078">
        <v>32</v>
      </c>
      <c r="D1078">
        <v>1</v>
      </c>
      <c r="E1078" t="s">
        <v>11</v>
      </c>
      <c r="F1078" t="s">
        <v>9</v>
      </c>
      <c r="G1078">
        <v>8551.3469999999998</v>
      </c>
    </row>
    <row r="1079" spans="1:7" x14ac:dyDescent="0.25">
      <c r="A1079">
        <v>21</v>
      </c>
      <c r="B1079" t="s">
        <v>10</v>
      </c>
      <c r="C1079">
        <v>26.03</v>
      </c>
      <c r="D1079">
        <v>0</v>
      </c>
      <c r="E1079" t="s">
        <v>11</v>
      </c>
      <c r="F1079" t="s">
        <v>14</v>
      </c>
      <c r="G1079">
        <v>2102.2647000000002</v>
      </c>
    </row>
    <row r="1080" spans="1:7" x14ac:dyDescent="0.25">
      <c r="A1080">
        <v>28</v>
      </c>
      <c r="B1080" t="s">
        <v>10</v>
      </c>
      <c r="C1080">
        <v>31.68</v>
      </c>
      <c r="D1080">
        <v>0</v>
      </c>
      <c r="E1080" t="s">
        <v>8</v>
      </c>
      <c r="F1080" t="s">
        <v>12</v>
      </c>
      <c r="G1080">
        <v>34672.147199999999</v>
      </c>
    </row>
    <row r="1081" spans="1:7" x14ac:dyDescent="0.25">
      <c r="A1081">
        <v>63</v>
      </c>
      <c r="B1081" t="s">
        <v>10</v>
      </c>
      <c r="C1081">
        <v>33.659999999999997</v>
      </c>
      <c r="D1081">
        <v>3</v>
      </c>
      <c r="E1081" t="s">
        <v>11</v>
      </c>
      <c r="F1081" t="s">
        <v>12</v>
      </c>
      <c r="G1081">
        <v>15161.5344</v>
      </c>
    </row>
    <row r="1082" spans="1:7" x14ac:dyDescent="0.25">
      <c r="A1082">
        <v>18</v>
      </c>
      <c r="B1082" t="s">
        <v>10</v>
      </c>
      <c r="C1082">
        <v>21.78</v>
      </c>
      <c r="D1082">
        <v>2</v>
      </c>
      <c r="E1082" t="s">
        <v>11</v>
      </c>
      <c r="F1082" t="s">
        <v>12</v>
      </c>
      <c r="G1082">
        <v>11884.048580000001</v>
      </c>
    </row>
    <row r="1083" spans="1:7" x14ac:dyDescent="0.25">
      <c r="A1083">
        <v>32</v>
      </c>
      <c r="B1083" t="s">
        <v>10</v>
      </c>
      <c r="C1083">
        <v>27.835000000000001</v>
      </c>
      <c r="D1083">
        <v>1</v>
      </c>
      <c r="E1083" t="s">
        <v>11</v>
      </c>
      <c r="F1083" t="s">
        <v>13</v>
      </c>
      <c r="G1083">
        <v>4454.40265</v>
      </c>
    </row>
    <row r="1084" spans="1:7" x14ac:dyDescent="0.25">
      <c r="A1084">
        <v>38</v>
      </c>
      <c r="B1084" t="s">
        <v>10</v>
      </c>
      <c r="C1084">
        <v>19.95</v>
      </c>
      <c r="D1084">
        <v>1</v>
      </c>
      <c r="E1084" t="s">
        <v>11</v>
      </c>
      <c r="F1084" t="s">
        <v>13</v>
      </c>
      <c r="G1084">
        <v>5855.9025000000001</v>
      </c>
    </row>
    <row r="1085" spans="1:7" x14ac:dyDescent="0.25">
      <c r="A1085">
        <v>32</v>
      </c>
      <c r="B1085" t="s">
        <v>10</v>
      </c>
      <c r="C1085">
        <v>31.5</v>
      </c>
      <c r="D1085">
        <v>1</v>
      </c>
      <c r="E1085" t="s">
        <v>11</v>
      </c>
      <c r="F1085" t="s">
        <v>9</v>
      </c>
      <c r="G1085">
        <v>4076.4969999999998</v>
      </c>
    </row>
    <row r="1086" spans="1:7" x14ac:dyDescent="0.25">
      <c r="A1086">
        <v>62</v>
      </c>
      <c r="B1086" t="s">
        <v>7</v>
      </c>
      <c r="C1086">
        <v>30.495000000000001</v>
      </c>
      <c r="D1086">
        <v>2</v>
      </c>
      <c r="E1086" t="s">
        <v>11</v>
      </c>
      <c r="F1086" t="s">
        <v>13</v>
      </c>
      <c r="G1086">
        <v>15019.760050000001</v>
      </c>
    </row>
    <row r="1087" spans="1:7" x14ac:dyDescent="0.25">
      <c r="A1087">
        <v>39</v>
      </c>
      <c r="B1087" t="s">
        <v>7</v>
      </c>
      <c r="C1087">
        <v>18.3</v>
      </c>
      <c r="D1087">
        <v>5</v>
      </c>
      <c r="E1087" t="s">
        <v>8</v>
      </c>
      <c r="F1087" t="s">
        <v>9</v>
      </c>
      <c r="G1087">
        <v>19023.259999999998</v>
      </c>
    </row>
    <row r="1088" spans="1:7" x14ac:dyDescent="0.25">
      <c r="A1088">
        <v>55</v>
      </c>
      <c r="B1088" t="s">
        <v>10</v>
      </c>
      <c r="C1088">
        <v>28.975000000000001</v>
      </c>
      <c r="D1088">
        <v>0</v>
      </c>
      <c r="E1088" t="s">
        <v>11</v>
      </c>
      <c r="F1088" t="s">
        <v>14</v>
      </c>
      <c r="G1088">
        <v>10796.35025</v>
      </c>
    </row>
    <row r="1089" spans="1:7" x14ac:dyDescent="0.25">
      <c r="A1089">
        <v>57</v>
      </c>
      <c r="B1089" t="s">
        <v>10</v>
      </c>
      <c r="C1089">
        <v>31.54</v>
      </c>
      <c r="D1089">
        <v>0</v>
      </c>
      <c r="E1089" t="s">
        <v>11</v>
      </c>
      <c r="F1089" t="s">
        <v>13</v>
      </c>
      <c r="G1089">
        <v>11353.2276</v>
      </c>
    </row>
    <row r="1090" spans="1:7" x14ac:dyDescent="0.25">
      <c r="A1090">
        <v>52</v>
      </c>
      <c r="B1090" t="s">
        <v>10</v>
      </c>
      <c r="C1090">
        <v>47.74</v>
      </c>
      <c r="D1090">
        <v>1</v>
      </c>
      <c r="E1090" t="s">
        <v>11</v>
      </c>
      <c r="F1090" t="s">
        <v>12</v>
      </c>
      <c r="G1090">
        <v>9748.9105999999992</v>
      </c>
    </row>
    <row r="1091" spans="1:7" x14ac:dyDescent="0.25">
      <c r="A1091">
        <v>56</v>
      </c>
      <c r="B1091" t="s">
        <v>10</v>
      </c>
      <c r="C1091">
        <v>22.1</v>
      </c>
      <c r="D1091">
        <v>0</v>
      </c>
      <c r="E1091" t="s">
        <v>11</v>
      </c>
      <c r="F1091" t="s">
        <v>9</v>
      </c>
      <c r="G1091">
        <v>10577.087</v>
      </c>
    </row>
    <row r="1092" spans="1:7" x14ac:dyDescent="0.25">
      <c r="A1092">
        <v>47</v>
      </c>
      <c r="B1092" t="s">
        <v>10</v>
      </c>
      <c r="C1092">
        <v>36.19</v>
      </c>
      <c r="D1092">
        <v>0</v>
      </c>
      <c r="E1092" t="s">
        <v>8</v>
      </c>
      <c r="F1092" t="s">
        <v>12</v>
      </c>
      <c r="G1092">
        <v>41676.081100000003</v>
      </c>
    </row>
    <row r="1093" spans="1:7" x14ac:dyDescent="0.25">
      <c r="A1093">
        <v>55</v>
      </c>
      <c r="B1093" t="s">
        <v>7</v>
      </c>
      <c r="C1093">
        <v>29.83</v>
      </c>
      <c r="D1093">
        <v>0</v>
      </c>
      <c r="E1093" t="s">
        <v>11</v>
      </c>
      <c r="F1093" t="s">
        <v>14</v>
      </c>
      <c r="G1093">
        <v>11286.538699999999</v>
      </c>
    </row>
    <row r="1094" spans="1:7" x14ac:dyDescent="0.25">
      <c r="A1094">
        <v>23</v>
      </c>
      <c r="B1094" t="s">
        <v>10</v>
      </c>
      <c r="C1094">
        <v>32.700000000000003</v>
      </c>
      <c r="D1094">
        <v>3</v>
      </c>
      <c r="E1094" t="s">
        <v>11</v>
      </c>
      <c r="F1094" t="s">
        <v>9</v>
      </c>
      <c r="G1094">
        <v>3591.48</v>
      </c>
    </row>
    <row r="1095" spans="1:7" x14ac:dyDescent="0.25">
      <c r="A1095">
        <v>22</v>
      </c>
      <c r="B1095" t="s">
        <v>7</v>
      </c>
      <c r="C1095">
        <v>30.4</v>
      </c>
      <c r="D1095">
        <v>0</v>
      </c>
      <c r="E1095" t="s">
        <v>8</v>
      </c>
      <c r="F1095" t="s">
        <v>13</v>
      </c>
      <c r="G1095">
        <v>33907.548000000003</v>
      </c>
    </row>
    <row r="1096" spans="1:7" x14ac:dyDescent="0.25">
      <c r="A1096">
        <v>50</v>
      </c>
      <c r="B1096" t="s">
        <v>7</v>
      </c>
      <c r="C1096">
        <v>33.700000000000003</v>
      </c>
      <c r="D1096">
        <v>4</v>
      </c>
      <c r="E1096" t="s">
        <v>11</v>
      </c>
      <c r="F1096" t="s">
        <v>9</v>
      </c>
      <c r="G1096">
        <v>11299.343000000001</v>
      </c>
    </row>
    <row r="1097" spans="1:7" x14ac:dyDescent="0.25">
      <c r="A1097">
        <v>18</v>
      </c>
      <c r="B1097" t="s">
        <v>7</v>
      </c>
      <c r="C1097">
        <v>31.35</v>
      </c>
      <c r="D1097">
        <v>4</v>
      </c>
      <c r="E1097" t="s">
        <v>11</v>
      </c>
      <c r="F1097" t="s">
        <v>14</v>
      </c>
      <c r="G1097">
        <v>4561.1885000000002</v>
      </c>
    </row>
    <row r="1098" spans="1:7" x14ac:dyDescent="0.25">
      <c r="A1098">
        <v>51</v>
      </c>
      <c r="B1098" t="s">
        <v>7</v>
      </c>
      <c r="C1098">
        <v>34.96</v>
      </c>
      <c r="D1098">
        <v>2</v>
      </c>
      <c r="E1098" t="s">
        <v>8</v>
      </c>
      <c r="F1098" t="s">
        <v>14</v>
      </c>
      <c r="G1098">
        <v>44641.197399999997</v>
      </c>
    </row>
    <row r="1099" spans="1:7" x14ac:dyDescent="0.25">
      <c r="A1099">
        <v>22</v>
      </c>
      <c r="B1099" t="s">
        <v>10</v>
      </c>
      <c r="C1099">
        <v>33.770000000000003</v>
      </c>
      <c r="D1099">
        <v>0</v>
      </c>
      <c r="E1099" t="s">
        <v>11</v>
      </c>
      <c r="F1099" t="s">
        <v>12</v>
      </c>
      <c r="G1099">
        <v>1674.6323</v>
      </c>
    </row>
    <row r="1100" spans="1:7" x14ac:dyDescent="0.25">
      <c r="A1100">
        <v>52</v>
      </c>
      <c r="B1100" t="s">
        <v>7</v>
      </c>
      <c r="C1100">
        <v>30.875</v>
      </c>
      <c r="D1100">
        <v>0</v>
      </c>
      <c r="E1100" t="s">
        <v>11</v>
      </c>
      <c r="F1100" t="s">
        <v>14</v>
      </c>
      <c r="G1100">
        <v>23045.566159999998</v>
      </c>
    </row>
    <row r="1101" spans="1:7" x14ac:dyDescent="0.25">
      <c r="A1101">
        <v>25</v>
      </c>
      <c r="B1101" t="s">
        <v>7</v>
      </c>
      <c r="C1101">
        <v>33.99</v>
      </c>
      <c r="D1101">
        <v>1</v>
      </c>
      <c r="E1101" t="s">
        <v>11</v>
      </c>
      <c r="F1101" t="s">
        <v>12</v>
      </c>
      <c r="G1101">
        <v>3227.1210999999998</v>
      </c>
    </row>
    <row r="1102" spans="1:7" x14ac:dyDescent="0.25">
      <c r="A1102">
        <v>33</v>
      </c>
      <c r="B1102" t="s">
        <v>7</v>
      </c>
      <c r="C1102">
        <v>19.094999999999999</v>
      </c>
      <c r="D1102">
        <v>2</v>
      </c>
      <c r="E1102" t="s">
        <v>8</v>
      </c>
      <c r="F1102" t="s">
        <v>14</v>
      </c>
      <c r="G1102">
        <v>16776.304049999999</v>
      </c>
    </row>
    <row r="1103" spans="1:7" x14ac:dyDescent="0.25">
      <c r="A1103">
        <v>53</v>
      </c>
      <c r="B1103" t="s">
        <v>10</v>
      </c>
      <c r="C1103">
        <v>28.6</v>
      </c>
      <c r="D1103">
        <v>3</v>
      </c>
      <c r="E1103" t="s">
        <v>11</v>
      </c>
      <c r="F1103" t="s">
        <v>9</v>
      </c>
      <c r="G1103">
        <v>11253.421</v>
      </c>
    </row>
    <row r="1104" spans="1:7" x14ac:dyDescent="0.25">
      <c r="A1104">
        <v>29</v>
      </c>
      <c r="B1104" t="s">
        <v>10</v>
      </c>
      <c r="C1104">
        <v>38.94</v>
      </c>
      <c r="D1104">
        <v>1</v>
      </c>
      <c r="E1104" t="s">
        <v>11</v>
      </c>
      <c r="F1104" t="s">
        <v>12</v>
      </c>
      <c r="G1104">
        <v>3471.4096</v>
      </c>
    </row>
    <row r="1105" spans="1:7" x14ac:dyDescent="0.25">
      <c r="A1105">
        <v>58</v>
      </c>
      <c r="B1105" t="s">
        <v>10</v>
      </c>
      <c r="C1105">
        <v>36.08</v>
      </c>
      <c r="D1105">
        <v>0</v>
      </c>
      <c r="E1105" t="s">
        <v>11</v>
      </c>
      <c r="F1105" t="s">
        <v>12</v>
      </c>
      <c r="G1105">
        <v>11363.2832</v>
      </c>
    </row>
    <row r="1106" spans="1:7" x14ac:dyDescent="0.25">
      <c r="A1106">
        <v>37</v>
      </c>
      <c r="B1106" t="s">
        <v>10</v>
      </c>
      <c r="C1106">
        <v>29.8</v>
      </c>
      <c r="D1106">
        <v>0</v>
      </c>
      <c r="E1106" t="s">
        <v>11</v>
      </c>
      <c r="F1106" t="s">
        <v>9</v>
      </c>
      <c r="G1106">
        <v>20420.604650000001</v>
      </c>
    </row>
    <row r="1107" spans="1:7" x14ac:dyDescent="0.25">
      <c r="A1107">
        <v>54</v>
      </c>
      <c r="B1107" t="s">
        <v>7</v>
      </c>
      <c r="C1107">
        <v>31.24</v>
      </c>
      <c r="D1107">
        <v>0</v>
      </c>
      <c r="E1107" t="s">
        <v>11</v>
      </c>
      <c r="F1107" t="s">
        <v>12</v>
      </c>
      <c r="G1107">
        <v>10338.9316</v>
      </c>
    </row>
    <row r="1108" spans="1:7" x14ac:dyDescent="0.25">
      <c r="A1108">
        <v>49</v>
      </c>
      <c r="B1108" t="s">
        <v>7</v>
      </c>
      <c r="C1108">
        <v>29.925000000000001</v>
      </c>
      <c r="D1108">
        <v>0</v>
      </c>
      <c r="E1108" t="s">
        <v>11</v>
      </c>
      <c r="F1108" t="s">
        <v>13</v>
      </c>
      <c r="G1108">
        <v>8988.1587500000005</v>
      </c>
    </row>
    <row r="1109" spans="1:7" x14ac:dyDescent="0.25">
      <c r="A1109">
        <v>50</v>
      </c>
      <c r="B1109" t="s">
        <v>7</v>
      </c>
      <c r="C1109">
        <v>26.22</v>
      </c>
      <c r="D1109">
        <v>2</v>
      </c>
      <c r="E1109" t="s">
        <v>11</v>
      </c>
      <c r="F1109" t="s">
        <v>13</v>
      </c>
      <c r="G1109">
        <v>10493.9458</v>
      </c>
    </row>
    <row r="1110" spans="1:7" x14ac:dyDescent="0.25">
      <c r="A1110">
        <v>26</v>
      </c>
      <c r="B1110" t="s">
        <v>10</v>
      </c>
      <c r="C1110">
        <v>30</v>
      </c>
      <c r="D1110">
        <v>1</v>
      </c>
      <c r="E1110" t="s">
        <v>11</v>
      </c>
      <c r="F1110" t="s">
        <v>9</v>
      </c>
      <c r="G1110">
        <v>2904.0880000000002</v>
      </c>
    </row>
    <row r="1111" spans="1:7" x14ac:dyDescent="0.25">
      <c r="A1111">
        <v>45</v>
      </c>
      <c r="B1111" t="s">
        <v>10</v>
      </c>
      <c r="C1111">
        <v>20.350000000000001</v>
      </c>
      <c r="D1111">
        <v>3</v>
      </c>
      <c r="E1111" t="s">
        <v>11</v>
      </c>
      <c r="F1111" t="s">
        <v>12</v>
      </c>
      <c r="G1111">
        <v>8605.3615000000009</v>
      </c>
    </row>
    <row r="1112" spans="1:7" x14ac:dyDescent="0.25">
      <c r="A1112">
        <v>54</v>
      </c>
      <c r="B1112" t="s">
        <v>7</v>
      </c>
      <c r="C1112">
        <v>32.299999999999997</v>
      </c>
      <c r="D1112">
        <v>1</v>
      </c>
      <c r="E1112" t="s">
        <v>11</v>
      </c>
      <c r="F1112" t="s">
        <v>14</v>
      </c>
      <c r="G1112">
        <v>11512.405000000001</v>
      </c>
    </row>
    <row r="1113" spans="1:7" x14ac:dyDescent="0.25">
      <c r="A1113">
        <v>38</v>
      </c>
      <c r="B1113" t="s">
        <v>10</v>
      </c>
      <c r="C1113">
        <v>38.39</v>
      </c>
      <c r="D1113">
        <v>3</v>
      </c>
      <c r="E1113" t="s">
        <v>8</v>
      </c>
      <c r="F1113" t="s">
        <v>12</v>
      </c>
      <c r="G1113">
        <v>41949.244100000004</v>
      </c>
    </row>
    <row r="1114" spans="1:7" x14ac:dyDescent="0.25">
      <c r="A1114">
        <v>48</v>
      </c>
      <c r="B1114" t="s">
        <v>7</v>
      </c>
      <c r="C1114">
        <v>25.85</v>
      </c>
      <c r="D1114">
        <v>3</v>
      </c>
      <c r="E1114" t="s">
        <v>8</v>
      </c>
      <c r="F1114" t="s">
        <v>12</v>
      </c>
      <c r="G1114">
        <v>24180.933499999999</v>
      </c>
    </row>
    <row r="1115" spans="1:7" x14ac:dyDescent="0.25">
      <c r="A1115">
        <v>28</v>
      </c>
      <c r="B1115" t="s">
        <v>7</v>
      </c>
      <c r="C1115">
        <v>26.315000000000001</v>
      </c>
      <c r="D1115">
        <v>3</v>
      </c>
      <c r="E1115" t="s">
        <v>11</v>
      </c>
      <c r="F1115" t="s">
        <v>13</v>
      </c>
      <c r="G1115">
        <v>5312.1698500000002</v>
      </c>
    </row>
    <row r="1116" spans="1:7" x14ac:dyDescent="0.25">
      <c r="A1116">
        <v>23</v>
      </c>
      <c r="B1116" t="s">
        <v>10</v>
      </c>
      <c r="C1116">
        <v>24.51</v>
      </c>
      <c r="D1116">
        <v>0</v>
      </c>
      <c r="E1116" t="s">
        <v>11</v>
      </c>
      <c r="F1116" t="s">
        <v>14</v>
      </c>
      <c r="G1116">
        <v>2396.0958999999998</v>
      </c>
    </row>
    <row r="1117" spans="1:7" x14ac:dyDescent="0.25">
      <c r="A1117">
        <v>55</v>
      </c>
      <c r="B1117" t="s">
        <v>10</v>
      </c>
      <c r="C1117">
        <v>32.67</v>
      </c>
      <c r="D1117">
        <v>1</v>
      </c>
      <c r="E1117" t="s">
        <v>11</v>
      </c>
      <c r="F1117" t="s">
        <v>12</v>
      </c>
      <c r="G1117">
        <v>10807.4863</v>
      </c>
    </row>
    <row r="1118" spans="1:7" x14ac:dyDescent="0.25">
      <c r="A1118">
        <v>41</v>
      </c>
      <c r="B1118" t="s">
        <v>10</v>
      </c>
      <c r="C1118">
        <v>29.64</v>
      </c>
      <c r="D1118">
        <v>5</v>
      </c>
      <c r="E1118" t="s">
        <v>11</v>
      </c>
      <c r="F1118" t="s">
        <v>14</v>
      </c>
      <c r="G1118">
        <v>9222.4025999999994</v>
      </c>
    </row>
    <row r="1119" spans="1:7" x14ac:dyDescent="0.25">
      <c r="A1119">
        <v>25</v>
      </c>
      <c r="B1119" t="s">
        <v>10</v>
      </c>
      <c r="C1119">
        <v>33.33</v>
      </c>
      <c r="D1119">
        <v>2</v>
      </c>
      <c r="E1119" t="s">
        <v>8</v>
      </c>
      <c r="F1119" t="s">
        <v>12</v>
      </c>
      <c r="G1119">
        <v>36124.573700000001</v>
      </c>
    </row>
    <row r="1120" spans="1:7" x14ac:dyDescent="0.25">
      <c r="A1120">
        <v>33</v>
      </c>
      <c r="B1120" t="s">
        <v>10</v>
      </c>
      <c r="C1120">
        <v>35.75</v>
      </c>
      <c r="D1120">
        <v>1</v>
      </c>
      <c r="E1120" t="s">
        <v>8</v>
      </c>
      <c r="F1120" t="s">
        <v>12</v>
      </c>
      <c r="G1120">
        <v>38282.749499999998</v>
      </c>
    </row>
    <row r="1121" spans="1:7" x14ac:dyDescent="0.25">
      <c r="A1121">
        <v>30</v>
      </c>
      <c r="B1121" t="s">
        <v>7</v>
      </c>
      <c r="C1121">
        <v>19.95</v>
      </c>
      <c r="D1121">
        <v>3</v>
      </c>
      <c r="E1121" t="s">
        <v>11</v>
      </c>
      <c r="F1121" t="s">
        <v>13</v>
      </c>
      <c r="G1121">
        <v>5693.4305000000004</v>
      </c>
    </row>
    <row r="1122" spans="1:7" x14ac:dyDescent="0.25">
      <c r="A1122">
        <v>23</v>
      </c>
      <c r="B1122" t="s">
        <v>7</v>
      </c>
      <c r="C1122">
        <v>31.4</v>
      </c>
      <c r="D1122">
        <v>0</v>
      </c>
      <c r="E1122" t="s">
        <v>8</v>
      </c>
      <c r="F1122" t="s">
        <v>9</v>
      </c>
      <c r="G1122">
        <v>34166.273000000001</v>
      </c>
    </row>
    <row r="1123" spans="1:7" x14ac:dyDescent="0.25">
      <c r="A1123">
        <v>46</v>
      </c>
      <c r="B1123" t="s">
        <v>10</v>
      </c>
      <c r="C1123">
        <v>38.17</v>
      </c>
      <c r="D1123">
        <v>2</v>
      </c>
      <c r="E1123" t="s">
        <v>11</v>
      </c>
      <c r="F1123" t="s">
        <v>12</v>
      </c>
      <c r="G1123">
        <v>8347.1643000000004</v>
      </c>
    </row>
    <row r="1124" spans="1:7" x14ac:dyDescent="0.25">
      <c r="A1124">
        <v>53</v>
      </c>
      <c r="B1124" t="s">
        <v>7</v>
      </c>
      <c r="C1124">
        <v>36.86</v>
      </c>
      <c r="D1124">
        <v>3</v>
      </c>
      <c r="E1124" t="s">
        <v>8</v>
      </c>
      <c r="F1124" t="s">
        <v>13</v>
      </c>
      <c r="G1124">
        <v>46661.4424</v>
      </c>
    </row>
    <row r="1125" spans="1:7" x14ac:dyDescent="0.25">
      <c r="A1125">
        <v>27</v>
      </c>
      <c r="B1125" t="s">
        <v>7</v>
      </c>
      <c r="C1125">
        <v>32.395000000000003</v>
      </c>
      <c r="D1125">
        <v>1</v>
      </c>
      <c r="E1125" t="s">
        <v>11</v>
      </c>
      <c r="F1125" t="s">
        <v>14</v>
      </c>
      <c r="G1125">
        <v>18903.491409999999</v>
      </c>
    </row>
    <row r="1126" spans="1:7" x14ac:dyDescent="0.25">
      <c r="A1126">
        <v>23</v>
      </c>
      <c r="B1126" t="s">
        <v>7</v>
      </c>
      <c r="C1126">
        <v>42.75</v>
      </c>
      <c r="D1126">
        <v>1</v>
      </c>
      <c r="E1126" t="s">
        <v>8</v>
      </c>
      <c r="F1126" t="s">
        <v>14</v>
      </c>
      <c r="G1126">
        <v>40904.199500000002</v>
      </c>
    </row>
    <row r="1127" spans="1:7" x14ac:dyDescent="0.25">
      <c r="A1127">
        <v>63</v>
      </c>
      <c r="B1127" t="s">
        <v>7</v>
      </c>
      <c r="C1127">
        <v>25.08</v>
      </c>
      <c r="D1127">
        <v>0</v>
      </c>
      <c r="E1127" t="s">
        <v>11</v>
      </c>
      <c r="F1127" t="s">
        <v>13</v>
      </c>
      <c r="G1127">
        <v>14254.608200000001</v>
      </c>
    </row>
    <row r="1128" spans="1:7" x14ac:dyDescent="0.25">
      <c r="A1128">
        <v>55</v>
      </c>
      <c r="B1128" t="s">
        <v>10</v>
      </c>
      <c r="C1128">
        <v>29.9</v>
      </c>
      <c r="D1128">
        <v>0</v>
      </c>
      <c r="E1128" t="s">
        <v>11</v>
      </c>
      <c r="F1128" t="s">
        <v>9</v>
      </c>
      <c r="G1128">
        <v>10214.636</v>
      </c>
    </row>
    <row r="1129" spans="1:7" x14ac:dyDescent="0.25">
      <c r="A1129">
        <v>35</v>
      </c>
      <c r="B1129" t="s">
        <v>7</v>
      </c>
      <c r="C1129">
        <v>35.86</v>
      </c>
      <c r="D1129">
        <v>2</v>
      </c>
      <c r="E1129" t="s">
        <v>11</v>
      </c>
      <c r="F1129" t="s">
        <v>12</v>
      </c>
      <c r="G1129">
        <v>5836.5204000000003</v>
      </c>
    </row>
    <row r="1130" spans="1:7" x14ac:dyDescent="0.25">
      <c r="A1130">
        <v>34</v>
      </c>
      <c r="B1130" t="s">
        <v>10</v>
      </c>
      <c r="C1130">
        <v>32.799999999999997</v>
      </c>
      <c r="D1130">
        <v>1</v>
      </c>
      <c r="E1130" t="s">
        <v>11</v>
      </c>
      <c r="F1130" t="s">
        <v>9</v>
      </c>
      <c r="G1130">
        <v>14358.364369999999</v>
      </c>
    </row>
    <row r="1131" spans="1:7" x14ac:dyDescent="0.25">
      <c r="A1131">
        <v>19</v>
      </c>
      <c r="B1131" t="s">
        <v>7</v>
      </c>
      <c r="C1131">
        <v>18.600000000000001</v>
      </c>
      <c r="D1131">
        <v>0</v>
      </c>
      <c r="E1131" t="s">
        <v>11</v>
      </c>
      <c r="F1131" t="s">
        <v>9</v>
      </c>
      <c r="G1131">
        <v>1728.8969999999999</v>
      </c>
    </row>
    <row r="1132" spans="1:7" x14ac:dyDescent="0.25">
      <c r="A1132">
        <v>39</v>
      </c>
      <c r="B1132" t="s">
        <v>7</v>
      </c>
      <c r="C1132">
        <v>23.87</v>
      </c>
      <c r="D1132">
        <v>5</v>
      </c>
      <c r="E1132" t="s">
        <v>11</v>
      </c>
      <c r="F1132" t="s">
        <v>12</v>
      </c>
      <c r="G1132">
        <v>8582.3022999999994</v>
      </c>
    </row>
    <row r="1133" spans="1:7" x14ac:dyDescent="0.25">
      <c r="A1133">
        <v>27</v>
      </c>
      <c r="B1133" t="s">
        <v>10</v>
      </c>
      <c r="C1133">
        <v>45.9</v>
      </c>
      <c r="D1133">
        <v>2</v>
      </c>
      <c r="E1133" t="s">
        <v>11</v>
      </c>
      <c r="F1133" t="s">
        <v>9</v>
      </c>
      <c r="G1133">
        <v>3693.4279999999999</v>
      </c>
    </row>
    <row r="1134" spans="1:7" x14ac:dyDescent="0.25">
      <c r="A1134">
        <v>57</v>
      </c>
      <c r="B1134" t="s">
        <v>10</v>
      </c>
      <c r="C1134">
        <v>40.28</v>
      </c>
      <c r="D1134">
        <v>0</v>
      </c>
      <c r="E1134" t="s">
        <v>11</v>
      </c>
      <c r="F1134" t="s">
        <v>14</v>
      </c>
      <c r="G1134">
        <v>20709.020339999999</v>
      </c>
    </row>
    <row r="1135" spans="1:7" x14ac:dyDescent="0.25">
      <c r="A1135">
        <v>52</v>
      </c>
      <c r="B1135" t="s">
        <v>7</v>
      </c>
      <c r="C1135">
        <v>18.335000000000001</v>
      </c>
      <c r="D1135">
        <v>0</v>
      </c>
      <c r="E1135" t="s">
        <v>11</v>
      </c>
      <c r="F1135" t="s">
        <v>13</v>
      </c>
      <c r="G1135">
        <v>9991.0376500000002</v>
      </c>
    </row>
    <row r="1136" spans="1:7" x14ac:dyDescent="0.25">
      <c r="A1136">
        <v>28</v>
      </c>
      <c r="B1136" t="s">
        <v>10</v>
      </c>
      <c r="C1136">
        <v>33.82</v>
      </c>
      <c r="D1136">
        <v>0</v>
      </c>
      <c r="E1136" t="s">
        <v>11</v>
      </c>
      <c r="F1136" t="s">
        <v>13</v>
      </c>
      <c r="G1136">
        <v>19673.335729999999</v>
      </c>
    </row>
    <row r="1137" spans="1:7" x14ac:dyDescent="0.25">
      <c r="A1137">
        <v>50</v>
      </c>
      <c r="B1137" t="s">
        <v>7</v>
      </c>
      <c r="C1137">
        <v>28.12</v>
      </c>
      <c r="D1137">
        <v>3</v>
      </c>
      <c r="E1137" t="s">
        <v>11</v>
      </c>
      <c r="F1137" t="s">
        <v>13</v>
      </c>
      <c r="G1137">
        <v>11085.586799999999</v>
      </c>
    </row>
    <row r="1138" spans="1:7" x14ac:dyDescent="0.25">
      <c r="A1138">
        <v>44</v>
      </c>
      <c r="B1138" t="s">
        <v>7</v>
      </c>
      <c r="C1138">
        <v>25</v>
      </c>
      <c r="D1138">
        <v>1</v>
      </c>
      <c r="E1138" t="s">
        <v>11</v>
      </c>
      <c r="F1138" t="s">
        <v>9</v>
      </c>
      <c r="G1138">
        <v>7623.518</v>
      </c>
    </row>
    <row r="1139" spans="1:7" x14ac:dyDescent="0.25">
      <c r="A1139">
        <v>26</v>
      </c>
      <c r="B1139" t="s">
        <v>7</v>
      </c>
      <c r="C1139">
        <v>22.23</v>
      </c>
      <c r="D1139">
        <v>0</v>
      </c>
      <c r="E1139" t="s">
        <v>11</v>
      </c>
      <c r="F1139" t="s">
        <v>13</v>
      </c>
      <c r="G1139">
        <v>3176.2876999999999</v>
      </c>
    </row>
    <row r="1140" spans="1:7" x14ac:dyDescent="0.25">
      <c r="A1140">
        <v>33</v>
      </c>
      <c r="B1140" t="s">
        <v>10</v>
      </c>
      <c r="C1140">
        <v>30.25</v>
      </c>
      <c r="D1140">
        <v>0</v>
      </c>
      <c r="E1140" t="s">
        <v>11</v>
      </c>
      <c r="F1140" t="s">
        <v>12</v>
      </c>
      <c r="G1140">
        <v>3704.3544999999999</v>
      </c>
    </row>
    <row r="1141" spans="1:7" x14ac:dyDescent="0.25">
      <c r="A1141">
        <v>19</v>
      </c>
      <c r="B1141" t="s">
        <v>7</v>
      </c>
      <c r="C1141">
        <v>32.49</v>
      </c>
      <c r="D1141">
        <v>0</v>
      </c>
      <c r="E1141" t="s">
        <v>8</v>
      </c>
      <c r="F1141" t="s">
        <v>13</v>
      </c>
      <c r="G1141">
        <v>36898.733079999998</v>
      </c>
    </row>
    <row r="1142" spans="1:7" x14ac:dyDescent="0.25">
      <c r="A1142">
        <v>50</v>
      </c>
      <c r="B1142" t="s">
        <v>10</v>
      </c>
      <c r="C1142">
        <v>37.07</v>
      </c>
      <c r="D1142">
        <v>1</v>
      </c>
      <c r="E1142" t="s">
        <v>11</v>
      </c>
      <c r="F1142" t="s">
        <v>12</v>
      </c>
      <c r="G1142">
        <v>9048.0272999999997</v>
      </c>
    </row>
    <row r="1143" spans="1:7" x14ac:dyDescent="0.25">
      <c r="A1143">
        <v>41</v>
      </c>
      <c r="B1143" t="s">
        <v>7</v>
      </c>
      <c r="C1143">
        <v>32.6</v>
      </c>
      <c r="D1143">
        <v>3</v>
      </c>
      <c r="E1143" t="s">
        <v>11</v>
      </c>
      <c r="F1143" t="s">
        <v>9</v>
      </c>
      <c r="G1143">
        <v>7954.5169999999998</v>
      </c>
    </row>
    <row r="1144" spans="1:7" x14ac:dyDescent="0.25">
      <c r="A1144">
        <v>52</v>
      </c>
      <c r="B1144" t="s">
        <v>7</v>
      </c>
      <c r="C1144">
        <v>24.86</v>
      </c>
      <c r="D1144">
        <v>0</v>
      </c>
      <c r="E1144" t="s">
        <v>11</v>
      </c>
      <c r="F1144" t="s">
        <v>12</v>
      </c>
      <c r="G1144">
        <v>27117.993780000001</v>
      </c>
    </row>
    <row r="1145" spans="1:7" x14ac:dyDescent="0.25">
      <c r="A1145">
        <v>39</v>
      </c>
      <c r="B1145" t="s">
        <v>10</v>
      </c>
      <c r="C1145">
        <v>32.340000000000003</v>
      </c>
      <c r="D1145">
        <v>2</v>
      </c>
      <c r="E1145" t="s">
        <v>11</v>
      </c>
      <c r="F1145" t="s">
        <v>12</v>
      </c>
      <c r="G1145">
        <v>6338.0756000000001</v>
      </c>
    </row>
    <row r="1146" spans="1:7" x14ac:dyDescent="0.25">
      <c r="A1146">
        <v>50</v>
      </c>
      <c r="B1146" t="s">
        <v>10</v>
      </c>
      <c r="C1146">
        <v>32.299999999999997</v>
      </c>
      <c r="D1146">
        <v>2</v>
      </c>
      <c r="E1146" t="s">
        <v>11</v>
      </c>
      <c r="F1146" t="s">
        <v>9</v>
      </c>
      <c r="G1146">
        <v>9630.3970000000008</v>
      </c>
    </row>
    <row r="1147" spans="1:7" x14ac:dyDescent="0.25">
      <c r="A1147">
        <v>52</v>
      </c>
      <c r="B1147" t="s">
        <v>10</v>
      </c>
      <c r="C1147">
        <v>32.774999999999999</v>
      </c>
      <c r="D1147">
        <v>3</v>
      </c>
      <c r="E1147" t="s">
        <v>11</v>
      </c>
      <c r="F1147" t="s">
        <v>13</v>
      </c>
      <c r="G1147">
        <v>11289.10925</v>
      </c>
    </row>
    <row r="1148" spans="1:7" x14ac:dyDescent="0.25">
      <c r="A1148">
        <v>60</v>
      </c>
      <c r="B1148" t="s">
        <v>10</v>
      </c>
      <c r="C1148">
        <v>32.799999999999997</v>
      </c>
      <c r="D1148">
        <v>0</v>
      </c>
      <c r="E1148" t="s">
        <v>8</v>
      </c>
      <c r="F1148" t="s">
        <v>9</v>
      </c>
      <c r="G1148">
        <v>52590.829389999999</v>
      </c>
    </row>
    <row r="1149" spans="1:7" x14ac:dyDescent="0.25">
      <c r="A1149">
        <v>20</v>
      </c>
      <c r="B1149" t="s">
        <v>7</v>
      </c>
      <c r="C1149">
        <v>31.92</v>
      </c>
      <c r="D1149">
        <v>0</v>
      </c>
      <c r="E1149" t="s">
        <v>11</v>
      </c>
      <c r="F1149" t="s">
        <v>13</v>
      </c>
      <c r="G1149">
        <v>2261.5688</v>
      </c>
    </row>
    <row r="1150" spans="1:7" x14ac:dyDescent="0.25">
      <c r="A1150">
        <v>55</v>
      </c>
      <c r="B1150" t="s">
        <v>10</v>
      </c>
      <c r="C1150">
        <v>21.5</v>
      </c>
      <c r="D1150">
        <v>1</v>
      </c>
      <c r="E1150" t="s">
        <v>11</v>
      </c>
      <c r="F1150" t="s">
        <v>9</v>
      </c>
      <c r="G1150">
        <v>10791.96</v>
      </c>
    </row>
    <row r="1151" spans="1:7" x14ac:dyDescent="0.25">
      <c r="A1151">
        <v>42</v>
      </c>
      <c r="B1151" t="s">
        <v>10</v>
      </c>
      <c r="C1151">
        <v>34.1</v>
      </c>
      <c r="D1151">
        <v>0</v>
      </c>
      <c r="E1151" t="s">
        <v>11</v>
      </c>
      <c r="F1151" t="s">
        <v>9</v>
      </c>
      <c r="G1151">
        <v>5979.7309999999998</v>
      </c>
    </row>
    <row r="1152" spans="1:7" x14ac:dyDescent="0.25">
      <c r="A1152">
        <v>18</v>
      </c>
      <c r="B1152" t="s">
        <v>7</v>
      </c>
      <c r="C1152">
        <v>30.305</v>
      </c>
      <c r="D1152">
        <v>0</v>
      </c>
      <c r="E1152" t="s">
        <v>11</v>
      </c>
      <c r="F1152" t="s">
        <v>14</v>
      </c>
      <c r="G1152">
        <v>2203.7359499999998</v>
      </c>
    </row>
    <row r="1153" spans="1:7" x14ac:dyDescent="0.25">
      <c r="A1153">
        <v>58</v>
      </c>
      <c r="B1153" t="s">
        <v>7</v>
      </c>
      <c r="C1153">
        <v>36.479999999999997</v>
      </c>
      <c r="D1153">
        <v>0</v>
      </c>
      <c r="E1153" t="s">
        <v>11</v>
      </c>
      <c r="F1153" t="s">
        <v>13</v>
      </c>
      <c r="G1153">
        <v>12235.8392</v>
      </c>
    </row>
    <row r="1154" spans="1:7" x14ac:dyDescent="0.25">
      <c r="A1154">
        <v>43</v>
      </c>
      <c r="B1154" t="s">
        <v>7</v>
      </c>
      <c r="C1154">
        <v>32.56</v>
      </c>
      <c r="D1154">
        <v>3</v>
      </c>
      <c r="E1154" t="s">
        <v>8</v>
      </c>
      <c r="F1154" t="s">
        <v>12</v>
      </c>
      <c r="G1154">
        <v>40941.285400000001</v>
      </c>
    </row>
    <row r="1155" spans="1:7" x14ac:dyDescent="0.25">
      <c r="A1155">
        <v>35</v>
      </c>
      <c r="B1155" t="s">
        <v>7</v>
      </c>
      <c r="C1155">
        <v>35.814999999999998</v>
      </c>
      <c r="D1155">
        <v>1</v>
      </c>
      <c r="E1155" t="s">
        <v>11</v>
      </c>
      <c r="F1155" t="s">
        <v>13</v>
      </c>
      <c r="G1155">
        <v>5630.4578499999998</v>
      </c>
    </row>
    <row r="1156" spans="1:7" x14ac:dyDescent="0.25">
      <c r="A1156">
        <v>48</v>
      </c>
      <c r="B1156" t="s">
        <v>7</v>
      </c>
      <c r="C1156">
        <v>27.93</v>
      </c>
      <c r="D1156">
        <v>4</v>
      </c>
      <c r="E1156" t="s">
        <v>11</v>
      </c>
      <c r="F1156" t="s">
        <v>13</v>
      </c>
      <c r="G1156">
        <v>11015.1747</v>
      </c>
    </row>
    <row r="1157" spans="1:7" x14ac:dyDescent="0.25">
      <c r="A1157">
        <v>36</v>
      </c>
      <c r="B1157" t="s">
        <v>7</v>
      </c>
      <c r="C1157">
        <v>22.135000000000002</v>
      </c>
      <c r="D1157">
        <v>3</v>
      </c>
      <c r="E1157" t="s">
        <v>11</v>
      </c>
      <c r="F1157" t="s">
        <v>14</v>
      </c>
      <c r="G1157">
        <v>7228.2156500000001</v>
      </c>
    </row>
    <row r="1158" spans="1:7" x14ac:dyDescent="0.25">
      <c r="A1158">
        <v>19</v>
      </c>
      <c r="B1158" t="s">
        <v>10</v>
      </c>
      <c r="C1158">
        <v>44.88</v>
      </c>
      <c r="D1158">
        <v>0</v>
      </c>
      <c r="E1158" t="s">
        <v>8</v>
      </c>
      <c r="F1158" t="s">
        <v>12</v>
      </c>
      <c r="G1158">
        <v>39722.746200000001</v>
      </c>
    </row>
    <row r="1159" spans="1:7" x14ac:dyDescent="0.25">
      <c r="A1159">
        <v>23</v>
      </c>
      <c r="B1159" t="s">
        <v>7</v>
      </c>
      <c r="C1159">
        <v>23.18</v>
      </c>
      <c r="D1159">
        <v>2</v>
      </c>
      <c r="E1159" t="s">
        <v>11</v>
      </c>
      <c r="F1159" t="s">
        <v>13</v>
      </c>
      <c r="G1159">
        <v>14426.073850000001</v>
      </c>
    </row>
    <row r="1160" spans="1:7" x14ac:dyDescent="0.25">
      <c r="A1160">
        <v>20</v>
      </c>
      <c r="B1160" t="s">
        <v>7</v>
      </c>
      <c r="C1160">
        <v>30.59</v>
      </c>
      <c r="D1160">
        <v>0</v>
      </c>
      <c r="E1160" t="s">
        <v>11</v>
      </c>
      <c r="F1160" t="s">
        <v>14</v>
      </c>
      <c r="G1160">
        <v>2459.7201</v>
      </c>
    </row>
    <row r="1161" spans="1:7" x14ac:dyDescent="0.25">
      <c r="A1161">
        <v>32</v>
      </c>
      <c r="B1161" t="s">
        <v>7</v>
      </c>
      <c r="C1161">
        <v>41.1</v>
      </c>
      <c r="D1161">
        <v>0</v>
      </c>
      <c r="E1161" t="s">
        <v>11</v>
      </c>
      <c r="F1161" t="s">
        <v>9</v>
      </c>
      <c r="G1161">
        <v>3989.8409999999999</v>
      </c>
    </row>
    <row r="1162" spans="1:7" x14ac:dyDescent="0.25">
      <c r="A1162">
        <v>43</v>
      </c>
      <c r="B1162" t="s">
        <v>7</v>
      </c>
      <c r="C1162">
        <v>34.58</v>
      </c>
      <c r="D1162">
        <v>1</v>
      </c>
      <c r="E1162" t="s">
        <v>11</v>
      </c>
      <c r="F1162" t="s">
        <v>13</v>
      </c>
      <c r="G1162">
        <v>7727.2532000000001</v>
      </c>
    </row>
    <row r="1163" spans="1:7" x14ac:dyDescent="0.25">
      <c r="A1163">
        <v>34</v>
      </c>
      <c r="B1163" t="s">
        <v>10</v>
      </c>
      <c r="C1163">
        <v>42.13</v>
      </c>
      <c r="D1163">
        <v>2</v>
      </c>
      <c r="E1163" t="s">
        <v>11</v>
      </c>
      <c r="F1163" t="s">
        <v>12</v>
      </c>
      <c r="G1163">
        <v>5124.1886999999997</v>
      </c>
    </row>
    <row r="1164" spans="1:7" x14ac:dyDescent="0.25">
      <c r="A1164">
        <v>30</v>
      </c>
      <c r="B1164" t="s">
        <v>10</v>
      </c>
      <c r="C1164">
        <v>38.83</v>
      </c>
      <c r="D1164">
        <v>1</v>
      </c>
      <c r="E1164" t="s">
        <v>11</v>
      </c>
      <c r="F1164" t="s">
        <v>12</v>
      </c>
      <c r="G1164">
        <v>18963.171920000001</v>
      </c>
    </row>
    <row r="1165" spans="1:7" x14ac:dyDescent="0.25">
      <c r="A1165">
        <v>18</v>
      </c>
      <c r="B1165" t="s">
        <v>7</v>
      </c>
      <c r="C1165">
        <v>28.215</v>
      </c>
      <c r="D1165">
        <v>0</v>
      </c>
      <c r="E1165" t="s">
        <v>11</v>
      </c>
      <c r="F1165" t="s">
        <v>14</v>
      </c>
      <c r="G1165">
        <v>2200.8308499999998</v>
      </c>
    </row>
    <row r="1166" spans="1:7" x14ac:dyDescent="0.25">
      <c r="A1166">
        <v>41</v>
      </c>
      <c r="B1166" t="s">
        <v>7</v>
      </c>
      <c r="C1166">
        <v>28.31</v>
      </c>
      <c r="D1166">
        <v>1</v>
      </c>
      <c r="E1166" t="s">
        <v>11</v>
      </c>
      <c r="F1166" t="s">
        <v>13</v>
      </c>
      <c r="G1166">
        <v>7153.5538999999999</v>
      </c>
    </row>
    <row r="1167" spans="1:7" x14ac:dyDescent="0.25">
      <c r="A1167">
        <v>35</v>
      </c>
      <c r="B1167" t="s">
        <v>7</v>
      </c>
      <c r="C1167">
        <v>26.125</v>
      </c>
      <c r="D1167">
        <v>0</v>
      </c>
      <c r="E1167" t="s">
        <v>11</v>
      </c>
      <c r="F1167" t="s">
        <v>14</v>
      </c>
      <c r="G1167">
        <v>5227.9887500000004</v>
      </c>
    </row>
    <row r="1168" spans="1:7" x14ac:dyDescent="0.25">
      <c r="A1168">
        <v>57</v>
      </c>
      <c r="B1168" t="s">
        <v>10</v>
      </c>
      <c r="C1168">
        <v>40.369999999999997</v>
      </c>
      <c r="D1168">
        <v>0</v>
      </c>
      <c r="E1168" t="s">
        <v>11</v>
      </c>
      <c r="F1168" t="s">
        <v>12</v>
      </c>
      <c r="G1168">
        <v>10982.5013</v>
      </c>
    </row>
    <row r="1169" spans="1:7" x14ac:dyDescent="0.25">
      <c r="A1169">
        <v>29</v>
      </c>
      <c r="B1169" t="s">
        <v>7</v>
      </c>
      <c r="C1169">
        <v>24.6</v>
      </c>
      <c r="D1169">
        <v>2</v>
      </c>
      <c r="E1169" t="s">
        <v>11</v>
      </c>
      <c r="F1169" t="s">
        <v>9</v>
      </c>
      <c r="G1169">
        <v>4529.4769999999999</v>
      </c>
    </row>
    <row r="1170" spans="1:7" x14ac:dyDescent="0.25">
      <c r="A1170">
        <v>32</v>
      </c>
      <c r="B1170" t="s">
        <v>10</v>
      </c>
      <c r="C1170">
        <v>35.200000000000003</v>
      </c>
      <c r="D1170">
        <v>2</v>
      </c>
      <c r="E1170" t="s">
        <v>11</v>
      </c>
      <c r="F1170" t="s">
        <v>9</v>
      </c>
      <c r="G1170">
        <v>4670.6400000000003</v>
      </c>
    </row>
    <row r="1171" spans="1:7" x14ac:dyDescent="0.25">
      <c r="A1171">
        <v>37</v>
      </c>
      <c r="B1171" t="s">
        <v>7</v>
      </c>
      <c r="C1171">
        <v>34.104999999999997</v>
      </c>
      <c r="D1171">
        <v>1</v>
      </c>
      <c r="E1171" t="s">
        <v>11</v>
      </c>
      <c r="F1171" t="s">
        <v>13</v>
      </c>
      <c r="G1171">
        <v>6112.3529500000004</v>
      </c>
    </row>
    <row r="1172" spans="1:7" x14ac:dyDescent="0.25">
      <c r="A1172">
        <v>18</v>
      </c>
      <c r="B1172" t="s">
        <v>10</v>
      </c>
      <c r="C1172">
        <v>27.36</v>
      </c>
      <c r="D1172">
        <v>1</v>
      </c>
      <c r="E1172" t="s">
        <v>8</v>
      </c>
      <c r="F1172" t="s">
        <v>14</v>
      </c>
      <c r="G1172">
        <v>17178.682400000002</v>
      </c>
    </row>
    <row r="1173" spans="1:7" x14ac:dyDescent="0.25">
      <c r="A1173">
        <v>43</v>
      </c>
      <c r="B1173" t="s">
        <v>7</v>
      </c>
      <c r="C1173">
        <v>26.7</v>
      </c>
      <c r="D1173">
        <v>2</v>
      </c>
      <c r="E1173" t="s">
        <v>8</v>
      </c>
      <c r="F1173" t="s">
        <v>9</v>
      </c>
      <c r="G1173">
        <v>22478.6</v>
      </c>
    </row>
    <row r="1174" spans="1:7" x14ac:dyDescent="0.25">
      <c r="A1174">
        <v>56</v>
      </c>
      <c r="B1174" t="s">
        <v>7</v>
      </c>
      <c r="C1174">
        <v>41.91</v>
      </c>
      <c r="D1174">
        <v>0</v>
      </c>
      <c r="E1174" t="s">
        <v>11</v>
      </c>
      <c r="F1174" t="s">
        <v>12</v>
      </c>
      <c r="G1174">
        <v>11093.6229</v>
      </c>
    </row>
    <row r="1175" spans="1:7" x14ac:dyDescent="0.25">
      <c r="A1175">
        <v>38</v>
      </c>
      <c r="B1175" t="s">
        <v>10</v>
      </c>
      <c r="C1175">
        <v>29.26</v>
      </c>
      <c r="D1175">
        <v>2</v>
      </c>
      <c r="E1175" t="s">
        <v>11</v>
      </c>
      <c r="F1175" t="s">
        <v>13</v>
      </c>
      <c r="G1175">
        <v>6457.8433999999997</v>
      </c>
    </row>
    <row r="1176" spans="1:7" x14ac:dyDescent="0.25">
      <c r="A1176">
        <v>29</v>
      </c>
      <c r="B1176" t="s">
        <v>10</v>
      </c>
      <c r="C1176">
        <v>32.11</v>
      </c>
      <c r="D1176">
        <v>2</v>
      </c>
      <c r="E1176" t="s">
        <v>11</v>
      </c>
      <c r="F1176" t="s">
        <v>13</v>
      </c>
      <c r="G1176">
        <v>4433.9159</v>
      </c>
    </row>
    <row r="1177" spans="1:7" x14ac:dyDescent="0.25">
      <c r="A1177">
        <v>22</v>
      </c>
      <c r="B1177" t="s">
        <v>7</v>
      </c>
      <c r="C1177">
        <v>27.1</v>
      </c>
      <c r="D1177">
        <v>0</v>
      </c>
      <c r="E1177" t="s">
        <v>11</v>
      </c>
      <c r="F1177" t="s">
        <v>9</v>
      </c>
      <c r="G1177">
        <v>2154.3609999999999</v>
      </c>
    </row>
    <row r="1178" spans="1:7" x14ac:dyDescent="0.25">
      <c r="A1178">
        <v>52</v>
      </c>
      <c r="B1178" t="s">
        <v>7</v>
      </c>
      <c r="C1178">
        <v>24.13</v>
      </c>
      <c r="D1178">
        <v>1</v>
      </c>
      <c r="E1178" t="s">
        <v>8</v>
      </c>
      <c r="F1178" t="s">
        <v>13</v>
      </c>
      <c r="G1178">
        <v>23887.662700000001</v>
      </c>
    </row>
    <row r="1179" spans="1:7" x14ac:dyDescent="0.25">
      <c r="A1179">
        <v>40</v>
      </c>
      <c r="B1179" t="s">
        <v>7</v>
      </c>
      <c r="C1179">
        <v>27.4</v>
      </c>
      <c r="D1179">
        <v>1</v>
      </c>
      <c r="E1179" t="s">
        <v>11</v>
      </c>
      <c r="F1179" t="s">
        <v>9</v>
      </c>
      <c r="G1179">
        <v>6496.8860000000004</v>
      </c>
    </row>
    <row r="1180" spans="1:7" x14ac:dyDescent="0.25">
      <c r="A1180">
        <v>23</v>
      </c>
      <c r="B1180" t="s">
        <v>7</v>
      </c>
      <c r="C1180">
        <v>34.865000000000002</v>
      </c>
      <c r="D1180">
        <v>0</v>
      </c>
      <c r="E1180" t="s">
        <v>11</v>
      </c>
      <c r="F1180" t="s">
        <v>14</v>
      </c>
      <c r="G1180">
        <v>2899.4893499999998</v>
      </c>
    </row>
    <row r="1181" spans="1:7" x14ac:dyDescent="0.25">
      <c r="A1181">
        <v>31</v>
      </c>
      <c r="B1181" t="s">
        <v>10</v>
      </c>
      <c r="C1181">
        <v>29.81</v>
      </c>
      <c r="D1181">
        <v>0</v>
      </c>
      <c r="E1181" t="s">
        <v>8</v>
      </c>
      <c r="F1181" t="s">
        <v>12</v>
      </c>
      <c r="G1181">
        <v>19350.368900000001</v>
      </c>
    </row>
    <row r="1182" spans="1:7" x14ac:dyDescent="0.25">
      <c r="A1182">
        <v>42</v>
      </c>
      <c r="B1182" t="s">
        <v>7</v>
      </c>
      <c r="C1182">
        <v>41.325000000000003</v>
      </c>
      <c r="D1182">
        <v>1</v>
      </c>
      <c r="E1182" t="s">
        <v>11</v>
      </c>
      <c r="F1182" t="s">
        <v>14</v>
      </c>
      <c r="G1182">
        <v>7650.7737500000003</v>
      </c>
    </row>
    <row r="1183" spans="1:7" x14ac:dyDescent="0.25">
      <c r="A1183">
        <v>24</v>
      </c>
      <c r="B1183" t="s">
        <v>7</v>
      </c>
      <c r="C1183">
        <v>29.925000000000001</v>
      </c>
      <c r="D1183">
        <v>0</v>
      </c>
      <c r="E1183" t="s">
        <v>11</v>
      </c>
      <c r="F1183" t="s">
        <v>13</v>
      </c>
      <c r="G1183">
        <v>2850.6837500000001</v>
      </c>
    </row>
    <row r="1184" spans="1:7" x14ac:dyDescent="0.25">
      <c r="A1184">
        <v>25</v>
      </c>
      <c r="B1184" t="s">
        <v>7</v>
      </c>
      <c r="C1184">
        <v>30.3</v>
      </c>
      <c r="D1184">
        <v>0</v>
      </c>
      <c r="E1184" t="s">
        <v>11</v>
      </c>
      <c r="F1184" t="s">
        <v>9</v>
      </c>
      <c r="G1184">
        <v>2632.9920000000002</v>
      </c>
    </row>
    <row r="1185" spans="1:7" x14ac:dyDescent="0.25">
      <c r="A1185">
        <v>48</v>
      </c>
      <c r="B1185" t="s">
        <v>7</v>
      </c>
      <c r="C1185">
        <v>27.36</v>
      </c>
      <c r="D1185">
        <v>1</v>
      </c>
      <c r="E1185" t="s">
        <v>11</v>
      </c>
      <c r="F1185" t="s">
        <v>14</v>
      </c>
      <c r="G1185">
        <v>9447.3824000000004</v>
      </c>
    </row>
    <row r="1186" spans="1:7" x14ac:dyDescent="0.25">
      <c r="A1186">
        <v>23</v>
      </c>
      <c r="B1186" t="s">
        <v>7</v>
      </c>
      <c r="C1186">
        <v>28.49</v>
      </c>
      <c r="D1186">
        <v>1</v>
      </c>
      <c r="E1186" t="s">
        <v>8</v>
      </c>
      <c r="F1186" t="s">
        <v>12</v>
      </c>
      <c r="G1186">
        <v>18328.238099999999</v>
      </c>
    </row>
    <row r="1187" spans="1:7" x14ac:dyDescent="0.25">
      <c r="A1187">
        <v>45</v>
      </c>
      <c r="B1187" t="s">
        <v>10</v>
      </c>
      <c r="C1187">
        <v>23.56</v>
      </c>
      <c r="D1187">
        <v>2</v>
      </c>
      <c r="E1187" t="s">
        <v>11</v>
      </c>
      <c r="F1187" t="s">
        <v>14</v>
      </c>
      <c r="G1187">
        <v>8603.8233999999993</v>
      </c>
    </row>
    <row r="1188" spans="1:7" x14ac:dyDescent="0.25">
      <c r="A1188">
        <v>20</v>
      </c>
      <c r="B1188" t="s">
        <v>10</v>
      </c>
      <c r="C1188">
        <v>35.625</v>
      </c>
      <c r="D1188">
        <v>3</v>
      </c>
      <c r="E1188" t="s">
        <v>8</v>
      </c>
      <c r="F1188" t="s">
        <v>13</v>
      </c>
      <c r="G1188">
        <v>37465.34375</v>
      </c>
    </row>
    <row r="1189" spans="1:7" x14ac:dyDescent="0.25">
      <c r="A1189">
        <v>62</v>
      </c>
      <c r="B1189" t="s">
        <v>7</v>
      </c>
      <c r="C1189">
        <v>32.68</v>
      </c>
      <c r="D1189">
        <v>0</v>
      </c>
      <c r="E1189" t="s">
        <v>11</v>
      </c>
      <c r="F1189" t="s">
        <v>13</v>
      </c>
      <c r="G1189">
        <v>13844.797200000001</v>
      </c>
    </row>
    <row r="1190" spans="1:7" x14ac:dyDescent="0.25">
      <c r="A1190">
        <v>43</v>
      </c>
      <c r="B1190" t="s">
        <v>7</v>
      </c>
      <c r="C1190">
        <v>25.27</v>
      </c>
      <c r="D1190">
        <v>1</v>
      </c>
      <c r="E1190" t="s">
        <v>8</v>
      </c>
      <c r="F1190" t="s">
        <v>14</v>
      </c>
      <c r="G1190">
        <v>21771.3423</v>
      </c>
    </row>
    <row r="1191" spans="1:7" x14ac:dyDescent="0.25">
      <c r="A1191">
        <v>23</v>
      </c>
      <c r="B1191" t="s">
        <v>7</v>
      </c>
      <c r="C1191">
        <v>28</v>
      </c>
      <c r="D1191">
        <v>0</v>
      </c>
      <c r="E1191" t="s">
        <v>11</v>
      </c>
      <c r="F1191" t="s">
        <v>9</v>
      </c>
      <c r="G1191">
        <v>13126.677449999999</v>
      </c>
    </row>
    <row r="1192" spans="1:7" x14ac:dyDescent="0.25">
      <c r="A1192">
        <v>31</v>
      </c>
      <c r="B1192" t="s">
        <v>7</v>
      </c>
      <c r="C1192">
        <v>32.774999999999999</v>
      </c>
      <c r="D1192">
        <v>2</v>
      </c>
      <c r="E1192" t="s">
        <v>11</v>
      </c>
      <c r="F1192" t="s">
        <v>13</v>
      </c>
      <c r="G1192">
        <v>5327.4002499999997</v>
      </c>
    </row>
    <row r="1193" spans="1:7" x14ac:dyDescent="0.25">
      <c r="A1193">
        <v>41</v>
      </c>
      <c r="B1193" t="s">
        <v>7</v>
      </c>
      <c r="C1193">
        <v>21.754999999999999</v>
      </c>
      <c r="D1193">
        <v>1</v>
      </c>
      <c r="E1193" t="s">
        <v>11</v>
      </c>
      <c r="F1193" t="s">
        <v>14</v>
      </c>
      <c r="G1193">
        <v>13725.47184</v>
      </c>
    </row>
    <row r="1194" spans="1:7" x14ac:dyDescent="0.25">
      <c r="A1194">
        <v>58</v>
      </c>
      <c r="B1194" t="s">
        <v>7</v>
      </c>
      <c r="C1194">
        <v>32.395000000000003</v>
      </c>
      <c r="D1194">
        <v>1</v>
      </c>
      <c r="E1194" t="s">
        <v>11</v>
      </c>
      <c r="F1194" t="s">
        <v>14</v>
      </c>
      <c r="G1194">
        <v>13019.161050000001</v>
      </c>
    </row>
    <row r="1195" spans="1:7" x14ac:dyDescent="0.25">
      <c r="A1195">
        <v>48</v>
      </c>
      <c r="B1195" t="s">
        <v>7</v>
      </c>
      <c r="C1195">
        <v>36.575000000000003</v>
      </c>
      <c r="D1195">
        <v>0</v>
      </c>
      <c r="E1195" t="s">
        <v>11</v>
      </c>
      <c r="F1195" t="s">
        <v>13</v>
      </c>
      <c r="G1195">
        <v>8671.1912499999999</v>
      </c>
    </row>
    <row r="1196" spans="1:7" x14ac:dyDescent="0.25">
      <c r="A1196">
        <v>31</v>
      </c>
      <c r="B1196" t="s">
        <v>7</v>
      </c>
      <c r="C1196">
        <v>21.754999999999999</v>
      </c>
      <c r="D1196">
        <v>0</v>
      </c>
      <c r="E1196" t="s">
        <v>11</v>
      </c>
      <c r="F1196" t="s">
        <v>13</v>
      </c>
      <c r="G1196">
        <v>4134.0824499999999</v>
      </c>
    </row>
    <row r="1197" spans="1:7" x14ac:dyDescent="0.25">
      <c r="A1197">
        <v>19</v>
      </c>
      <c r="B1197" t="s">
        <v>7</v>
      </c>
      <c r="C1197">
        <v>27.93</v>
      </c>
      <c r="D1197">
        <v>3</v>
      </c>
      <c r="E1197" t="s">
        <v>11</v>
      </c>
      <c r="F1197" t="s">
        <v>13</v>
      </c>
      <c r="G1197">
        <v>18838.703659999999</v>
      </c>
    </row>
    <row r="1198" spans="1:7" x14ac:dyDescent="0.25">
      <c r="A1198">
        <v>19</v>
      </c>
      <c r="B1198" t="s">
        <v>7</v>
      </c>
      <c r="C1198">
        <v>30.02</v>
      </c>
      <c r="D1198">
        <v>0</v>
      </c>
      <c r="E1198" t="s">
        <v>8</v>
      </c>
      <c r="F1198" t="s">
        <v>13</v>
      </c>
      <c r="G1198">
        <v>33307.550799999997</v>
      </c>
    </row>
    <row r="1199" spans="1:7" x14ac:dyDescent="0.25">
      <c r="A1199">
        <v>41</v>
      </c>
      <c r="B1199" t="s">
        <v>10</v>
      </c>
      <c r="C1199">
        <v>33.549999999999997</v>
      </c>
      <c r="D1199">
        <v>0</v>
      </c>
      <c r="E1199" t="s">
        <v>11</v>
      </c>
      <c r="F1199" t="s">
        <v>12</v>
      </c>
      <c r="G1199">
        <v>5699.8374999999996</v>
      </c>
    </row>
    <row r="1200" spans="1:7" x14ac:dyDescent="0.25">
      <c r="A1200">
        <v>40</v>
      </c>
      <c r="B1200" t="s">
        <v>10</v>
      </c>
      <c r="C1200">
        <v>29.355</v>
      </c>
      <c r="D1200">
        <v>1</v>
      </c>
      <c r="E1200" t="s">
        <v>11</v>
      </c>
      <c r="F1200" t="s">
        <v>13</v>
      </c>
      <c r="G1200">
        <v>6393.6034499999996</v>
      </c>
    </row>
    <row r="1201" spans="1:7" x14ac:dyDescent="0.25">
      <c r="A1201">
        <v>31</v>
      </c>
      <c r="B1201" t="s">
        <v>7</v>
      </c>
      <c r="C1201">
        <v>25.8</v>
      </c>
      <c r="D1201">
        <v>2</v>
      </c>
      <c r="E1201" t="s">
        <v>11</v>
      </c>
      <c r="F1201" t="s">
        <v>9</v>
      </c>
      <c r="G1201">
        <v>4934.7049999999999</v>
      </c>
    </row>
    <row r="1202" spans="1:7" x14ac:dyDescent="0.25">
      <c r="A1202">
        <v>37</v>
      </c>
      <c r="B1202" t="s">
        <v>10</v>
      </c>
      <c r="C1202">
        <v>24.32</v>
      </c>
      <c r="D1202">
        <v>2</v>
      </c>
      <c r="E1202" t="s">
        <v>11</v>
      </c>
      <c r="F1202" t="s">
        <v>13</v>
      </c>
      <c r="G1202">
        <v>6198.7518</v>
      </c>
    </row>
    <row r="1203" spans="1:7" x14ac:dyDescent="0.25">
      <c r="A1203">
        <v>46</v>
      </c>
      <c r="B1203" t="s">
        <v>10</v>
      </c>
      <c r="C1203">
        <v>40.375</v>
      </c>
      <c r="D1203">
        <v>2</v>
      </c>
      <c r="E1203" t="s">
        <v>11</v>
      </c>
      <c r="F1203" t="s">
        <v>13</v>
      </c>
      <c r="G1203">
        <v>8733.2292500000003</v>
      </c>
    </row>
    <row r="1204" spans="1:7" x14ac:dyDescent="0.25">
      <c r="A1204">
        <v>22</v>
      </c>
      <c r="B1204" t="s">
        <v>10</v>
      </c>
      <c r="C1204">
        <v>32.11</v>
      </c>
      <c r="D1204">
        <v>0</v>
      </c>
      <c r="E1204" t="s">
        <v>11</v>
      </c>
      <c r="F1204" t="s">
        <v>13</v>
      </c>
      <c r="G1204">
        <v>2055.3249000000001</v>
      </c>
    </row>
    <row r="1205" spans="1:7" x14ac:dyDescent="0.25">
      <c r="A1205">
        <v>51</v>
      </c>
      <c r="B1205" t="s">
        <v>10</v>
      </c>
      <c r="C1205">
        <v>32.299999999999997</v>
      </c>
      <c r="D1205">
        <v>1</v>
      </c>
      <c r="E1205" t="s">
        <v>11</v>
      </c>
      <c r="F1205" t="s">
        <v>14</v>
      </c>
      <c r="G1205">
        <v>9964.06</v>
      </c>
    </row>
    <row r="1206" spans="1:7" x14ac:dyDescent="0.25">
      <c r="A1206">
        <v>18</v>
      </c>
      <c r="B1206" t="s">
        <v>7</v>
      </c>
      <c r="C1206">
        <v>27.28</v>
      </c>
      <c r="D1206">
        <v>3</v>
      </c>
      <c r="E1206" t="s">
        <v>8</v>
      </c>
      <c r="F1206" t="s">
        <v>12</v>
      </c>
      <c r="G1206">
        <v>18223.4512</v>
      </c>
    </row>
    <row r="1207" spans="1:7" x14ac:dyDescent="0.25">
      <c r="A1207">
        <v>35</v>
      </c>
      <c r="B1207" t="s">
        <v>10</v>
      </c>
      <c r="C1207">
        <v>17.86</v>
      </c>
      <c r="D1207">
        <v>1</v>
      </c>
      <c r="E1207" t="s">
        <v>11</v>
      </c>
      <c r="F1207" t="s">
        <v>13</v>
      </c>
      <c r="G1207">
        <v>5116.5003999999999</v>
      </c>
    </row>
    <row r="1208" spans="1:7" x14ac:dyDescent="0.25">
      <c r="A1208">
        <v>59</v>
      </c>
      <c r="B1208" t="s">
        <v>7</v>
      </c>
      <c r="C1208">
        <v>34.799999999999997</v>
      </c>
      <c r="D1208">
        <v>2</v>
      </c>
      <c r="E1208" t="s">
        <v>11</v>
      </c>
      <c r="F1208" t="s">
        <v>9</v>
      </c>
      <c r="G1208">
        <v>36910.608030000003</v>
      </c>
    </row>
    <row r="1209" spans="1:7" x14ac:dyDescent="0.25">
      <c r="A1209">
        <v>36</v>
      </c>
      <c r="B1209" t="s">
        <v>10</v>
      </c>
      <c r="C1209">
        <v>33.4</v>
      </c>
      <c r="D1209">
        <v>2</v>
      </c>
      <c r="E1209" t="s">
        <v>8</v>
      </c>
      <c r="F1209" t="s">
        <v>9</v>
      </c>
      <c r="G1209">
        <v>38415.474000000002</v>
      </c>
    </row>
    <row r="1210" spans="1:7" x14ac:dyDescent="0.25">
      <c r="A1210">
        <v>37</v>
      </c>
      <c r="B1210" t="s">
        <v>7</v>
      </c>
      <c r="C1210">
        <v>25.555</v>
      </c>
      <c r="D1210">
        <v>1</v>
      </c>
      <c r="E1210" t="s">
        <v>8</v>
      </c>
      <c r="F1210" t="s">
        <v>14</v>
      </c>
      <c r="G1210">
        <v>20296.863450000001</v>
      </c>
    </row>
    <row r="1211" spans="1:7" x14ac:dyDescent="0.25">
      <c r="A1211">
        <v>59</v>
      </c>
      <c r="B1211" t="s">
        <v>10</v>
      </c>
      <c r="C1211">
        <v>37.1</v>
      </c>
      <c r="D1211">
        <v>1</v>
      </c>
      <c r="E1211" t="s">
        <v>11</v>
      </c>
      <c r="F1211" t="s">
        <v>9</v>
      </c>
      <c r="G1211">
        <v>12347.172</v>
      </c>
    </row>
    <row r="1212" spans="1:7" x14ac:dyDescent="0.25">
      <c r="A1212">
        <v>36</v>
      </c>
      <c r="B1212" t="s">
        <v>10</v>
      </c>
      <c r="C1212">
        <v>30.875</v>
      </c>
      <c r="D1212">
        <v>1</v>
      </c>
      <c r="E1212" t="s">
        <v>11</v>
      </c>
      <c r="F1212" t="s">
        <v>13</v>
      </c>
      <c r="G1212">
        <v>5373.3642499999996</v>
      </c>
    </row>
    <row r="1213" spans="1:7" x14ac:dyDescent="0.25">
      <c r="A1213">
        <v>39</v>
      </c>
      <c r="B1213" t="s">
        <v>10</v>
      </c>
      <c r="C1213">
        <v>34.1</v>
      </c>
      <c r="D1213">
        <v>2</v>
      </c>
      <c r="E1213" t="s">
        <v>11</v>
      </c>
      <c r="F1213" t="s">
        <v>12</v>
      </c>
      <c r="G1213">
        <v>23563.016179999999</v>
      </c>
    </row>
    <row r="1214" spans="1:7" x14ac:dyDescent="0.25">
      <c r="A1214">
        <v>18</v>
      </c>
      <c r="B1214" t="s">
        <v>10</v>
      </c>
      <c r="C1214">
        <v>21.47</v>
      </c>
      <c r="D1214">
        <v>0</v>
      </c>
      <c r="E1214" t="s">
        <v>11</v>
      </c>
      <c r="F1214" t="s">
        <v>14</v>
      </c>
      <c r="G1214">
        <v>1702.4553000000001</v>
      </c>
    </row>
    <row r="1215" spans="1:7" x14ac:dyDescent="0.25">
      <c r="A1215">
        <v>52</v>
      </c>
      <c r="B1215" t="s">
        <v>7</v>
      </c>
      <c r="C1215">
        <v>33.299999999999997</v>
      </c>
      <c r="D1215">
        <v>2</v>
      </c>
      <c r="E1215" t="s">
        <v>11</v>
      </c>
      <c r="F1215" t="s">
        <v>9</v>
      </c>
      <c r="G1215">
        <v>10806.839</v>
      </c>
    </row>
    <row r="1216" spans="1:7" x14ac:dyDescent="0.25">
      <c r="A1216">
        <v>27</v>
      </c>
      <c r="B1216" t="s">
        <v>7</v>
      </c>
      <c r="C1216">
        <v>31.254999999999999</v>
      </c>
      <c r="D1216">
        <v>1</v>
      </c>
      <c r="E1216" t="s">
        <v>11</v>
      </c>
      <c r="F1216" t="s">
        <v>13</v>
      </c>
      <c r="G1216">
        <v>3956.0714499999999</v>
      </c>
    </row>
    <row r="1217" spans="1:7" x14ac:dyDescent="0.25">
      <c r="A1217">
        <v>18</v>
      </c>
      <c r="B1217" t="s">
        <v>10</v>
      </c>
      <c r="C1217">
        <v>39.14</v>
      </c>
      <c r="D1217">
        <v>0</v>
      </c>
      <c r="E1217" t="s">
        <v>11</v>
      </c>
      <c r="F1217" t="s">
        <v>14</v>
      </c>
      <c r="G1217">
        <v>12890.057650000001</v>
      </c>
    </row>
    <row r="1218" spans="1:7" x14ac:dyDescent="0.25">
      <c r="A1218">
        <v>40</v>
      </c>
      <c r="B1218" t="s">
        <v>10</v>
      </c>
      <c r="C1218">
        <v>25.08</v>
      </c>
      <c r="D1218">
        <v>0</v>
      </c>
      <c r="E1218" t="s">
        <v>11</v>
      </c>
      <c r="F1218" t="s">
        <v>12</v>
      </c>
      <c r="G1218">
        <v>5415.6611999999996</v>
      </c>
    </row>
    <row r="1219" spans="1:7" x14ac:dyDescent="0.25">
      <c r="A1219">
        <v>29</v>
      </c>
      <c r="B1219" t="s">
        <v>10</v>
      </c>
      <c r="C1219">
        <v>37.29</v>
      </c>
      <c r="D1219">
        <v>2</v>
      </c>
      <c r="E1219" t="s">
        <v>11</v>
      </c>
      <c r="F1219" t="s">
        <v>12</v>
      </c>
      <c r="G1219">
        <v>4058.1161000000002</v>
      </c>
    </row>
    <row r="1220" spans="1:7" x14ac:dyDescent="0.25">
      <c r="A1220">
        <v>46</v>
      </c>
      <c r="B1220" t="s">
        <v>7</v>
      </c>
      <c r="C1220">
        <v>34.6</v>
      </c>
      <c r="D1220">
        <v>1</v>
      </c>
      <c r="E1220" t="s">
        <v>8</v>
      </c>
      <c r="F1220" t="s">
        <v>9</v>
      </c>
      <c r="G1220">
        <v>41661.601999999999</v>
      </c>
    </row>
    <row r="1221" spans="1:7" x14ac:dyDescent="0.25">
      <c r="A1221">
        <v>38</v>
      </c>
      <c r="B1221" t="s">
        <v>7</v>
      </c>
      <c r="C1221">
        <v>30.21</v>
      </c>
      <c r="D1221">
        <v>3</v>
      </c>
      <c r="E1221" t="s">
        <v>11</v>
      </c>
      <c r="F1221" t="s">
        <v>13</v>
      </c>
      <c r="G1221">
        <v>7537.1638999999996</v>
      </c>
    </row>
    <row r="1222" spans="1:7" x14ac:dyDescent="0.25">
      <c r="A1222">
        <v>30</v>
      </c>
      <c r="B1222" t="s">
        <v>7</v>
      </c>
      <c r="C1222">
        <v>21.945</v>
      </c>
      <c r="D1222">
        <v>1</v>
      </c>
      <c r="E1222" t="s">
        <v>11</v>
      </c>
      <c r="F1222" t="s">
        <v>14</v>
      </c>
      <c r="G1222">
        <v>4718.2035500000002</v>
      </c>
    </row>
    <row r="1223" spans="1:7" x14ac:dyDescent="0.25">
      <c r="A1223">
        <v>40</v>
      </c>
      <c r="B1223" t="s">
        <v>10</v>
      </c>
      <c r="C1223">
        <v>24.97</v>
      </c>
      <c r="D1223">
        <v>2</v>
      </c>
      <c r="E1223" t="s">
        <v>11</v>
      </c>
      <c r="F1223" t="s">
        <v>12</v>
      </c>
      <c r="G1223">
        <v>6593.5083000000004</v>
      </c>
    </row>
    <row r="1224" spans="1:7" x14ac:dyDescent="0.25">
      <c r="A1224">
        <v>50</v>
      </c>
      <c r="B1224" t="s">
        <v>10</v>
      </c>
      <c r="C1224">
        <v>25.3</v>
      </c>
      <c r="D1224">
        <v>0</v>
      </c>
      <c r="E1224" t="s">
        <v>11</v>
      </c>
      <c r="F1224" t="s">
        <v>12</v>
      </c>
      <c r="G1224">
        <v>8442.6669999999995</v>
      </c>
    </row>
    <row r="1225" spans="1:7" x14ac:dyDescent="0.25">
      <c r="A1225">
        <v>20</v>
      </c>
      <c r="B1225" t="s">
        <v>7</v>
      </c>
      <c r="C1225">
        <v>24.42</v>
      </c>
      <c r="D1225">
        <v>0</v>
      </c>
      <c r="E1225" t="s">
        <v>8</v>
      </c>
      <c r="F1225" t="s">
        <v>12</v>
      </c>
      <c r="G1225">
        <v>26125.674770000001</v>
      </c>
    </row>
    <row r="1226" spans="1:7" x14ac:dyDescent="0.25">
      <c r="A1226">
        <v>41</v>
      </c>
      <c r="B1226" t="s">
        <v>10</v>
      </c>
      <c r="C1226">
        <v>23.94</v>
      </c>
      <c r="D1226">
        <v>1</v>
      </c>
      <c r="E1226" t="s">
        <v>11</v>
      </c>
      <c r="F1226" t="s">
        <v>14</v>
      </c>
      <c r="G1226">
        <v>6858.4795999999997</v>
      </c>
    </row>
    <row r="1227" spans="1:7" x14ac:dyDescent="0.25">
      <c r="A1227">
        <v>33</v>
      </c>
      <c r="B1227" t="s">
        <v>7</v>
      </c>
      <c r="C1227">
        <v>39.82</v>
      </c>
      <c r="D1227">
        <v>1</v>
      </c>
      <c r="E1227" t="s">
        <v>11</v>
      </c>
      <c r="F1227" t="s">
        <v>12</v>
      </c>
      <c r="G1227">
        <v>4795.6567999999997</v>
      </c>
    </row>
    <row r="1228" spans="1:7" x14ac:dyDescent="0.25">
      <c r="A1228">
        <v>38</v>
      </c>
      <c r="B1228" t="s">
        <v>10</v>
      </c>
      <c r="C1228">
        <v>16.815000000000001</v>
      </c>
      <c r="D1228">
        <v>2</v>
      </c>
      <c r="E1228" t="s">
        <v>11</v>
      </c>
      <c r="F1228" t="s">
        <v>14</v>
      </c>
      <c r="G1228">
        <v>6640.5448500000002</v>
      </c>
    </row>
    <row r="1229" spans="1:7" x14ac:dyDescent="0.25">
      <c r="A1229">
        <v>42</v>
      </c>
      <c r="B1229" t="s">
        <v>10</v>
      </c>
      <c r="C1229">
        <v>37.18</v>
      </c>
      <c r="D1229">
        <v>2</v>
      </c>
      <c r="E1229" t="s">
        <v>11</v>
      </c>
      <c r="F1229" t="s">
        <v>12</v>
      </c>
      <c r="G1229">
        <v>7162.0122000000001</v>
      </c>
    </row>
    <row r="1230" spans="1:7" x14ac:dyDescent="0.25">
      <c r="A1230">
        <v>56</v>
      </c>
      <c r="B1230" t="s">
        <v>10</v>
      </c>
      <c r="C1230">
        <v>34.43</v>
      </c>
      <c r="D1230">
        <v>0</v>
      </c>
      <c r="E1230" t="s">
        <v>11</v>
      </c>
      <c r="F1230" t="s">
        <v>12</v>
      </c>
      <c r="G1230">
        <v>10594.225700000001</v>
      </c>
    </row>
    <row r="1231" spans="1:7" x14ac:dyDescent="0.25">
      <c r="A1231">
        <v>58</v>
      </c>
      <c r="B1231" t="s">
        <v>10</v>
      </c>
      <c r="C1231">
        <v>30.305</v>
      </c>
      <c r="D1231">
        <v>0</v>
      </c>
      <c r="E1231" t="s">
        <v>11</v>
      </c>
      <c r="F1231" t="s">
        <v>14</v>
      </c>
      <c r="G1231">
        <v>11938.255950000001</v>
      </c>
    </row>
    <row r="1232" spans="1:7" x14ac:dyDescent="0.25">
      <c r="A1232">
        <v>52</v>
      </c>
      <c r="B1232" t="s">
        <v>10</v>
      </c>
      <c r="C1232">
        <v>34.484999999999999</v>
      </c>
      <c r="D1232">
        <v>3</v>
      </c>
      <c r="E1232" t="s">
        <v>8</v>
      </c>
      <c r="F1232" t="s">
        <v>13</v>
      </c>
      <c r="G1232">
        <v>60021.398970000002</v>
      </c>
    </row>
    <row r="1233" spans="1:7" x14ac:dyDescent="0.25">
      <c r="A1233">
        <v>20</v>
      </c>
      <c r="B1233" t="s">
        <v>7</v>
      </c>
      <c r="C1233">
        <v>21.8</v>
      </c>
      <c r="D1233">
        <v>0</v>
      </c>
      <c r="E1233" t="s">
        <v>8</v>
      </c>
      <c r="F1233" t="s">
        <v>9</v>
      </c>
      <c r="G1233">
        <v>20167.336029999999</v>
      </c>
    </row>
    <row r="1234" spans="1:7" x14ac:dyDescent="0.25">
      <c r="A1234">
        <v>54</v>
      </c>
      <c r="B1234" t="s">
        <v>7</v>
      </c>
      <c r="C1234">
        <v>24.605</v>
      </c>
      <c r="D1234">
        <v>3</v>
      </c>
      <c r="E1234" t="s">
        <v>11</v>
      </c>
      <c r="F1234" t="s">
        <v>13</v>
      </c>
      <c r="G1234">
        <v>12479.70895</v>
      </c>
    </row>
    <row r="1235" spans="1:7" x14ac:dyDescent="0.25">
      <c r="A1235">
        <v>58</v>
      </c>
      <c r="B1235" t="s">
        <v>10</v>
      </c>
      <c r="C1235">
        <v>23.3</v>
      </c>
      <c r="D1235">
        <v>0</v>
      </c>
      <c r="E1235" t="s">
        <v>11</v>
      </c>
      <c r="F1235" t="s">
        <v>9</v>
      </c>
      <c r="G1235">
        <v>11345.519</v>
      </c>
    </row>
    <row r="1236" spans="1:7" x14ac:dyDescent="0.25">
      <c r="A1236">
        <v>45</v>
      </c>
      <c r="B1236" t="s">
        <v>7</v>
      </c>
      <c r="C1236">
        <v>27.83</v>
      </c>
      <c r="D1236">
        <v>2</v>
      </c>
      <c r="E1236" t="s">
        <v>11</v>
      </c>
      <c r="F1236" t="s">
        <v>12</v>
      </c>
      <c r="G1236">
        <v>8515.7587000000003</v>
      </c>
    </row>
    <row r="1237" spans="1:7" x14ac:dyDescent="0.25">
      <c r="A1237">
        <v>26</v>
      </c>
      <c r="B1237" t="s">
        <v>10</v>
      </c>
      <c r="C1237">
        <v>31.065000000000001</v>
      </c>
      <c r="D1237">
        <v>0</v>
      </c>
      <c r="E1237" t="s">
        <v>11</v>
      </c>
      <c r="F1237" t="s">
        <v>13</v>
      </c>
      <c r="G1237">
        <v>2699.56835</v>
      </c>
    </row>
    <row r="1238" spans="1:7" x14ac:dyDescent="0.25">
      <c r="A1238">
        <v>63</v>
      </c>
      <c r="B1238" t="s">
        <v>7</v>
      </c>
      <c r="C1238">
        <v>21.66</v>
      </c>
      <c r="D1238">
        <v>0</v>
      </c>
      <c r="E1238" t="s">
        <v>11</v>
      </c>
      <c r="F1238" t="s">
        <v>14</v>
      </c>
      <c r="G1238">
        <v>14449.8544</v>
      </c>
    </row>
    <row r="1239" spans="1:7" x14ac:dyDescent="0.25">
      <c r="A1239">
        <v>58</v>
      </c>
      <c r="B1239" t="s">
        <v>7</v>
      </c>
      <c r="C1239">
        <v>28.215</v>
      </c>
      <c r="D1239">
        <v>0</v>
      </c>
      <c r="E1239" t="s">
        <v>11</v>
      </c>
      <c r="F1239" t="s">
        <v>13</v>
      </c>
      <c r="G1239">
        <v>12224.350850000001</v>
      </c>
    </row>
    <row r="1240" spans="1:7" x14ac:dyDescent="0.25">
      <c r="A1240">
        <v>37</v>
      </c>
      <c r="B1240" t="s">
        <v>10</v>
      </c>
      <c r="C1240">
        <v>22.704999999999998</v>
      </c>
      <c r="D1240">
        <v>3</v>
      </c>
      <c r="E1240" t="s">
        <v>11</v>
      </c>
      <c r="F1240" t="s">
        <v>14</v>
      </c>
      <c r="G1240">
        <v>6985.50695</v>
      </c>
    </row>
    <row r="1241" spans="1:7" x14ac:dyDescent="0.25">
      <c r="A1241">
        <v>25</v>
      </c>
      <c r="B1241" t="s">
        <v>7</v>
      </c>
      <c r="C1241">
        <v>42.13</v>
      </c>
      <c r="D1241">
        <v>1</v>
      </c>
      <c r="E1241" t="s">
        <v>11</v>
      </c>
      <c r="F1241" t="s">
        <v>12</v>
      </c>
      <c r="G1241">
        <v>3238.4357</v>
      </c>
    </row>
    <row r="1242" spans="1:7" x14ac:dyDescent="0.25">
      <c r="A1242">
        <v>52</v>
      </c>
      <c r="B1242" t="s">
        <v>10</v>
      </c>
      <c r="C1242">
        <v>41.8</v>
      </c>
      <c r="D1242">
        <v>2</v>
      </c>
      <c r="E1242" t="s">
        <v>8</v>
      </c>
      <c r="F1242" t="s">
        <v>12</v>
      </c>
      <c r="G1242">
        <v>47269.853999999999</v>
      </c>
    </row>
    <row r="1243" spans="1:7" x14ac:dyDescent="0.25">
      <c r="A1243">
        <v>64</v>
      </c>
      <c r="B1243" t="s">
        <v>10</v>
      </c>
      <c r="C1243">
        <v>36.96</v>
      </c>
      <c r="D1243">
        <v>2</v>
      </c>
      <c r="E1243" t="s">
        <v>8</v>
      </c>
      <c r="F1243" t="s">
        <v>12</v>
      </c>
      <c r="G1243">
        <v>49577.662400000001</v>
      </c>
    </row>
    <row r="1244" spans="1:7" x14ac:dyDescent="0.25">
      <c r="A1244">
        <v>22</v>
      </c>
      <c r="B1244" t="s">
        <v>7</v>
      </c>
      <c r="C1244">
        <v>21.28</v>
      </c>
      <c r="D1244">
        <v>3</v>
      </c>
      <c r="E1244" t="s">
        <v>11</v>
      </c>
      <c r="F1244" t="s">
        <v>13</v>
      </c>
      <c r="G1244">
        <v>4296.2712000000001</v>
      </c>
    </row>
    <row r="1245" spans="1:7" x14ac:dyDescent="0.25">
      <c r="A1245">
        <v>28</v>
      </c>
      <c r="B1245" t="s">
        <v>7</v>
      </c>
      <c r="C1245">
        <v>33.11</v>
      </c>
      <c r="D1245">
        <v>0</v>
      </c>
      <c r="E1245" t="s">
        <v>11</v>
      </c>
      <c r="F1245" t="s">
        <v>12</v>
      </c>
      <c r="G1245">
        <v>3171.6149</v>
      </c>
    </row>
    <row r="1246" spans="1:7" x14ac:dyDescent="0.25">
      <c r="A1246">
        <v>18</v>
      </c>
      <c r="B1246" t="s">
        <v>10</v>
      </c>
      <c r="C1246">
        <v>33.33</v>
      </c>
      <c r="D1246">
        <v>0</v>
      </c>
      <c r="E1246" t="s">
        <v>11</v>
      </c>
      <c r="F1246" t="s">
        <v>12</v>
      </c>
      <c r="G1246">
        <v>1135.9407000000001</v>
      </c>
    </row>
    <row r="1247" spans="1:7" x14ac:dyDescent="0.25">
      <c r="A1247">
        <v>28</v>
      </c>
      <c r="B1247" t="s">
        <v>10</v>
      </c>
      <c r="C1247">
        <v>24.3</v>
      </c>
      <c r="D1247">
        <v>5</v>
      </c>
      <c r="E1247" t="s">
        <v>11</v>
      </c>
      <c r="F1247" t="s">
        <v>9</v>
      </c>
      <c r="G1247">
        <v>5615.3689999999997</v>
      </c>
    </row>
    <row r="1248" spans="1:7" x14ac:dyDescent="0.25">
      <c r="A1248">
        <v>45</v>
      </c>
      <c r="B1248" t="s">
        <v>7</v>
      </c>
      <c r="C1248">
        <v>25.7</v>
      </c>
      <c r="D1248">
        <v>3</v>
      </c>
      <c r="E1248" t="s">
        <v>11</v>
      </c>
      <c r="F1248" t="s">
        <v>9</v>
      </c>
      <c r="G1248">
        <v>9101.7980000000007</v>
      </c>
    </row>
    <row r="1249" spans="1:7" x14ac:dyDescent="0.25">
      <c r="A1249">
        <v>33</v>
      </c>
      <c r="B1249" t="s">
        <v>10</v>
      </c>
      <c r="C1249">
        <v>29.4</v>
      </c>
      <c r="D1249">
        <v>4</v>
      </c>
      <c r="E1249" t="s">
        <v>11</v>
      </c>
      <c r="F1249" t="s">
        <v>9</v>
      </c>
      <c r="G1249">
        <v>6059.1729999999998</v>
      </c>
    </row>
    <row r="1250" spans="1:7" x14ac:dyDescent="0.25">
      <c r="A1250">
        <v>18</v>
      </c>
      <c r="B1250" t="s">
        <v>7</v>
      </c>
      <c r="C1250">
        <v>39.82</v>
      </c>
      <c r="D1250">
        <v>0</v>
      </c>
      <c r="E1250" t="s">
        <v>11</v>
      </c>
      <c r="F1250" t="s">
        <v>12</v>
      </c>
      <c r="G1250">
        <v>1633.9618</v>
      </c>
    </row>
    <row r="1251" spans="1:7" x14ac:dyDescent="0.25">
      <c r="A1251">
        <v>32</v>
      </c>
      <c r="B1251" t="s">
        <v>10</v>
      </c>
      <c r="C1251">
        <v>33.630000000000003</v>
      </c>
      <c r="D1251">
        <v>1</v>
      </c>
      <c r="E1251" t="s">
        <v>8</v>
      </c>
      <c r="F1251" t="s">
        <v>14</v>
      </c>
      <c r="G1251">
        <v>37607.527699999999</v>
      </c>
    </row>
    <row r="1252" spans="1:7" x14ac:dyDescent="0.25">
      <c r="A1252">
        <v>24</v>
      </c>
      <c r="B1252" t="s">
        <v>10</v>
      </c>
      <c r="C1252">
        <v>29.83</v>
      </c>
      <c r="D1252">
        <v>0</v>
      </c>
      <c r="E1252" t="s">
        <v>8</v>
      </c>
      <c r="F1252" t="s">
        <v>14</v>
      </c>
      <c r="G1252">
        <v>18648.421699999999</v>
      </c>
    </row>
    <row r="1253" spans="1:7" x14ac:dyDescent="0.25">
      <c r="A1253">
        <v>19</v>
      </c>
      <c r="B1253" t="s">
        <v>10</v>
      </c>
      <c r="C1253">
        <v>19.8</v>
      </c>
      <c r="D1253">
        <v>0</v>
      </c>
      <c r="E1253" t="s">
        <v>11</v>
      </c>
      <c r="F1253" t="s">
        <v>9</v>
      </c>
      <c r="G1253">
        <v>1241.5650000000001</v>
      </c>
    </row>
    <row r="1254" spans="1:7" x14ac:dyDescent="0.25">
      <c r="A1254">
        <v>20</v>
      </c>
      <c r="B1254" t="s">
        <v>10</v>
      </c>
      <c r="C1254">
        <v>27.3</v>
      </c>
      <c r="D1254">
        <v>0</v>
      </c>
      <c r="E1254" t="s">
        <v>8</v>
      </c>
      <c r="F1254" t="s">
        <v>9</v>
      </c>
      <c r="G1254">
        <v>16232.847</v>
      </c>
    </row>
    <row r="1255" spans="1:7" x14ac:dyDescent="0.25">
      <c r="A1255">
        <v>40</v>
      </c>
      <c r="B1255" t="s">
        <v>7</v>
      </c>
      <c r="C1255">
        <v>29.3</v>
      </c>
      <c r="D1255">
        <v>4</v>
      </c>
      <c r="E1255" t="s">
        <v>11</v>
      </c>
      <c r="F1255" t="s">
        <v>9</v>
      </c>
      <c r="G1255">
        <v>15828.82173</v>
      </c>
    </row>
    <row r="1256" spans="1:7" x14ac:dyDescent="0.25">
      <c r="A1256">
        <v>34</v>
      </c>
      <c r="B1256" t="s">
        <v>7</v>
      </c>
      <c r="C1256">
        <v>27.72</v>
      </c>
      <c r="D1256">
        <v>0</v>
      </c>
      <c r="E1256" t="s">
        <v>11</v>
      </c>
      <c r="F1256" t="s">
        <v>12</v>
      </c>
      <c r="G1256">
        <v>4415.1588000000002</v>
      </c>
    </row>
    <row r="1257" spans="1:7" x14ac:dyDescent="0.25">
      <c r="A1257">
        <v>42</v>
      </c>
      <c r="B1257" t="s">
        <v>7</v>
      </c>
      <c r="C1257">
        <v>37.9</v>
      </c>
      <c r="D1257">
        <v>0</v>
      </c>
      <c r="E1257" t="s">
        <v>11</v>
      </c>
      <c r="F1257" t="s">
        <v>9</v>
      </c>
      <c r="G1257">
        <v>6474.0129999999999</v>
      </c>
    </row>
    <row r="1258" spans="1:7" x14ac:dyDescent="0.25">
      <c r="A1258">
        <v>51</v>
      </c>
      <c r="B1258" t="s">
        <v>7</v>
      </c>
      <c r="C1258">
        <v>36.384999999999998</v>
      </c>
      <c r="D1258">
        <v>3</v>
      </c>
      <c r="E1258" t="s">
        <v>11</v>
      </c>
      <c r="F1258" t="s">
        <v>13</v>
      </c>
      <c r="G1258">
        <v>11436.738149999999</v>
      </c>
    </row>
    <row r="1259" spans="1:7" x14ac:dyDescent="0.25">
      <c r="A1259">
        <v>54</v>
      </c>
      <c r="B1259" t="s">
        <v>7</v>
      </c>
      <c r="C1259">
        <v>27.645</v>
      </c>
      <c r="D1259">
        <v>1</v>
      </c>
      <c r="E1259" t="s">
        <v>11</v>
      </c>
      <c r="F1259" t="s">
        <v>13</v>
      </c>
      <c r="G1259">
        <v>11305.93455</v>
      </c>
    </row>
    <row r="1260" spans="1:7" x14ac:dyDescent="0.25">
      <c r="A1260">
        <v>55</v>
      </c>
      <c r="B1260" t="s">
        <v>10</v>
      </c>
      <c r="C1260">
        <v>37.715000000000003</v>
      </c>
      <c r="D1260">
        <v>3</v>
      </c>
      <c r="E1260" t="s">
        <v>11</v>
      </c>
      <c r="F1260" t="s">
        <v>13</v>
      </c>
      <c r="G1260">
        <v>30063.580549999999</v>
      </c>
    </row>
    <row r="1261" spans="1:7" x14ac:dyDescent="0.25">
      <c r="A1261">
        <v>52</v>
      </c>
      <c r="B1261" t="s">
        <v>7</v>
      </c>
      <c r="C1261">
        <v>23.18</v>
      </c>
      <c r="D1261">
        <v>0</v>
      </c>
      <c r="E1261" t="s">
        <v>11</v>
      </c>
      <c r="F1261" t="s">
        <v>14</v>
      </c>
      <c r="G1261">
        <v>10197.772199999999</v>
      </c>
    </row>
    <row r="1262" spans="1:7" x14ac:dyDescent="0.25">
      <c r="A1262">
        <v>32</v>
      </c>
      <c r="B1262" t="s">
        <v>7</v>
      </c>
      <c r="C1262">
        <v>20.52</v>
      </c>
      <c r="D1262">
        <v>0</v>
      </c>
      <c r="E1262" t="s">
        <v>11</v>
      </c>
      <c r="F1262" t="s">
        <v>14</v>
      </c>
      <c r="G1262">
        <v>4544.2348000000002</v>
      </c>
    </row>
    <row r="1263" spans="1:7" x14ac:dyDescent="0.25">
      <c r="A1263">
        <v>28</v>
      </c>
      <c r="B1263" t="s">
        <v>10</v>
      </c>
      <c r="C1263">
        <v>37.1</v>
      </c>
      <c r="D1263">
        <v>1</v>
      </c>
      <c r="E1263" t="s">
        <v>11</v>
      </c>
      <c r="F1263" t="s">
        <v>9</v>
      </c>
      <c r="G1263">
        <v>3277.1610000000001</v>
      </c>
    </row>
    <row r="1264" spans="1:7" x14ac:dyDescent="0.25">
      <c r="A1264">
        <v>41</v>
      </c>
      <c r="B1264" t="s">
        <v>7</v>
      </c>
      <c r="C1264">
        <v>28.05</v>
      </c>
      <c r="D1264">
        <v>1</v>
      </c>
      <c r="E1264" t="s">
        <v>11</v>
      </c>
      <c r="F1264" t="s">
        <v>12</v>
      </c>
      <c r="G1264">
        <v>6770.1925000000001</v>
      </c>
    </row>
    <row r="1265" spans="1:7" x14ac:dyDescent="0.25">
      <c r="A1265">
        <v>43</v>
      </c>
      <c r="B1265" t="s">
        <v>7</v>
      </c>
      <c r="C1265">
        <v>29.9</v>
      </c>
      <c r="D1265">
        <v>1</v>
      </c>
      <c r="E1265" t="s">
        <v>11</v>
      </c>
      <c r="F1265" t="s">
        <v>9</v>
      </c>
      <c r="G1265">
        <v>7337.7479999999996</v>
      </c>
    </row>
    <row r="1266" spans="1:7" x14ac:dyDescent="0.25">
      <c r="A1266">
        <v>49</v>
      </c>
      <c r="B1266" t="s">
        <v>7</v>
      </c>
      <c r="C1266">
        <v>33.344999999999999</v>
      </c>
      <c r="D1266">
        <v>2</v>
      </c>
      <c r="E1266" t="s">
        <v>11</v>
      </c>
      <c r="F1266" t="s">
        <v>14</v>
      </c>
      <c r="G1266">
        <v>10370.912549999999</v>
      </c>
    </row>
    <row r="1267" spans="1:7" x14ac:dyDescent="0.25">
      <c r="A1267">
        <v>64</v>
      </c>
      <c r="B1267" t="s">
        <v>10</v>
      </c>
      <c r="C1267">
        <v>23.76</v>
      </c>
      <c r="D1267">
        <v>0</v>
      </c>
      <c r="E1267" t="s">
        <v>8</v>
      </c>
      <c r="F1267" t="s">
        <v>12</v>
      </c>
      <c r="G1267">
        <v>26926.5144</v>
      </c>
    </row>
    <row r="1268" spans="1:7" x14ac:dyDescent="0.25">
      <c r="A1268">
        <v>55</v>
      </c>
      <c r="B1268" t="s">
        <v>7</v>
      </c>
      <c r="C1268">
        <v>30.5</v>
      </c>
      <c r="D1268">
        <v>0</v>
      </c>
      <c r="E1268" t="s">
        <v>11</v>
      </c>
      <c r="F1268" t="s">
        <v>9</v>
      </c>
      <c r="G1268">
        <v>10704.47</v>
      </c>
    </row>
    <row r="1269" spans="1:7" x14ac:dyDescent="0.25">
      <c r="A1269">
        <v>24</v>
      </c>
      <c r="B1269" t="s">
        <v>10</v>
      </c>
      <c r="C1269">
        <v>31.065000000000001</v>
      </c>
      <c r="D1269">
        <v>0</v>
      </c>
      <c r="E1269" t="s">
        <v>8</v>
      </c>
      <c r="F1269" t="s">
        <v>14</v>
      </c>
      <c r="G1269">
        <v>34254.053350000002</v>
      </c>
    </row>
    <row r="1270" spans="1:7" x14ac:dyDescent="0.25">
      <c r="A1270">
        <v>20</v>
      </c>
      <c r="B1270" t="s">
        <v>7</v>
      </c>
      <c r="C1270">
        <v>33.299999999999997</v>
      </c>
      <c r="D1270">
        <v>0</v>
      </c>
      <c r="E1270" t="s">
        <v>11</v>
      </c>
      <c r="F1270" t="s">
        <v>9</v>
      </c>
      <c r="G1270">
        <v>1880.4870000000001</v>
      </c>
    </row>
    <row r="1271" spans="1:7" x14ac:dyDescent="0.25">
      <c r="A1271">
        <v>45</v>
      </c>
      <c r="B1271" t="s">
        <v>10</v>
      </c>
      <c r="C1271">
        <v>27.5</v>
      </c>
      <c r="D1271">
        <v>3</v>
      </c>
      <c r="E1271" t="s">
        <v>11</v>
      </c>
      <c r="F1271" t="s">
        <v>9</v>
      </c>
      <c r="G1271">
        <v>8615.2999999999993</v>
      </c>
    </row>
    <row r="1272" spans="1:7" x14ac:dyDescent="0.25">
      <c r="A1272">
        <v>26</v>
      </c>
      <c r="B1272" t="s">
        <v>10</v>
      </c>
      <c r="C1272">
        <v>33.914999999999999</v>
      </c>
      <c r="D1272">
        <v>1</v>
      </c>
      <c r="E1272" t="s">
        <v>11</v>
      </c>
      <c r="F1272" t="s">
        <v>13</v>
      </c>
      <c r="G1272">
        <v>3292.5298499999999</v>
      </c>
    </row>
    <row r="1273" spans="1:7" x14ac:dyDescent="0.25">
      <c r="A1273">
        <v>25</v>
      </c>
      <c r="B1273" t="s">
        <v>7</v>
      </c>
      <c r="C1273">
        <v>34.484999999999999</v>
      </c>
      <c r="D1273">
        <v>0</v>
      </c>
      <c r="E1273" t="s">
        <v>11</v>
      </c>
      <c r="F1273" t="s">
        <v>13</v>
      </c>
      <c r="G1273">
        <v>3021.80915</v>
      </c>
    </row>
    <row r="1274" spans="1:7" x14ac:dyDescent="0.25">
      <c r="A1274">
        <v>43</v>
      </c>
      <c r="B1274" t="s">
        <v>10</v>
      </c>
      <c r="C1274">
        <v>25.52</v>
      </c>
      <c r="D1274">
        <v>5</v>
      </c>
      <c r="E1274" t="s">
        <v>11</v>
      </c>
      <c r="F1274" t="s">
        <v>12</v>
      </c>
      <c r="G1274">
        <v>14478.33015</v>
      </c>
    </row>
    <row r="1275" spans="1:7" x14ac:dyDescent="0.25">
      <c r="A1275">
        <v>35</v>
      </c>
      <c r="B1275" t="s">
        <v>10</v>
      </c>
      <c r="C1275">
        <v>27.61</v>
      </c>
      <c r="D1275">
        <v>1</v>
      </c>
      <c r="E1275" t="s">
        <v>11</v>
      </c>
      <c r="F1275" t="s">
        <v>12</v>
      </c>
      <c r="G1275">
        <v>4747.0528999999997</v>
      </c>
    </row>
    <row r="1276" spans="1:7" x14ac:dyDescent="0.25">
      <c r="A1276">
        <v>26</v>
      </c>
      <c r="B1276" t="s">
        <v>10</v>
      </c>
      <c r="C1276">
        <v>27.06</v>
      </c>
      <c r="D1276">
        <v>0</v>
      </c>
      <c r="E1276" t="s">
        <v>8</v>
      </c>
      <c r="F1276" t="s">
        <v>12</v>
      </c>
      <c r="G1276">
        <v>17043.341400000001</v>
      </c>
    </row>
    <row r="1277" spans="1:7" x14ac:dyDescent="0.25">
      <c r="A1277">
        <v>57</v>
      </c>
      <c r="B1277" t="s">
        <v>10</v>
      </c>
      <c r="C1277">
        <v>23.7</v>
      </c>
      <c r="D1277">
        <v>0</v>
      </c>
      <c r="E1277" t="s">
        <v>11</v>
      </c>
      <c r="F1277" t="s">
        <v>9</v>
      </c>
      <c r="G1277">
        <v>10959.33</v>
      </c>
    </row>
    <row r="1278" spans="1:7" x14ac:dyDescent="0.25">
      <c r="A1278">
        <v>22</v>
      </c>
      <c r="B1278" t="s">
        <v>7</v>
      </c>
      <c r="C1278">
        <v>30.4</v>
      </c>
      <c r="D1278">
        <v>0</v>
      </c>
      <c r="E1278" t="s">
        <v>11</v>
      </c>
      <c r="F1278" t="s">
        <v>14</v>
      </c>
      <c r="G1278">
        <v>2741.9479999999999</v>
      </c>
    </row>
    <row r="1279" spans="1:7" x14ac:dyDescent="0.25">
      <c r="A1279">
        <v>32</v>
      </c>
      <c r="B1279" t="s">
        <v>7</v>
      </c>
      <c r="C1279">
        <v>29.734999999999999</v>
      </c>
      <c r="D1279">
        <v>0</v>
      </c>
      <c r="E1279" t="s">
        <v>11</v>
      </c>
      <c r="F1279" t="s">
        <v>13</v>
      </c>
      <c r="G1279">
        <v>4357.0436499999996</v>
      </c>
    </row>
    <row r="1280" spans="1:7" x14ac:dyDescent="0.25">
      <c r="A1280">
        <v>39</v>
      </c>
      <c r="B1280" t="s">
        <v>10</v>
      </c>
      <c r="C1280">
        <v>29.925000000000001</v>
      </c>
      <c r="D1280">
        <v>1</v>
      </c>
      <c r="E1280" t="s">
        <v>8</v>
      </c>
      <c r="F1280" t="s">
        <v>14</v>
      </c>
      <c r="G1280">
        <v>22462.043750000001</v>
      </c>
    </row>
    <row r="1281" spans="1:7" x14ac:dyDescent="0.25">
      <c r="A1281">
        <v>25</v>
      </c>
      <c r="B1281" t="s">
        <v>7</v>
      </c>
      <c r="C1281">
        <v>26.79</v>
      </c>
      <c r="D1281">
        <v>2</v>
      </c>
      <c r="E1281" t="s">
        <v>11</v>
      </c>
      <c r="F1281" t="s">
        <v>13</v>
      </c>
      <c r="G1281">
        <v>4189.1130999999996</v>
      </c>
    </row>
    <row r="1282" spans="1:7" x14ac:dyDescent="0.25">
      <c r="A1282">
        <v>48</v>
      </c>
      <c r="B1282" t="s">
        <v>7</v>
      </c>
      <c r="C1282">
        <v>33.33</v>
      </c>
      <c r="D1282">
        <v>0</v>
      </c>
      <c r="E1282" t="s">
        <v>11</v>
      </c>
      <c r="F1282" t="s">
        <v>12</v>
      </c>
      <c r="G1282">
        <v>8283.6807000000008</v>
      </c>
    </row>
    <row r="1283" spans="1:7" x14ac:dyDescent="0.25">
      <c r="A1283">
        <v>47</v>
      </c>
      <c r="B1283" t="s">
        <v>7</v>
      </c>
      <c r="C1283">
        <v>27.645</v>
      </c>
      <c r="D1283">
        <v>2</v>
      </c>
      <c r="E1283" t="s">
        <v>8</v>
      </c>
      <c r="F1283" t="s">
        <v>13</v>
      </c>
      <c r="G1283">
        <v>24535.698550000001</v>
      </c>
    </row>
    <row r="1284" spans="1:7" x14ac:dyDescent="0.25">
      <c r="A1284">
        <v>18</v>
      </c>
      <c r="B1284" t="s">
        <v>7</v>
      </c>
      <c r="C1284">
        <v>21.66</v>
      </c>
      <c r="D1284">
        <v>0</v>
      </c>
      <c r="E1284" t="s">
        <v>8</v>
      </c>
      <c r="F1284" t="s">
        <v>14</v>
      </c>
      <c r="G1284">
        <v>14283.4594</v>
      </c>
    </row>
    <row r="1285" spans="1:7" x14ac:dyDescent="0.25">
      <c r="A1285">
        <v>18</v>
      </c>
      <c r="B1285" t="s">
        <v>10</v>
      </c>
      <c r="C1285">
        <v>30.03</v>
      </c>
      <c r="D1285">
        <v>1</v>
      </c>
      <c r="E1285" t="s">
        <v>11</v>
      </c>
      <c r="F1285" t="s">
        <v>12</v>
      </c>
      <c r="G1285">
        <v>1720.3536999999999</v>
      </c>
    </row>
    <row r="1286" spans="1:7" x14ac:dyDescent="0.25">
      <c r="A1286">
        <v>61</v>
      </c>
      <c r="B1286" t="s">
        <v>10</v>
      </c>
      <c r="C1286">
        <v>36.299999999999997</v>
      </c>
      <c r="D1286">
        <v>1</v>
      </c>
      <c r="E1286" t="s">
        <v>8</v>
      </c>
      <c r="F1286" t="s">
        <v>9</v>
      </c>
      <c r="G1286">
        <v>47403.88</v>
      </c>
    </row>
    <row r="1287" spans="1:7" x14ac:dyDescent="0.25">
      <c r="A1287">
        <v>47</v>
      </c>
      <c r="B1287" t="s">
        <v>7</v>
      </c>
      <c r="C1287">
        <v>24.32</v>
      </c>
      <c r="D1287">
        <v>0</v>
      </c>
      <c r="E1287" t="s">
        <v>11</v>
      </c>
      <c r="F1287" t="s">
        <v>14</v>
      </c>
      <c r="G1287">
        <v>8534.6718000000001</v>
      </c>
    </row>
    <row r="1288" spans="1:7" x14ac:dyDescent="0.25">
      <c r="A1288">
        <v>28</v>
      </c>
      <c r="B1288" t="s">
        <v>7</v>
      </c>
      <c r="C1288">
        <v>17.29</v>
      </c>
      <c r="D1288">
        <v>0</v>
      </c>
      <c r="E1288" t="s">
        <v>11</v>
      </c>
      <c r="F1288" t="s">
        <v>14</v>
      </c>
      <c r="G1288">
        <v>3732.6251000000002</v>
      </c>
    </row>
    <row r="1289" spans="1:7" x14ac:dyDescent="0.25">
      <c r="A1289">
        <v>36</v>
      </c>
      <c r="B1289" t="s">
        <v>7</v>
      </c>
      <c r="C1289">
        <v>25.9</v>
      </c>
      <c r="D1289">
        <v>1</v>
      </c>
      <c r="E1289" t="s">
        <v>11</v>
      </c>
      <c r="F1289" t="s">
        <v>9</v>
      </c>
      <c r="G1289">
        <v>5472.4489999999996</v>
      </c>
    </row>
    <row r="1290" spans="1:7" x14ac:dyDescent="0.25">
      <c r="A1290">
        <v>20</v>
      </c>
      <c r="B1290" t="s">
        <v>10</v>
      </c>
      <c r="C1290">
        <v>39.4</v>
      </c>
      <c r="D1290">
        <v>2</v>
      </c>
      <c r="E1290" t="s">
        <v>8</v>
      </c>
      <c r="F1290" t="s">
        <v>9</v>
      </c>
      <c r="G1290">
        <v>38344.565999999999</v>
      </c>
    </row>
    <row r="1291" spans="1:7" x14ac:dyDescent="0.25">
      <c r="A1291">
        <v>44</v>
      </c>
      <c r="B1291" t="s">
        <v>10</v>
      </c>
      <c r="C1291">
        <v>34.32</v>
      </c>
      <c r="D1291">
        <v>1</v>
      </c>
      <c r="E1291" t="s">
        <v>11</v>
      </c>
      <c r="F1291" t="s">
        <v>12</v>
      </c>
      <c r="G1291">
        <v>7147.4727999999996</v>
      </c>
    </row>
    <row r="1292" spans="1:7" x14ac:dyDescent="0.25">
      <c r="A1292">
        <v>38</v>
      </c>
      <c r="B1292" t="s">
        <v>7</v>
      </c>
      <c r="C1292">
        <v>19.95</v>
      </c>
      <c r="D1292">
        <v>2</v>
      </c>
      <c r="E1292" t="s">
        <v>11</v>
      </c>
      <c r="F1292" t="s">
        <v>14</v>
      </c>
      <c r="G1292">
        <v>7133.9025000000001</v>
      </c>
    </row>
    <row r="1293" spans="1:7" x14ac:dyDescent="0.25">
      <c r="A1293">
        <v>19</v>
      </c>
      <c r="B1293" t="s">
        <v>10</v>
      </c>
      <c r="C1293">
        <v>34.9</v>
      </c>
      <c r="D1293">
        <v>0</v>
      </c>
      <c r="E1293" t="s">
        <v>8</v>
      </c>
      <c r="F1293" t="s">
        <v>9</v>
      </c>
      <c r="G1293">
        <v>34828.654000000002</v>
      </c>
    </row>
    <row r="1294" spans="1:7" x14ac:dyDescent="0.25">
      <c r="A1294">
        <v>21</v>
      </c>
      <c r="B1294" t="s">
        <v>10</v>
      </c>
      <c r="C1294">
        <v>23.21</v>
      </c>
      <c r="D1294">
        <v>0</v>
      </c>
      <c r="E1294" t="s">
        <v>11</v>
      </c>
      <c r="F1294" t="s">
        <v>12</v>
      </c>
      <c r="G1294">
        <v>1515.3449000000001</v>
      </c>
    </row>
    <row r="1295" spans="1:7" x14ac:dyDescent="0.25">
      <c r="A1295">
        <v>46</v>
      </c>
      <c r="B1295" t="s">
        <v>10</v>
      </c>
      <c r="C1295">
        <v>25.745000000000001</v>
      </c>
      <c r="D1295">
        <v>3</v>
      </c>
      <c r="E1295" t="s">
        <v>11</v>
      </c>
      <c r="F1295" t="s">
        <v>13</v>
      </c>
      <c r="G1295">
        <v>9301.8935500000007</v>
      </c>
    </row>
    <row r="1296" spans="1:7" x14ac:dyDescent="0.25">
      <c r="A1296">
        <v>58</v>
      </c>
      <c r="B1296" t="s">
        <v>10</v>
      </c>
      <c r="C1296">
        <v>25.175000000000001</v>
      </c>
      <c r="D1296">
        <v>0</v>
      </c>
      <c r="E1296" t="s">
        <v>11</v>
      </c>
      <c r="F1296" t="s">
        <v>14</v>
      </c>
      <c r="G1296">
        <v>11931.125249999999</v>
      </c>
    </row>
    <row r="1297" spans="1:7" x14ac:dyDescent="0.25">
      <c r="A1297">
        <v>20</v>
      </c>
      <c r="B1297" t="s">
        <v>10</v>
      </c>
      <c r="C1297">
        <v>22</v>
      </c>
      <c r="D1297">
        <v>1</v>
      </c>
      <c r="E1297" t="s">
        <v>11</v>
      </c>
      <c r="F1297" t="s">
        <v>9</v>
      </c>
      <c r="G1297">
        <v>1964.78</v>
      </c>
    </row>
    <row r="1298" spans="1:7" x14ac:dyDescent="0.25">
      <c r="A1298">
        <v>18</v>
      </c>
      <c r="B1298" t="s">
        <v>10</v>
      </c>
      <c r="C1298">
        <v>26.125</v>
      </c>
      <c r="D1298">
        <v>0</v>
      </c>
      <c r="E1298" t="s">
        <v>11</v>
      </c>
      <c r="F1298" t="s">
        <v>14</v>
      </c>
      <c r="G1298">
        <v>1708.9257500000001</v>
      </c>
    </row>
    <row r="1299" spans="1:7" x14ac:dyDescent="0.25">
      <c r="A1299">
        <v>28</v>
      </c>
      <c r="B1299" t="s">
        <v>7</v>
      </c>
      <c r="C1299">
        <v>26.51</v>
      </c>
      <c r="D1299">
        <v>2</v>
      </c>
      <c r="E1299" t="s">
        <v>11</v>
      </c>
      <c r="F1299" t="s">
        <v>12</v>
      </c>
      <c r="G1299">
        <v>4340.4408999999996</v>
      </c>
    </row>
    <row r="1300" spans="1:7" x14ac:dyDescent="0.25">
      <c r="A1300">
        <v>33</v>
      </c>
      <c r="B1300" t="s">
        <v>10</v>
      </c>
      <c r="C1300">
        <v>27.454999999999998</v>
      </c>
      <c r="D1300">
        <v>2</v>
      </c>
      <c r="E1300" t="s">
        <v>11</v>
      </c>
      <c r="F1300" t="s">
        <v>13</v>
      </c>
      <c r="G1300">
        <v>5261.4694499999996</v>
      </c>
    </row>
    <row r="1301" spans="1:7" x14ac:dyDescent="0.25">
      <c r="A1301">
        <v>19</v>
      </c>
      <c r="B1301" t="s">
        <v>7</v>
      </c>
      <c r="C1301">
        <v>25.745000000000001</v>
      </c>
      <c r="D1301">
        <v>1</v>
      </c>
      <c r="E1301" t="s">
        <v>11</v>
      </c>
      <c r="F1301" t="s">
        <v>13</v>
      </c>
      <c r="G1301">
        <v>2710.8285500000002</v>
      </c>
    </row>
    <row r="1302" spans="1:7" x14ac:dyDescent="0.25">
      <c r="A1302">
        <v>45</v>
      </c>
      <c r="B1302" t="s">
        <v>10</v>
      </c>
      <c r="C1302">
        <v>30.36</v>
      </c>
      <c r="D1302">
        <v>0</v>
      </c>
      <c r="E1302" t="s">
        <v>8</v>
      </c>
      <c r="F1302" t="s">
        <v>12</v>
      </c>
      <c r="G1302">
        <v>62592.873090000001</v>
      </c>
    </row>
    <row r="1303" spans="1:7" x14ac:dyDescent="0.25">
      <c r="A1303">
        <v>62</v>
      </c>
      <c r="B1303" t="s">
        <v>10</v>
      </c>
      <c r="C1303">
        <v>30.875</v>
      </c>
      <c r="D1303">
        <v>3</v>
      </c>
      <c r="E1303" t="s">
        <v>8</v>
      </c>
      <c r="F1303" t="s">
        <v>13</v>
      </c>
      <c r="G1303">
        <v>46718.163249999998</v>
      </c>
    </row>
    <row r="1304" spans="1:7" x14ac:dyDescent="0.25">
      <c r="A1304">
        <v>25</v>
      </c>
      <c r="B1304" t="s">
        <v>7</v>
      </c>
      <c r="C1304">
        <v>20.8</v>
      </c>
      <c r="D1304">
        <v>1</v>
      </c>
      <c r="E1304" t="s">
        <v>11</v>
      </c>
      <c r="F1304" t="s">
        <v>9</v>
      </c>
      <c r="G1304">
        <v>3208.7869999999998</v>
      </c>
    </row>
    <row r="1305" spans="1:7" x14ac:dyDescent="0.25">
      <c r="A1305">
        <v>43</v>
      </c>
      <c r="B1305" t="s">
        <v>10</v>
      </c>
      <c r="C1305">
        <v>27.8</v>
      </c>
      <c r="D1305">
        <v>0</v>
      </c>
      <c r="E1305" t="s">
        <v>8</v>
      </c>
      <c r="F1305" t="s">
        <v>9</v>
      </c>
      <c r="G1305">
        <v>37829.724199999997</v>
      </c>
    </row>
    <row r="1306" spans="1:7" x14ac:dyDescent="0.25">
      <c r="A1306">
        <v>42</v>
      </c>
      <c r="B1306" t="s">
        <v>10</v>
      </c>
      <c r="C1306">
        <v>24.605</v>
      </c>
      <c r="D1306">
        <v>2</v>
      </c>
      <c r="E1306" t="s">
        <v>8</v>
      </c>
      <c r="F1306" t="s">
        <v>14</v>
      </c>
      <c r="G1306">
        <v>21259.377949999998</v>
      </c>
    </row>
    <row r="1307" spans="1:7" x14ac:dyDescent="0.25">
      <c r="A1307">
        <v>24</v>
      </c>
      <c r="B1307" t="s">
        <v>7</v>
      </c>
      <c r="C1307">
        <v>27.72</v>
      </c>
      <c r="D1307">
        <v>0</v>
      </c>
      <c r="E1307" t="s">
        <v>11</v>
      </c>
      <c r="F1307" t="s">
        <v>12</v>
      </c>
      <c r="G1307">
        <v>2464.6188000000002</v>
      </c>
    </row>
    <row r="1308" spans="1:7" x14ac:dyDescent="0.25">
      <c r="A1308">
        <v>29</v>
      </c>
      <c r="B1308" t="s">
        <v>7</v>
      </c>
      <c r="C1308">
        <v>21.85</v>
      </c>
      <c r="D1308">
        <v>0</v>
      </c>
      <c r="E1308" t="s">
        <v>8</v>
      </c>
      <c r="F1308" t="s">
        <v>14</v>
      </c>
      <c r="G1308">
        <v>16115.3045</v>
      </c>
    </row>
    <row r="1309" spans="1:7" x14ac:dyDescent="0.25">
      <c r="A1309">
        <v>32</v>
      </c>
      <c r="B1309" t="s">
        <v>10</v>
      </c>
      <c r="C1309">
        <v>28.12</v>
      </c>
      <c r="D1309">
        <v>4</v>
      </c>
      <c r="E1309" t="s">
        <v>8</v>
      </c>
      <c r="F1309" t="s">
        <v>13</v>
      </c>
      <c r="G1309">
        <v>21472.478800000001</v>
      </c>
    </row>
    <row r="1310" spans="1:7" x14ac:dyDescent="0.25">
      <c r="A1310">
        <v>25</v>
      </c>
      <c r="B1310" t="s">
        <v>7</v>
      </c>
      <c r="C1310">
        <v>30.2</v>
      </c>
      <c r="D1310">
        <v>0</v>
      </c>
      <c r="E1310" t="s">
        <v>8</v>
      </c>
      <c r="F1310" t="s">
        <v>9</v>
      </c>
      <c r="G1310">
        <v>33900.652999999998</v>
      </c>
    </row>
    <row r="1311" spans="1:7" x14ac:dyDescent="0.25">
      <c r="A1311">
        <v>41</v>
      </c>
      <c r="B1311" t="s">
        <v>10</v>
      </c>
      <c r="C1311">
        <v>32.200000000000003</v>
      </c>
      <c r="D1311">
        <v>2</v>
      </c>
      <c r="E1311" t="s">
        <v>11</v>
      </c>
      <c r="F1311" t="s">
        <v>9</v>
      </c>
      <c r="G1311">
        <v>6875.9610000000002</v>
      </c>
    </row>
    <row r="1312" spans="1:7" x14ac:dyDescent="0.25">
      <c r="A1312">
        <v>42</v>
      </c>
      <c r="B1312" t="s">
        <v>10</v>
      </c>
      <c r="C1312">
        <v>26.315000000000001</v>
      </c>
      <c r="D1312">
        <v>1</v>
      </c>
      <c r="E1312" t="s">
        <v>11</v>
      </c>
      <c r="F1312" t="s">
        <v>13</v>
      </c>
      <c r="G1312">
        <v>6940.90985</v>
      </c>
    </row>
    <row r="1313" spans="1:7" x14ac:dyDescent="0.25">
      <c r="A1313">
        <v>33</v>
      </c>
      <c r="B1313" t="s">
        <v>7</v>
      </c>
      <c r="C1313">
        <v>26.695</v>
      </c>
      <c r="D1313">
        <v>0</v>
      </c>
      <c r="E1313" t="s">
        <v>11</v>
      </c>
      <c r="F1313" t="s">
        <v>13</v>
      </c>
      <c r="G1313">
        <v>4571.4130500000001</v>
      </c>
    </row>
    <row r="1314" spans="1:7" x14ac:dyDescent="0.25">
      <c r="A1314">
        <v>34</v>
      </c>
      <c r="B1314" t="s">
        <v>10</v>
      </c>
      <c r="C1314">
        <v>42.9</v>
      </c>
      <c r="D1314">
        <v>1</v>
      </c>
      <c r="E1314" t="s">
        <v>11</v>
      </c>
      <c r="F1314" t="s">
        <v>9</v>
      </c>
      <c r="G1314">
        <v>4536.259</v>
      </c>
    </row>
    <row r="1315" spans="1:7" x14ac:dyDescent="0.25">
      <c r="A1315">
        <v>19</v>
      </c>
      <c r="B1315" t="s">
        <v>7</v>
      </c>
      <c r="C1315">
        <v>34.700000000000003</v>
      </c>
      <c r="D1315">
        <v>2</v>
      </c>
      <c r="E1315" t="s">
        <v>8</v>
      </c>
      <c r="F1315" t="s">
        <v>9</v>
      </c>
      <c r="G1315">
        <v>36397.576000000001</v>
      </c>
    </row>
    <row r="1316" spans="1:7" x14ac:dyDescent="0.25">
      <c r="A1316">
        <v>30</v>
      </c>
      <c r="B1316" t="s">
        <v>7</v>
      </c>
      <c r="C1316">
        <v>23.655000000000001</v>
      </c>
      <c r="D1316">
        <v>3</v>
      </c>
      <c r="E1316" t="s">
        <v>8</v>
      </c>
      <c r="F1316" t="s">
        <v>13</v>
      </c>
      <c r="G1316">
        <v>18765.87545</v>
      </c>
    </row>
    <row r="1317" spans="1:7" x14ac:dyDescent="0.25">
      <c r="A1317">
        <v>18</v>
      </c>
      <c r="B1317" t="s">
        <v>10</v>
      </c>
      <c r="C1317">
        <v>28.31</v>
      </c>
      <c r="D1317">
        <v>1</v>
      </c>
      <c r="E1317" t="s">
        <v>11</v>
      </c>
      <c r="F1317" t="s">
        <v>14</v>
      </c>
      <c r="G1317">
        <v>11272.331389999999</v>
      </c>
    </row>
    <row r="1318" spans="1:7" x14ac:dyDescent="0.25">
      <c r="A1318">
        <v>19</v>
      </c>
      <c r="B1318" t="s">
        <v>7</v>
      </c>
      <c r="C1318">
        <v>20.6</v>
      </c>
      <c r="D1318">
        <v>0</v>
      </c>
      <c r="E1318" t="s">
        <v>11</v>
      </c>
      <c r="F1318" t="s">
        <v>9</v>
      </c>
      <c r="G1318">
        <v>1731.6769999999999</v>
      </c>
    </row>
    <row r="1319" spans="1:7" x14ac:dyDescent="0.25">
      <c r="A1319">
        <v>18</v>
      </c>
      <c r="B1319" t="s">
        <v>10</v>
      </c>
      <c r="C1319">
        <v>53.13</v>
      </c>
      <c r="D1319">
        <v>0</v>
      </c>
      <c r="E1319" t="s">
        <v>11</v>
      </c>
      <c r="F1319" t="s">
        <v>12</v>
      </c>
      <c r="G1319">
        <v>1163.4627</v>
      </c>
    </row>
    <row r="1320" spans="1:7" x14ac:dyDescent="0.25">
      <c r="A1320">
        <v>35</v>
      </c>
      <c r="B1320" t="s">
        <v>10</v>
      </c>
      <c r="C1320">
        <v>39.71</v>
      </c>
      <c r="D1320">
        <v>4</v>
      </c>
      <c r="E1320" t="s">
        <v>11</v>
      </c>
      <c r="F1320" t="s">
        <v>14</v>
      </c>
      <c r="G1320">
        <v>19496.71917</v>
      </c>
    </row>
    <row r="1321" spans="1:7" x14ac:dyDescent="0.25">
      <c r="A1321">
        <v>39</v>
      </c>
      <c r="B1321" t="s">
        <v>7</v>
      </c>
      <c r="C1321">
        <v>26.315000000000001</v>
      </c>
      <c r="D1321">
        <v>2</v>
      </c>
      <c r="E1321" t="s">
        <v>11</v>
      </c>
      <c r="F1321" t="s">
        <v>13</v>
      </c>
      <c r="G1321">
        <v>7201.7008500000002</v>
      </c>
    </row>
    <row r="1322" spans="1:7" x14ac:dyDescent="0.25">
      <c r="A1322">
        <v>31</v>
      </c>
      <c r="B1322" t="s">
        <v>10</v>
      </c>
      <c r="C1322">
        <v>31.065000000000001</v>
      </c>
      <c r="D1322">
        <v>3</v>
      </c>
      <c r="E1322" t="s">
        <v>11</v>
      </c>
      <c r="F1322" t="s">
        <v>13</v>
      </c>
      <c r="G1322">
        <v>5425.0233500000004</v>
      </c>
    </row>
    <row r="1323" spans="1:7" x14ac:dyDescent="0.25">
      <c r="A1323">
        <v>62</v>
      </c>
      <c r="B1323" t="s">
        <v>10</v>
      </c>
      <c r="C1323">
        <v>26.695</v>
      </c>
      <c r="D1323">
        <v>0</v>
      </c>
      <c r="E1323" t="s">
        <v>8</v>
      </c>
      <c r="F1323" t="s">
        <v>14</v>
      </c>
      <c r="G1323">
        <v>28101.333050000001</v>
      </c>
    </row>
    <row r="1324" spans="1:7" x14ac:dyDescent="0.25">
      <c r="A1324">
        <v>62</v>
      </c>
      <c r="B1324" t="s">
        <v>10</v>
      </c>
      <c r="C1324">
        <v>38.83</v>
      </c>
      <c r="D1324">
        <v>0</v>
      </c>
      <c r="E1324" t="s">
        <v>11</v>
      </c>
      <c r="F1324" t="s">
        <v>12</v>
      </c>
      <c r="G1324">
        <v>12981.3457</v>
      </c>
    </row>
    <row r="1325" spans="1:7" x14ac:dyDescent="0.25">
      <c r="A1325">
        <v>42</v>
      </c>
      <c r="B1325" t="s">
        <v>7</v>
      </c>
      <c r="C1325">
        <v>40.369999999999997</v>
      </c>
      <c r="D1325">
        <v>2</v>
      </c>
      <c r="E1325" t="s">
        <v>8</v>
      </c>
      <c r="F1325" t="s">
        <v>12</v>
      </c>
      <c r="G1325">
        <v>43896.376300000004</v>
      </c>
    </row>
    <row r="1326" spans="1:7" x14ac:dyDescent="0.25">
      <c r="A1326">
        <v>31</v>
      </c>
      <c r="B1326" t="s">
        <v>10</v>
      </c>
      <c r="C1326">
        <v>25.934999999999999</v>
      </c>
      <c r="D1326">
        <v>1</v>
      </c>
      <c r="E1326" t="s">
        <v>11</v>
      </c>
      <c r="F1326" t="s">
        <v>13</v>
      </c>
      <c r="G1326">
        <v>4239.8926499999998</v>
      </c>
    </row>
    <row r="1327" spans="1:7" x14ac:dyDescent="0.25">
      <c r="A1327">
        <v>61</v>
      </c>
      <c r="B1327" t="s">
        <v>10</v>
      </c>
      <c r="C1327">
        <v>33.534999999999997</v>
      </c>
      <c r="D1327">
        <v>0</v>
      </c>
      <c r="E1327" t="s">
        <v>11</v>
      </c>
      <c r="F1327" t="s">
        <v>14</v>
      </c>
      <c r="G1327">
        <v>13143.336649999999</v>
      </c>
    </row>
    <row r="1328" spans="1:7" x14ac:dyDescent="0.25">
      <c r="A1328">
        <v>42</v>
      </c>
      <c r="B1328" t="s">
        <v>7</v>
      </c>
      <c r="C1328">
        <v>32.869999999999997</v>
      </c>
      <c r="D1328">
        <v>0</v>
      </c>
      <c r="E1328" t="s">
        <v>11</v>
      </c>
      <c r="F1328" t="s">
        <v>14</v>
      </c>
      <c r="G1328">
        <v>7050.0213000000003</v>
      </c>
    </row>
    <row r="1329" spans="1:7" x14ac:dyDescent="0.25">
      <c r="A1329">
        <v>51</v>
      </c>
      <c r="B1329" t="s">
        <v>10</v>
      </c>
      <c r="C1329">
        <v>30.03</v>
      </c>
      <c r="D1329">
        <v>1</v>
      </c>
      <c r="E1329" t="s">
        <v>11</v>
      </c>
      <c r="F1329" t="s">
        <v>12</v>
      </c>
      <c r="G1329">
        <v>9377.9046999999991</v>
      </c>
    </row>
    <row r="1330" spans="1:7" x14ac:dyDescent="0.25">
      <c r="A1330">
        <v>23</v>
      </c>
      <c r="B1330" t="s">
        <v>7</v>
      </c>
      <c r="C1330">
        <v>24.225000000000001</v>
      </c>
      <c r="D1330">
        <v>2</v>
      </c>
      <c r="E1330" t="s">
        <v>11</v>
      </c>
      <c r="F1330" t="s">
        <v>14</v>
      </c>
      <c r="G1330">
        <v>22395.74424</v>
      </c>
    </row>
    <row r="1331" spans="1:7" x14ac:dyDescent="0.25">
      <c r="A1331">
        <v>52</v>
      </c>
      <c r="B1331" t="s">
        <v>10</v>
      </c>
      <c r="C1331">
        <v>38.6</v>
      </c>
      <c r="D1331">
        <v>2</v>
      </c>
      <c r="E1331" t="s">
        <v>11</v>
      </c>
      <c r="F1331" t="s">
        <v>9</v>
      </c>
      <c r="G1331">
        <v>10325.206</v>
      </c>
    </row>
    <row r="1332" spans="1:7" x14ac:dyDescent="0.25">
      <c r="A1332">
        <v>57</v>
      </c>
      <c r="B1332" t="s">
        <v>7</v>
      </c>
      <c r="C1332">
        <v>25.74</v>
      </c>
      <c r="D1332">
        <v>2</v>
      </c>
      <c r="E1332" t="s">
        <v>11</v>
      </c>
      <c r="F1332" t="s">
        <v>12</v>
      </c>
      <c r="G1332">
        <v>12629.1656</v>
      </c>
    </row>
    <row r="1333" spans="1:7" x14ac:dyDescent="0.25">
      <c r="A1333">
        <v>23</v>
      </c>
      <c r="B1333" t="s">
        <v>7</v>
      </c>
      <c r="C1333">
        <v>33.4</v>
      </c>
      <c r="D1333">
        <v>0</v>
      </c>
      <c r="E1333" t="s">
        <v>11</v>
      </c>
      <c r="F1333" t="s">
        <v>9</v>
      </c>
      <c r="G1333">
        <v>10795.937330000001</v>
      </c>
    </row>
    <row r="1334" spans="1:7" x14ac:dyDescent="0.25">
      <c r="A1334">
        <v>52</v>
      </c>
      <c r="B1334" t="s">
        <v>7</v>
      </c>
      <c r="C1334">
        <v>44.7</v>
      </c>
      <c r="D1334">
        <v>3</v>
      </c>
      <c r="E1334" t="s">
        <v>11</v>
      </c>
      <c r="F1334" t="s">
        <v>9</v>
      </c>
      <c r="G1334">
        <v>11411.684999999999</v>
      </c>
    </row>
    <row r="1335" spans="1:7" x14ac:dyDescent="0.25">
      <c r="A1335">
        <v>50</v>
      </c>
      <c r="B1335" t="s">
        <v>10</v>
      </c>
      <c r="C1335">
        <v>30.97</v>
      </c>
      <c r="D1335">
        <v>3</v>
      </c>
      <c r="E1335" t="s">
        <v>11</v>
      </c>
      <c r="F1335" t="s">
        <v>13</v>
      </c>
      <c r="G1335">
        <v>10600.5483</v>
      </c>
    </row>
    <row r="1336" spans="1:7" x14ac:dyDescent="0.25">
      <c r="A1336">
        <v>18</v>
      </c>
      <c r="B1336" t="s">
        <v>7</v>
      </c>
      <c r="C1336">
        <v>31.92</v>
      </c>
      <c r="D1336">
        <v>0</v>
      </c>
      <c r="E1336" t="s">
        <v>11</v>
      </c>
      <c r="F1336" t="s">
        <v>14</v>
      </c>
      <c r="G1336">
        <v>2205.9807999999998</v>
      </c>
    </row>
    <row r="1337" spans="1:7" x14ac:dyDescent="0.25">
      <c r="A1337">
        <v>18</v>
      </c>
      <c r="B1337" t="s">
        <v>7</v>
      </c>
      <c r="C1337">
        <v>36.85</v>
      </c>
      <c r="D1337">
        <v>0</v>
      </c>
      <c r="E1337" t="s">
        <v>11</v>
      </c>
      <c r="F1337" t="s">
        <v>12</v>
      </c>
      <c r="G1337">
        <v>1629.8335</v>
      </c>
    </row>
    <row r="1338" spans="1:7" x14ac:dyDescent="0.25">
      <c r="A1338">
        <v>21</v>
      </c>
      <c r="B1338" t="s">
        <v>7</v>
      </c>
      <c r="C1338">
        <v>25.8</v>
      </c>
      <c r="D1338">
        <v>0</v>
      </c>
      <c r="E1338" t="s">
        <v>11</v>
      </c>
      <c r="F1338" t="s">
        <v>9</v>
      </c>
      <c r="G1338">
        <v>2007.9449999999999</v>
      </c>
    </row>
    <row r="1339" spans="1:7" x14ac:dyDescent="0.25">
      <c r="A1339">
        <v>61</v>
      </c>
      <c r="B1339" t="s">
        <v>7</v>
      </c>
      <c r="C1339">
        <v>29.07</v>
      </c>
      <c r="D1339">
        <v>0</v>
      </c>
      <c r="E1339" t="s">
        <v>8</v>
      </c>
      <c r="F1339" t="s">
        <v>13</v>
      </c>
      <c r="G1339">
        <v>29141.3603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31230-9449-42C5-8C07-5C34BDBA5191}">
  <sheetPr codeName="Sheet3"/>
  <dimension ref="A1:G1339"/>
  <sheetViews>
    <sheetView workbookViewId="0">
      <selection activeCell="G1" sqref="G1"/>
    </sheetView>
  </sheetViews>
  <sheetFormatPr defaultRowHeight="15" x14ac:dyDescent="0.25"/>
  <cols>
    <col min="4" max="4" width="10.5703125" customWidth="1"/>
    <col min="5" max="5" width="9.85546875" customWidth="1"/>
    <col min="6" max="6" width="12.7109375" customWidth="1"/>
    <col min="7" max="7" width="15.42578125" customWidth="1"/>
  </cols>
  <sheetData>
    <row r="1" spans="1:7" x14ac:dyDescent="0.25">
      <c r="A1" t="s">
        <v>0</v>
      </c>
      <c r="B1" t="s">
        <v>1</v>
      </c>
      <c r="C1" t="s">
        <v>2</v>
      </c>
      <c r="D1" t="s">
        <v>3</v>
      </c>
      <c r="E1" t="s">
        <v>4</v>
      </c>
      <c r="F1" t="s">
        <v>5</v>
      </c>
      <c r="G1" t="s">
        <v>6</v>
      </c>
    </row>
    <row r="2" spans="1:7" x14ac:dyDescent="0.25">
      <c r="A2">
        <v>19</v>
      </c>
      <c r="B2" t="s">
        <v>7</v>
      </c>
      <c r="C2">
        <v>27.9</v>
      </c>
      <c r="D2">
        <v>0</v>
      </c>
      <c r="E2" t="s">
        <v>8</v>
      </c>
      <c r="F2" t="s">
        <v>9</v>
      </c>
      <c r="G2">
        <v>16884.923999999999</v>
      </c>
    </row>
    <row r="3" spans="1:7" x14ac:dyDescent="0.25">
      <c r="A3">
        <v>18</v>
      </c>
      <c r="B3" t="s">
        <v>10</v>
      </c>
      <c r="C3">
        <v>33.770000000000003</v>
      </c>
      <c r="D3">
        <v>1</v>
      </c>
      <c r="E3" t="s">
        <v>11</v>
      </c>
      <c r="F3" t="s">
        <v>12</v>
      </c>
      <c r="G3">
        <v>1725.5523000000001</v>
      </c>
    </row>
    <row r="4" spans="1:7" x14ac:dyDescent="0.25">
      <c r="A4">
        <v>28</v>
      </c>
      <c r="B4" t="s">
        <v>10</v>
      </c>
      <c r="C4">
        <v>33</v>
      </c>
      <c r="D4">
        <v>3</v>
      </c>
      <c r="E4" t="s">
        <v>11</v>
      </c>
      <c r="F4" t="s">
        <v>12</v>
      </c>
      <c r="G4">
        <v>4449.4620000000004</v>
      </c>
    </row>
    <row r="5" spans="1:7" x14ac:dyDescent="0.25">
      <c r="A5">
        <v>33</v>
      </c>
      <c r="B5" t="s">
        <v>10</v>
      </c>
      <c r="C5">
        <v>22.704999999999998</v>
      </c>
      <c r="D5">
        <v>0</v>
      </c>
      <c r="E5" t="s">
        <v>11</v>
      </c>
      <c r="F5" t="s">
        <v>13</v>
      </c>
      <c r="G5">
        <v>21984.47061</v>
      </c>
    </row>
    <row r="6" spans="1:7" x14ac:dyDescent="0.25">
      <c r="A6">
        <v>32</v>
      </c>
      <c r="B6" t="s">
        <v>10</v>
      </c>
      <c r="C6">
        <v>28.88</v>
      </c>
      <c r="D6">
        <v>0</v>
      </c>
      <c r="E6" t="s">
        <v>11</v>
      </c>
      <c r="F6" t="s">
        <v>13</v>
      </c>
      <c r="G6">
        <v>3866.8552</v>
      </c>
    </row>
    <row r="7" spans="1:7" x14ac:dyDescent="0.25">
      <c r="A7">
        <v>31</v>
      </c>
      <c r="B7" t="s">
        <v>7</v>
      </c>
      <c r="C7">
        <v>25.74</v>
      </c>
      <c r="D7">
        <v>0</v>
      </c>
      <c r="E7" t="s">
        <v>11</v>
      </c>
      <c r="F7" t="s">
        <v>12</v>
      </c>
      <c r="G7">
        <v>3756.6215999999999</v>
      </c>
    </row>
    <row r="8" spans="1:7" x14ac:dyDescent="0.25">
      <c r="A8">
        <v>46</v>
      </c>
      <c r="B8" t="s">
        <v>7</v>
      </c>
      <c r="C8">
        <v>33.44</v>
      </c>
      <c r="D8">
        <v>1</v>
      </c>
      <c r="E8" t="s">
        <v>11</v>
      </c>
      <c r="F8" t="s">
        <v>12</v>
      </c>
      <c r="G8">
        <v>8240.5895999999993</v>
      </c>
    </row>
    <row r="9" spans="1:7" x14ac:dyDescent="0.25">
      <c r="A9">
        <v>37</v>
      </c>
      <c r="B9" t="s">
        <v>7</v>
      </c>
      <c r="C9">
        <v>27.74</v>
      </c>
      <c r="D9">
        <v>3</v>
      </c>
      <c r="E9" t="s">
        <v>11</v>
      </c>
      <c r="F9" t="s">
        <v>13</v>
      </c>
      <c r="G9">
        <v>7281.5056000000004</v>
      </c>
    </row>
    <row r="10" spans="1:7" x14ac:dyDescent="0.25">
      <c r="A10">
        <v>37</v>
      </c>
      <c r="B10" t="s">
        <v>10</v>
      </c>
      <c r="C10">
        <v>29.83</v>
      </c>
      <c r="D10">
        <v>2</v>
      </c>
      <c r="E10" t="s">
        <v>11</v>
      </c>
      <c r="F10" t="s">
        <v>14</v>
      </c>
      <c r="G10">
        <v>6406.4107000000004</v>
      </c>
    </row>
    <row r="11" spans="1:7" x14ac:dyDescent="0.25">
      <c r="A11">
        <v>60</v>
      </c>
      <c r="B11" t="s">
        <v>7</v>
      </c>
      <c r="C11">
        <v>25.84</v>
      </c>
      <c r="D11">
        <v>0</v>
      </c>
      <c r="E11" t="s">
        <v>11</v>
      </c>
      <c r="F11" t="s">
        <v>13</v>
      </c>
      <c r="G11">
        <v>28923.136920000001</v>
      </c>
    </row>
    <row r="12" spans="1:7" x14ac:dyDescent="0.25">
      <c r="A12">
        <v>25</v>
      </c>
      <c r="B12" t="s">
        <v>10</v>
      </c>
      <c r="C12">
        <v>26.22</v>
      </c>
      <c r="D12">
        <v>0</v>
      </c>
      <c r="E12" t="s">
        <v>11</v>
      </c>
      <c r="F12" t="s">
        <v>14</v>
      </c>
      <c r="G12">
        <v>2721.3208</v>
      </c>
    </row>
    <row r="13" spans="1:7" x14ac:dyDescent="0.25">
      <c r="A13">
        <v>62</v>
      </c>
      <c r="B13" t="s">
        <v>7</v>
      </c>
      <c r="C13">
        <v>26.29</v>
      </c>
      <c r="D13">
        <v>0</v>
      </c>
      <c r="E13" t="s">
        <v>8</v>
      </c>
      <c r="F13" t="s">
        <v>12</v>
      </c>
      <c r="G13">
        <v>27808.7251</v>
      </c>
    </row>
    <row r="14" spans="1:7" x14ac:dyDescent="0.25">
      <c r="A14">
        <v>23</v>
      </c>
      <c r="B14" t="s">
        <v>10</v>
      </c>
      <c r="C14">
        <v>34.4</v>
      </c>
      <c r="D14">
        <v>0</v>
      </c>
      <c r="E14" t="s">
        <v>11</v>
      </c>
      <c r="F14" t="s">
        <v>9</v>
      </c>
      <c r="G14">
        <v>1826.8430000000001</v>
      </c>
    </row>
    <row r="15" spans="1:7" x14ac:dyDescent="0.25">
      <c r="A15">
        <v>56</v>
      </c>
      <c r="B15" t="s">
        <v>7</v>
      </c>
      <c r="C15">
        <v>39.82</v>
      </c>
      <c r="D15">
        <v>0</v>
      </c>
      <c r="E15" t="s">
        <v>11</v>
      </c>
      <c r="F15" t="s">
        <v>12</v>
      </c>
      <c r="G15">
        <v>11090.7178</v>
      </c>
    </row>
    <row r="16" spans="1:7" x14ac:dyDescent="0.25">
      <c r="A16">
        <v>27</v>
      </c>
      <c r="B16" t="s">
        <v>10</v>
      </c>
      <c r="C16">
        <v>42.13</v>
      </c>
      <c r="D16">
        <v>0</v>
      </c>
      <c r="E16" t="s">
        <v>8</v>
      </c>
      <c r="F16" t="s">
        <v>12</v>
      </c>
      <c r="G16">
        <v>39611.757700000002</v>
      </c>
    </row>
    <row r="17" spans="1:7" x14ac:dyDescent="0.25">
      <c r="A17">
        <v>19</v>
      </c>
      <c r="B17" t="s">
        <v>10</v>
      </c>
      <c r="C17">
        <v>24.6</v>
      </c>
      <c r="D17">
        <v>1</v>
      </c>
      <c r="E17" t="s">
        <v>11</v>
      </c>
      <c r="F17" t="s">
        <v>9</v>
      </c>
      <c r="G17">
        <v>1837.2370000000001</v>
      </c>
    </row>
    <row r="18" spans="1:7" x14ac:dyDescent="0.25">
      <c r="A18">
        <v>52</v>
      </c>
      <c r="B18" t="s">
        <v>7</v>
      </c>
      <c r="C18">
        <v>30.78</v>
      </c>
      <c r="D18">
        <v>1</v>
      </c>
      <c r="E18" t="s">
        <v>11</v>
      </c>
      <c r="F18" t="s">
        <v>14</v>
      </c>
      <c r="G18">
        <v>10797.3362</v>
      </c>
    </row>
    <row r="19" spans="1:7" x14ac:dyDescent="0.25">
      <c r="A19">
        <v>23</v>
      </c>
      <c r="B19" t="s">
        <v>10</v>
      </c>
      <c r="C19">
        <v>23.844999999999999</v>
      </c>
      <c r="D19">
        <v>0</v>
      </c>
      <c r="E19" t="s">
        <v>11</v>
      </c>
      <c r="F19" t="s">
        <v>14</v>
      </c>
      <c r="G19">
        <v>2395.17155</v>
      </c>
    </row>
    <row r="20" spans="1:7" x14ac:dyDescent="0.25">
      <c r="A20">
        <v>56</v>
      </c>
      <c r="B20" t="s">
        <v>10</v>
      </c>
      <c r="C20">
        <v>40.299999999999997</v>
      </c>
      <c r="D20">
        <v>0</v>
      </c>
      <c r="E20" t="s">
        <v>11</v>
      </c>
      <c r="F20" t="s">
        <v>9</v>
      </c>
      <c r="G20">
        <v>10602.385</v>
      </c>
    </row>
    <row r="21" spans="1:7" x14ac:dyDescent="0.25">
      <c r="A21">
        <v>30</v>
      </c>
      <c r="B21" t="s">
        <v>10</v>
      </c>
      <c r="C21">
        <v>35.299999999999997</v>
      </c>
      <c r="D21">
        <v>0</v>
      </c>
      <c r="E21" t="s">
        <v>8</v>
      </c>
      <c r="F21" t="s">
        <v>9</v>
      </c>
      <c r="G21">
        <v>36837.466999999997</v>
      </c>
    </row>
    <row r="22" spans="1:7" x14ac:dyDescent="0.25">
      <c r="A22">
        <v>60</v>
      </c>
      <c r="B22" t="s">
        <v>7</v>
      </c>
      <c r="C22">
        <v>36.005000000000003</v>
      </c>
      <c r="D22">
        <v>0</v>
      </c>
      <c r="E22" t="s">
        <v>11</v>
      </c>
      <c r="F22" t="s">
        <v>14</v>
      </c>
      <c r="G22">
        <v>13228.846949999999</v>
      </c>
    </row>
    <row r="23" spans="1:7" x14ac:dyDescent="0.25">
      <c r="A23">
        <v>30</v>
      </c>
      <c r="B23" t="s">
        <v>7</v>
      </c>
      <c r="C23">
        <v>32.4</v>
      </c>
      <c r="D23">
        <v>1</v>
      </c>
      <c r="E23" t="s">
        <v>11</v>
      </c>
      <c r="F23" t="s">
        <v>9</v>
      </c>
      <c r="G23">
        <v>4149.7359999999999</v>
      </c>
    </row>
    <row r="24" spans="1:7" x14ac:dyDescent="0.25">
      <c r="A24">
        <v>18</v>
      </c>
      <c r="B24" t="s">
        <v>10</v>
      </c>
      <c r="C24">
        <v>34.1</v>
      </c>
      <c r="D24">
        <v>0</v>
      </c>
      <c r="E24" t="s">
        <v>11</v>
      </c>
      <c r="F24" t="s">
        <v>12</v>
      </c>
      <c r="G24">
        <v>1137.011</v>
      </c>
    </row>
    <row r="25" spans="1:7" x14ac:dyDescent="0.25">
      <c r="A25">
        <v>34</v>
      </c>
      <c r="B25" t="s">
        <v>7</v>
      </c>
      <c r="C25">
        <v>31.92</v>
      </c>
      <c r="D25">
        <v>1</v>
      </c>
      <c r="E25" t="s">
        <v>8</v>
      </c>
      <c r="F25" t="s">
        <v>14</v>
      </c>
      <c r="G25">
        <v>37701.876799999998</v>
      </c>
    </row>
    <row r="26" spans="1:7" x14ac:dyDescent="0.25">
      <c r="A26">
        <v>37</v>
      </c>
      <c r="B26" t="s">
        <v>10</v>
      </c>
      <c r="C26">
        <v>28.024999999999999</v>
      </c>
      <c r="D26">
        <v>2</v>
      </c>
      <c r="E26" t="s">
        <v>11</v>
      </c>
      <c r="F26" t="s">
        <v>13</v>
      </c>
      <c r="G26">
        <v>6203.90175</v>
      </c>
    </row>
    <row r="27" spans="1:7" x14ac:dyDescent="0.25">
      <c r="A27">
        <v>59</v>
      </c>
      <c r="B27" t="s">
        <v>7</v>
      </c>
      <c r="C27">
        <v>27.72</v>
      </c>
      <c r="D27">
        <v>3</v>
      </c>
      <c r="E27" t="s">
        <v>11</v>
      </c>
      <c r="F27" t="s">
        <v>12</v>
      </c>
      <c r="G27">
        <v>14001.1338</v>
      </c>
    </row>
    <row r="28" spans="1:7" x14ac:dyDescent="0.25">
      <c r="A28">
        <v>63</v>
      </c>
      <c r="B28" t="s">
        <v>7</v>
      </c>
      <c r="C28">
        <v>23.085000000000001</v>
      </c>
      <c r="D28">
        <v>0</v>
      </c>
      <c r="E28" t="s">
        <v>11</v>
      </c>
      <c r="F28" t="s">
        <v>14</v>
      </c>
      <c r="G28">
        <v>14451.835150000001</v>
      </c>
    </row>
    <row r="29" spans="1:7" x14ac:dyDescent="0.25">
      <c r="A29">
        <v>55</v>
      </c>
      <c r="B29" t="s">
        <v>7</v>
      </c>
      <c r="C29">
        <v>32.774999999999999</v>
      </c>
      <c r="D29">
        <v>2</v>
      </c>
      <c r="E29" t="s">
        <v>11</v>
      </c>
      <c r="F29" t="s">
        <v>13</v>
      </c>
      <c r="G29">
        <v>12268.632250000001</v>
      </c>
    </row>
    <row r="30" spans="1:7" x14ac:dyDescent="0.25">
      <c r="A30">
        <v>23</v>
      </c>
      <c r="B30" t="s">
        <v>10</v>
      </c>
      <c r="C30">
        <v>17.385000000000002</v>
      </c>
      <c r="D30">
        <v>1</v>
      </c>
      <c r="E30" t="s">
        <v>11</v>
      </c>
      <c r="F30" t="s">
        <v>13</v>
      </c>
      <c r="G30">
        <v>2775.1921499999999</v>
      </c>
    </row>
    <row r="31" spans="1:7" x14ac:dyDescent="0.25">
      <c r="A31">
        <v>31</v>
      </c>
      <c r="B31" t="s">
        <v>10</v>
      </c>
      <c r="C31">
        <v>36.299999999999997</v>
      </c>
      <c r="D31">
        <v>2</v>
      </c>
      <c r="E31" t="s">
        <v>8</v>
      </c>
      <c r="F31" t="s">
        <v>9</v>
      </c>
      <c r="G31">
        <v>38711</v>
      </c>
    </row>
    <row r="32" spans="1:7" x14ac:dyDescent="0.25">
      <c r="A32">
        <v>22</v>
      </c>
      <c r="B32" t="s">
        <v>10</v>
      </c>
      <c r="C32">
        <v>35.6</v>
      </c>
      <c r="D32">
        <v>0</v>
      </c>
      <c r="E32" t="s">
        <v>8</v>
      </c>
      <c r="F32" t="s">
        <v>9</v>
      </c>
      <c r="G32">
        <v>35585.576000000001</v>
      </c>
    </row>
    <row r="33" spans="1:7" x14ac:dyDescent="0.25">
      <c r="A33">
        <v>18</v>
      </c>
      <c r="B33" t="s">
        <v>7</v>
      </c>
      <c r="C33">
        <v>26.315000000000001</v>
      </c>
      <c r="D33">
        <v>0</v>
      </c>
      <c r="E33" t="s">
        <v>11</v>
      </c>
      <c r="F33" t="s">
        <v>14</v>
      </c>
      <c r="G33">
        <v>2198.1898500000002</v>
      </c>
    </row>
    <row r="34" spans="1:7" x14ac:dyDescent="0.25">
      <c r="A34">
        <v>19</v>
      </c>
      <c r="B34" t="s">
        <v>7</v>
      </c>
      <c r="C34">
        <v>28.6</v>
      </c>
      <c r="D34">
        <v>5</v>
      </c>
      <c r="E34" t="s">
        <v>11</v>
      </c>
      <c r="F34" t="s">
        <v>9</v>
      </c>
      <c r="G34">
        <v>4687.7969999999996</v>
      </c>
    </row>
    <row r="35" spans="1:7" x14ac:dyDescent="0.25">
      <c r="A35">
        <v>63</v>
      </c>
      <c r="B35" t="s">
        <v>10</v>
      </c>
      <c r="C35">
        <v>28.31</v>
      </c>
      <c r="D35">
        <v>0</v>
      </c>
      <c r="E35" t="s">
        <v>11</v>
      </c>
      <c r="F35" t="s">
        <v>13</v>
      </c>
      <c r="G35">
        <v>13770.097900000001</v>
      </c>
    </row>
    <row r="36" spans="1:7" x14ac:dyDescent="0.25">
      <c r="A36">
        <v>28</v>
      </c>
      <c r="B36" t="s">
        <v>10</v>
      </c>
      <c r="C36">
        <v>36.4</v>
      </c>
      <c r="D36">
        <v>1</v>
      </c>
      <c r="E36" t="s">
        <v>8</v>
      </c>
      <c r="F36" t="s">
        <v>9</v>
      </c>
      <c r="G36">
        <v>51194.559139999998</v>
      </c>
    </row>
    <row r="37" spans="1:7" x14ac:dyDescent="0.25">
      <c r="A37">
        <v>19</v>
      </c>
      <c r="B37" t="s">
        <v>10</v>
      </c>
      <c r="C37">
        <v>20.425000000000001</v>
      </c>
      <c r="D37">
        <v>0</v>
      </c>
      <c r="E37" t="s">
        <v>11</v>
      </c>
      <c r="F37" t="s">
        <v>13</v>
      </c>
      <c r="G37">
        <v>1625.4337499999999</v>
      </c>
    </row>
    <row r="38" spans="1:7" x14ac:dyDescent="0.25">
      <c r="A38">
        <v>62</v>
      </c>
      <c r="B38" t="s">
        <v>7</v>
      </c>
      <c r="C38">
        <v>32.965000000000003</v>
      </c>
      <c r="D38">
        <v>3</v>
      </c>
      <c r="E38" t="s">
        <v>11</v>
      </c>
      <c r="F38" t="s">
        <v>13</v>
      </c>
      <c r="G38">
        <v>15612.19335</v>
      </c>
    </row>
    <row r="39" spans="1:7" x14ac:dyDescent="0.25">
      <c r="A39">
        <v>26</v>
      </c>
      <c r="B39" t="s">
        <v>10</v>
      </c>
      <c r="C39">
        <v>20.8</v>
      </c>
      <c r="D39">
        <v>0</v>
      </c>
      <c r="E39" t="s">
        <v>11</v>
      </c>
      <c r="F39" t="s">
        <v>9</v>
      </c>
      <c r="G39">
        <v>2302.3000000000002</v>
      </c>
    </row>
    <row r="40" spans="1:7" x14ac:dyDescent="0.25">
      <c r="A40">
        <v>35</v>
      </c>
      <c r="B40" t="s">
        <v>10</v>
      </c>
      <c r="C40">
        <v>36.67</v>
      </c>
      <c r="D40">
        <v>1</v>
      </c>
      <c r="E40" t="s">
        <v>8</v>
      </c>
      <c r="F40" t="s">
        <v>14</v>
      </c>
      <c r="G40">
        <v>39774.276299999998</v>
      </c>
    </row>
    <row r="41" spans="1:7" x14ac:dyDescent="0.25">
      <c r="A41">
        <v>60</v>
      </c>
      <c r="B41" t="s">
        <v>10</v>
      </c>
      <c r="C41">
        <v>39.9</v>
      </c>
      <c r="D41">
        <v>0</v>
      </c>
      <c r="E41" t="s">
        <v>8</v>
      </c>
      <c r="F41" t="s">
        <v>9</v>
      </c>
      <c r="G41">
        <v>48173.360999999997</v>
      </c>
    </row>
    <row r="42" spans="1:7" x14ac:dyDescent="0.25">
      <c r="A42">
        <v>24</v>
      </c>
      <c r="B42" t="s">
        <v>7</v>
      </c>
      <c r="C42">
        <v>26.6</v>
      </c>
      <c r="D42">
        <v>0</v>
      </c>
      <c r="E42" t="s">
        <v>11</v>
      </c>
      <c r="F42" t="s">
        <v>14</v>
      </c>
      <c r="G42">
        <v>3046.0619999999999</v>
      </c>
    </row>
    <row r="43" spans="1:7" x14ac:dyDescent="0.25">
      <c r="A43">
        <v>31</v>
      </c>
      <c r="B43" t="s">
        <v>7</v>
      </c>
      <c r="C43">
        <v>36.630000000000003</v>
      </c>
      <c r="D43">
        <v>2</v>
      </c>
      <c r="E43" t="s">
        <v>11</v>
      </c>
      <c r="F43" t="s">
        <v>12</v>
      </c>
      <c r="G43">
        <v>4949.7587000000003</v>
      </c>
    </row>
    <row r="44" spans="1:7" x14ac:dyDescent="0.25">
      <c r="A44">
        <v>41</v>
      </c>
      <c r="B44" t="s">
        <v>10</v>
      </c>
      <c r="C44">
        <v>21.78</v>
      </c>
      <c r="D44">
        <v>1</v>
      </c>
      <c r="E44" t="s">
        <v>11</v>
      </c>
      <c r="F44" t="s">
        <v>12</v>
      </c>
      <c r="G44">
        <v>6272.4772000000003</v>
      </c>
    </row>
    <row r="45" spans="1:7" x14ac:dyDescent="0.25">
      <c r="A45">
        <v>37</v>
      </c>
      <c r="B45" t="s">
        <v>7</v>
      </c>
      <c r="C45">
        <v>30.8</v>
      </c>
      <c r="D45">
        <v>2</v>
      </c>
      <c r="E45" t="s">
        <v>11</v>
      </c>
      <c r="F45" t="s">
        <v>12</v>
      </c>
      <c r="G45">
        <v>6313.759</v>
      </c>
    </row>
    <row r="46" spans="1:7" x14ac:dyDescent="0.25">
      <c r="A46">
        <v>38</v>
      </c>
      <c r="B46" t="s">
        <v>10</v>
      </c>
      <c r="C46">
        <v>37.049999999999997</v>
      </c>
      <c r="D46">
        <v>1</v>
      </c>
      <c r="E46" t="s">
        <v>11</v>
      </c>
      <c r="F46" t="s">
        <v>14</v>
      </c>
      <c r="G46">
        <v>6079.6715000000004</v>
      </c>
    </row>
    <row r="47" spans="1:7" x14ac:dyDescent="0.25">
      <c r="A47">
        <v>55</v>
      </c>
      <c r="B47" t="s">
        <v>10</v>
      </c>
      <c r="C47">
        <v>37.299999999999997</v>
      </c>
      <c r="D47">
        <v>0</v>
      </c>
      <c r="E47" t="s">
        <v>11</v>
      </c>
      <c r="F47" t="s">
        <v>9</v>
      </c>
      <c r="G47">
        <v>20630.283510000001</v>
      </c>
    </row>
    <row r="48" spans="1:7" x14ac:dyDescent="0.25">
      <c r="A48">
        <v>18</v>
      </c>
      <c r="B48" t="s">
        <v>7</v>
      </c>
      <c r="C48">
        <v>38.664999999999999</v>
      </c>
      <c r="D48">
        <v>2</v>
      </c>
      <c r="E48" t="s">
        <v>11</v>
      </c>
      <c r="F48" t="s">
        <v>14</v>
      </c>
      <c r="G48">
        <v>3393.35635</v>
      </c>
    </row>
    <row r="49" spans="1:7" x14ac:dyDescent="0.25">
      <c r="A49">
        <v>28</v>
      </c>
      <c r="B49" t="s">
        <v>7</v>
      </c>
      <c r="C49">
        <v>34.770000000000003</v>
      </c>
      <c r="D49">
        <v>0</v>
      </c>
      <c r="E49" t="s">
        <v>11</v>
      </c>
      <c r="F49" t="s">
        <v>13</v>
      </c>
      <c r="G49">
        <v>3556.9223000000002</v>
      </c>
    </row>
    <row r="50" spans="1:7" x14ac:dyDescent="0.25">
      <c r="A50">
        <v>60</v>
      </c>
      <c r="B50" t="s">
        <v>7</v>
      </c>
      <c r="C50">
        <v>24.53</v>
      </c>
      <c r="D50">
        <v>0</v>
      </c>
      <c r="E50" t="s">
        <v>11</v>
      </c>
      <c r="F50" t="s">
        <v>12</v>
      </c>
      <c r="G50">
        <v>12629.896699999999</v>
      </c>
    </row>
    <row r="51" spans="1:7" x14ac:dyDescent="0.25">
      <c r="A51">
        <v>36</v>
      </c>
      <c r="B51" t="s">
        <v>10</v>
      </c>
      <c r="C51">
        <v>35.200000000000003</v>
      </c>
      <c r="D51">
        <v>1</v>
      </c>
      <c r="E51" t="s">
        <v>8</v>
      </c>
      <c r="F51" t="s">
        <v>12</v>
      </c>
      <c r="G51">
        <v>38709.175999999999</v>
      </c>
    </row>
    <row r="52" spans="1:7" x14ac:dyDescent="0.25">
      <c r="A52">
        <v>18</v>
      </c>
      <c r="B52" t="s">
        <v>7</v>
      </c>
      <c r="C52">
        <v>35.625</v>
      </c>
      <c r="D52">
        <v>0</v>
      </c>
      <c r="E52" t="s">
        <v>11</v>
      </c>
      <c r="F52" t="s">
        <v>14</v>
      </c>
      <c r="G52">
        <v>2211.1307499999998</v>
      </c>
    </row>
    <row r="53" spans="1:7" x14ac:dyDescent="0.25">
      <c r="A53">
        <v>21</v>
      </c>
      <c r="B53" t="s">
        <v>7</v>
      </c>
      <c r="C53">
        <v>33.630000000000003</v>
      </c>
      <c r="D53">
        <v>2</v>
      </c>
      <c r="E53" t="s">
        <v>11</v>
      </c>
      <c r="F53" t="s">
        <v>13</v>
      </c>
      <c r="G53">
        <v>3579.8287</v>
      </c>
    </row>
    <row r="54" spans="1:7" x14ac:dyDescent="0.25">
      <c r="A54">
        <v>48</v>
      </c>
      <c r="B54" t="s">
        <v>10</v>
      </c>
      <c r="C54">
        <v>28</v>
      </c>
      <c r="D54">
        <v>1</v>
      </c>
      <c r="E54" t="s">
        <v>8</v>
      </c>
      <c r="F54" t="s">
        <v>9</v>
      </c>
      <c r="G54">
        <v>23568.272000000001</v>
      </c>
    </row>
    <row r="55" spans="1:7" x14ac:dyDescent="0.25">
      <c r="A55">
        <v>36</v>
      </c>
      <c r="B55" t="s">
        <v>10</v>
      </c>
      <c r="C55">
        <v>34.43</v>
      </c>
      <c r="D55">
        <v>0</v>
      </c>
      <c r="E55" t="s">
        <v>8</v>
      </c>
      <c r="F55" t="s">
        <v>12</v>
      </c>
      <c r="G55">
        <v>37742.575700000001</v>
      </c>
    </row>
    <row r="56" spans="1:7" x14ac:dyDescent="0.25">
      <c r="A56">
        <v>40</v>
      </c>
      <c r="B56" t="s">
        <v>7</v>
      </c>
      <c r="C56">
        <v>28.69</v>
      </c>
      <c r="D56">
        <v>3</v>
      </c>
      <c r="E56" t="s">
        <v>11</v>
      </c>
      <c r="F56" t="s">
        <v>13</v>
      </c>
      <c r="G56">
        <v>8059.6791000000003</v>
      </c>
    </row>
    <row r="57" spans="1:7" x14ac:dyDescent="0.25">
      <c r="A57">
        <v>58</v>
      </c>
      <c r="B57" t="s">
        <v>10</v>
      </c>
      <c r="C57">
        <v>36.954999999999998</v>
      </c>
      <c r="D57">
        <v>2</v>
      </c>
      <c r="E57" t="s">
        <v>8</v>
      </c>
      <c r="F57" t="s">
        <v>13</v>
      </c>
      <c r="G57">
        <v>47496.494449999998</v>
      </c>
    </row>
    <row r="58" spans="1:7" x14ac:dyDescent="0.25">
      <c r="A58">
        <v>58</v>
      </c>
      <c r="B58" t="s">
        <v>7</v>
      </c>
      <c r="C58">
        <v>31.824999999999999</v>
      </c>
      <c r="D58">
        <v>2</v>
      </c>
      <c r="E58" t="s">
        <v>11</v>
      </c>
      <c r="F58" t="s">
        <v>14</v>
      </c>
      <c r="G58">
        <v>13607.36875</v>
      </c>
    </row>
    <row r="59" spans="1:7" x14ac:dyDescent="0.25">
      <c r="A59">
        <v>18</v>
      </c>
      <c r="B59" t="s">
        <v>10</v>
      </c>
      <c r="C59">
        <v>31.68</v>
      </c>
      <c r="D59">
        <v>2</v>
      </c>
      <c r="E59" t="s">
        <v>8</v>
      </c>
      <c r="F59" t="s">
        <v>12</v>
      </c>
      <c r="G59">
        <v>34303.167200000004</v>
      </c>
    </row>
    <row r="60" spans="1:7" x14ac:dyDescent="0.25">
      <c r="A60">
        <v>53</v>
      </c>
      <c r="B60" t="s">
        <v>7</v>
      </c>
      <c r="C60">
        <v>22.88</v>
      </c>
      <c r="D60">
        <v>1</v>
      </c>
      <c r="E60" t="s">
        <v>8</v>
      </c>
      <c r="F60" t="s">
        <v>12</v>
      </c>
      <c r="G60">
        <v>23244.790199999999</v>
      </c>
    </row>
    <row r="61" spans="1:7" x14ac:dyDescent="0.25">
      <c r="A61">
        <v>34</v>
      </c>
      <c r="B61" t="s">
        <v>7</v>
      </c>
      <c r="C61">
        <v>37.335000000000001</v>
      </c>
      <c r="D61">
        <v>2</v>
      </c>
      <c r="E61" t="s">
        <v>11</v>
      </c>
      <c r="F61" t="s">
        <v>13</v>
      </c>
      <c r="G61">
        <v>5989.5236500000001</v>
      </c>
    </row>
    <row r="62" spans="1:7" x14ac:dyDescent="0.25">
      <c r="A62">
        <v>43</v>
      </c>
      <c r="B62" t="s">
        <v>10</v>
      </c>
      <c r="C62">
        <v>27.36</v>
      </c>
      <c r="D62">
        <v>3</v>
      </c>
      <c r="E62" t="s">
        <v>11</v>
      </c>
      <c r="F62" t="s">
        <v>14</v>
      </c>
      <c r="G62">
        <v>8606.2173999999995</v>
      </c>
    </row>
    <row r="63" spans="1:7" x14ac:dyDescent="0.25">
      <c r="A63">
        <v>25</v>
      </c>
      <c r="B63" t="s">
        <v>10</v>
      </c>
      <c r="C63">
        <v>33.659999999999997</v>
      </c>
      <c r="D63">
        <v>4</v>
      </c>
      <c r="E63" t="s">
        <v>11</v>
      </c>
      <c r="F63" t="s">
        <v>12</v>
      </c>
      <c r="G63">
        <v>4504.6624000000002</v>
      </c>
    </row>
    <row r="64" spans="1:7" x14ac:dyDescent="0.25">
      <c r="A64">
        <v>64</v>
      </c>
      <c r="B64" t="s">
        <v>10</v>
      </c>
      <c r="C64">
        <v>24.7</v>
      </c>
      <c r="D64">
        <v>1</v>
      </c>
      <c r="E64" t="s">
        <v>11</v>
      </c>
      <c r="F64" t="s">
        <v>13</v>
      </c>
      <c r="G64">
        <v>30166.618170000002</v>
      </c>
    </row>
    <row r="65" spans="1:7" x14ac:dyDescent="0.25">
      <c r="A65">
        <v>28</v>
      </c>
      <c r="B65" t="s">
        <v>7</v>
      </c>
      <c r="C65">
        <v>25.934999999999999</v>
      </c>
      <c r="D65">
        <v>1</v>
      </c>
      <c r="E65" t="s">
        <v>11</v>
      </c>
      <c r="F65" t="s">
        <v>13</v>
      </c>
      <c r="G65">
        <v>4133.6416499999996</v>
      </c>
    </row>
    <row r="66" spans="1:7" x14ac:dyDescent="0.25">
      <c r="A66">
        <v>20</v>
      </c>
      <c r="B66" t="s">
        <v>7</v>
      </c>
      <c r="C66">
        <v>22.42</v>
      </c>
      <c r="D66">
        <v>0</v>
      </c>
      <c r="E66" t="s">
        <v>8</v>
      </c>
      <c r="F66" t="s">
        <v>13</v>
      </c>
      <c r="G66">
        <v>14711.7438</v>
      </c>
    </row>
    <row r="67" spans="1:7" x14ac:dyDescent="0.25">
      <c r="A67">
        <v>19</v>
      </c>
      <c r="B67" t="s">
        <v>7</v>
      </c>
      <c r="C67">
        <v>28.9</v>
      </c>
      <c r="D67">
        <v>0</v>
      </c>
      <c r="E67" t="s">
        <v>11</v>
      </c>
      <c r="F67" t="s">
        <v>9</v>
      </c>
      <c r="G67">
        <v>1743.2139999999999</v>
      </c>
    </row>
    <row r="68" spans="1:7" x14ac:dyDescent="0.25">
      <c r="A68">
        <v>61</v>
      </c>
      <c r="B68" t="s">
        <v>7</v>
      </c>
      <c r="C68">
        <v>39.1</v>
      </c>
      <c r="D68">
        <v>2</v>
      </c>
      <c r="E68" t="s">
        <v>11</v>
      </c>
      <c r="F68" t="s">
        <v>9</v>
      </c>
      <c r="G68">
        <v>14235.072</v>
      </c>
    </row>
    <row r="69" spans="1:7" x14ac:dyDescent="0.25">
      <c r="A69">
        <v>40</v>
      </c>
      <c r="B69" t="s">
        <v>10</v>
      </c>
      <c r="C69">
        <v>26.315000000000001</v>
      </c>
      <c r="D69">
        <v>1</v>
      </c>
      <c r="E69" t="s">
        <v>11</v>
      </c>
      <c r="F69" t="s">
        <v>13</v>
      </c>
      <c r="G69">
        <v>6389.3778499999999</v>
      </c>
    </row>
    <row r="70" spans="1:7" x14ac:dyDescent="0.25">
      <c r="A70">
        <v>40</v>
      </c>
      <c r="B70" t="s">
        <v>7</v>
      </c>
      <c r="C70">
        <v>36.19</v>
      </c>
      <c r="D70">
        <v>0</v>
      </c>
      <c r="E70" t="s">
        <v>11</v>
      </c>
      <c r="F70" t="s">
        <v>12</v>
      </c>
      <c r="G70">
        <v>5920.1040999999996</v>
      </c>
    </row>
    <row r="71" spans="1:7" x14ac:dyDescent="0.25">
      <c r="A71">
        <v>28</v>
      </c>
      <c r="B71" t="s">
        <v>10</v>
      </c>
      <c r="C71">
        <v>23.98</v>
      </c>
      <c r="D71">
        <v>3</v>
      </c>
      <c r="E71" t="s">
        <v>8</v>
      </c>
      <c r="F71" t="s">
        <v>12</v>
      </c>
      <c r="G71">
        <v>17663.144199999999</v>
      </c>
    </row>
    <row r="72" spans="1:7" x14ac:dyDescent="0.25">
      <c r="A72">
        <v>27</v>
      </c>
      <c r="B72" t="s">
        <v>7</v>
      </c>
      <c r="C72">
        <v>24.75</v>
      </c>
      <c r="D72">
        <v>0</v>
      </c>
      <c r="E72" t="s">
        <v>8</v>
      </c>
      <c r="F72" t="s">
        <v>12</v>
      </c>
      <c r="G72">
        <v>16577.779500000001</v>
      </c>
    </row>
    <row r="73" spans="1:7" x14ac:dyDescent="0.25">
      <c r="A73">
        <v>31</v>
      </c>
      <c r="B73" t="s">
        <v>10</v>
      </c>
      <c r="C73">
        <v>28.5</v>
      </c>
      <c r="D73">
        <v>5</v>
      </c>
      <c r="E73" t="s">
        <v>11</v>
      </c>
      <c r="F73" t="s">
        <v>14</v>
      </c>
      <c r="G73">
        <v>6799.4579999999996</v>
      </c>
    </row>
    <row r="74" spans="1:7" x14ac:dyDescent="0.25">
      <c r="A74">
        <v>53</v>
      </c>
      <c r="B74" t="s">
        <v>7</v>
      </c>
      <c r="C74">
        <v>28.1</v>
      </c>
      <c r="D74">
        <v>3</v>
      </c>
      <c r="E74" t="s">
        <v>11</v>
      </c>
      <c r="F74" t="s">
        <v>9</v>
      </c>
      <c r="G74">
        <v>11741.726000000001</v>
      </c>
    </row>
    <row r="75" spans="1:7" x14ac:dyDescent="0.25">
      <c r="A75">
        <v>58</v>
      </c>
      <c r="B75" t="s">
        <v>10</v>
      </c>
      <c r="C75">
        <v>32.01</v>
      </c>
      <c r="D75">
        <v>1</v>
      </c>
      <c r="E75" t="s">
        <v>11</v>
      </c>
      <c r="F75" t="s">
        <v>12</v>
      </c>
      <c r="G75">
        <v>11946.625899999999</v>
      </c>
    </row>
    <row r="76" spans="1:7" x14ac:dyDescent="0.25">
      <c r="A76">
        <v>44</v>
      </c>
      <c r="B76" t="s">
        <v>10</v>
      </c>
      <c r="C76">
        <v>27.4</v>
      </c>
      <c r="D76">
        <v>2</v>
      </c>
      <c r="E76" t="s">
        <v>11</v>
      </c>
      <c r="F76" t="s">
        <v>9</v>
      </c>
      <c r="G76">
        <v>7726.8540000000003</v>
      </c>
    </row>
    <row r="77" spans="1:7" x14ac:dyDescent="0.25">
      <c r="A77">
        <v>57</v>
      </c>
      <c r="B77" t="s">
        <v>10</v>
      </c>
      <c r="C77">
        <v>34.01</v>
      </c>
      <c r="D77">
        <v>0</v>
      </c>
      <c r="E77" t="s">
        <v>11</v>
      </c>
      <c r="F77" t="s">
        <v>13</v>
      </c>
      <c r="G77">
        <v>11356.660900000001</v>
      </c>
    </row>
    <row r="78" spans="1:7" x14ac:dyDescent="0.25">
      <c r="A78">
        <v>29</v>
      </c>
      <c r="B78" t="s">
        <v>7</v>
      </c>
      <c r="C78">
        <v>29.59</v>
      </c>
      <c r="D78">
        <v>1</v>
      </c>
      <c r="E78" t="s">
        <v>11</v>
      </c>
      <c r="F78" t="s">
        <v>12</v>
      </c>
      <c r="G78">
        <v>3947.4131000000002</v>
      </c>
    </row>
    <row r="79" spans="1:7" x14ac:dyDescent="0.25">
      <c r="A79">
        <v>21</v>
      </c>
      <c r="B79" t="s">
        <v>10</v>
      </c>
      <c r="C79">
        <v>35.53</v>
      </c>
      <c r="D79">
        <v>0</v>
      </c>
      <c r="E79" t="s">
        <v>11</v>
      </c>
      <c r="F79" t="s">
        <v>12</v>
      </c>
      <c r="G79">
        <v>1532.4697000000001</v>
      </c>
    </row>
    <row r="80" spans="1:7" x14ac:dyDescent="0.25">
      <c r="A80">
        <v>22</v>
      </c>
      <c r="B80" t="s">
        <v>7</v>
      </c>
      <c r="C80">
        <v>39.805</v>
      </c>
      <c r="D80">
        <v>0</v>
      </c>
      <c r="E80" t="s">
        <v>11</v>
      </c>
      <c r="F80" t="s">
        <v>14</v>
      </c>
      <c r="G80">
        <v>2755.0209500000001</v>
      </c>
    </row>
    <row r="81" spans="1:7" x14ac:dyDescent="0.25">
      <c r="A81">
        <v>41</v>
      </c>
      <c r="B81" t="s">
        <v>7</v>
      </c>
      <c r="C81">
        <v>32.965000000000003</v>
      </c>
      <c r="D81">
        <v>0</v>
      </c>
      <c r="E81" t="s">
        <v>11</v>
      </c>
      <c r="F81" t="s">
        <v>13</v>
      </c>
      <c r="G81">
        <v>6571.0243499999997</v>
      </c>
    </row>
    <row r="82" spans="1:7" x14ac:dyDescent="0.25">
      <c r="A82">
        <v>31</v>
      </c>
      <c r="B82" t="s">
        <v>10</v>
      </c>
      <c r="C82">
        <v>26.885000000000002</v>
      </c>
      <c r="D82">
        <v>1</v>
      </c>
      <c r="E82" t="s">
        <v>11</v>
      </c>
      <c r="F82" t="s">
        <v>14</v>
      </c>
      <c r="G82">
        <v>4441.2131499999996</v>
      </c>
    </row>
    <row r="83" spans="1:7" x14ac:dyDescent="0.25">
      <c r="A83">
        <v>45</v>
      </c>
      <c r="B83" t="s">
        <v>7</v>
      </c>
      <c r="C83">
        <v>38.284999999999997</v>
      </c>
      <c r="D83">
        <v>0</v>
      </c>
      <c r="E83" t="s">
        <v>11</v>
      </c>
      <c r="F83" t="s">
        <v>14</v>
      </c>
      <c r="G83">
        <v>7935.29115</v>
      </c>
    </row>
    <row r="84" spans="1:7" x14ac:dyDescent="0.25">
      <c r="A84">
        <v>22</v>
      </c>
      <c r="B84" t="s">
        <v>10</v>
      </c>
      <c r="C84">
        <v>37.619999999999997</v>
      </c>
      <c r="D84">
        <v>1</v>
      </c>
      <c r="E84" t="s">
        <v>8</v>
      </c>
      <c r="F84" t="s">
        <v>12</v>
      </c>
      <c r="G84">
        <v>37165.163800000002</v>
      </c>
    </row>
    <row r="85" spans="1:7" x14ac:dyDescent="0.25">
      <c r="A85">
        <v>48</v>
      </c>
      <c r="B85" t="s">
        <v>7</v>
      </c>
      <c r="C85">
        <v>41.23</v>
      </c>
      <c r="D85">
        <v>4</v>
      </c>
      <c r="E85" t="s">
        <v>11</v>
      </c>
      <c r="F85" t="s">
        <v>13</v>
      </c>
      <c r="G85">
        <v>11033.661700000001</v>
      </c>
    </row>
    <row r="86" spans="1:7" x14ac:dyDescent="0.25">
      <c r="A86">
        <v>37</v>
      </c>
      <c r="B86" t="s">
        <v>7</v>
      </c>
      <c r="C86">
        <v>34.799999999999997</v>
      </c>
      <c r="D86">
        <v>2</v>
      </c>
      <c r="E86" t="s">
        <v>8</v>
      </c>
      <c r="F86" t="s">
        <v>9</v>
      </c>
      <c r="G86">
        <v>39836.519</v>
      </c>
    </row>
    <row r="87" spans="1:7" x14ac:dyDescent="0.25">
      <c r="A87">
        <v>45</v>
      </c>
      <c r="B87" t="s">
        <v>10</v>
      </c>
      <c r="C87">
        <v>22.895</v>
      </c>
      <c r="D87">
        <v>2</v>
      </c>
      <c r="E87" t="s">
        <v>8</v>
      </c>
      <c r="F87" t="s">
        <v>13</v>
      </c>
      <c r="G87">
        <v>21098.554049999999</v>
      </c>
    </row>
    <row r="88" spans="1:7" x14ac:dyDescent="0.25">
      <c r="A88">
        <v>57</v>
      </c>
      <c r="B88" t="s">
        <v>7</v>
      </c>
      <c r="C88">
        <v>31.16</v>
      </c>
      <c r="D88">
        <v>0</v>
      </c>
      <c r="E88" t="s">
        <v>8</v>
      </c>
      <c r="F88" t="s">
        <v>13</v>
      </c>
      <c r="G88">
        <v>43578.939400000003</v>
      </c>
    </row>
    <row r="89" spans="1:7" x14ac:dyDescent="0.25">
      <c r="A89">
        <v>56</v>
      </c>
      <c r="B89" t="s">
        <v>7</v>
      </c>
      <c r="C89">
        <v>27.2</v>
      </c>
      <c r="D89">
        <v>0</v>
      </c>
      <c r="E89" t="s">
        <v>11</v>
      </c>
      <c r="F89" t="s">
        <v>9</v>
      </c>
      <c r="G89">
        <v>11073.175999999999</v>
      </c>
    </row>
    <row r="90" spans="1:7" x14ac:dyDescent="0.25">
      <c r="A90">
        <v>46</v>
      </c>
      <c r="B90" t="s">
        <v>7</v>
      </c>
      <c r="C90">
        <v>27.74</v>
      </c>
      <c r="D90">
        <v>0</v>
      </c>
      <c r="E90" t="s">
        <v>11</v>
      </c>
      <c r="F90" t="s">
        <v>13</v>
      </c>
      <c r="G90">
        <v>8026.6665999999996</v>
      </c>
    </row>
    <row r="91" spans="1:7" x14ac:dyDescent="0.25">
      <c r="A91">
        <v>55</v>
      </c>
      <c r="B91" t="s">
        <v>7</v>
      </c>
      <c r="C91">
        <v>26.98</v>
      </c>
      <c r="D91">
        <v>0</v>
      </c>
      <c r="E91" t="s">
        <v>11</v>
      </c>
      <c r="F91" t="s">
        <v>13</v>
      </c>
      <c r="G91">
        <v>11082.5772</v>
      </c>
    </row>
    <row r="92" spans="1:7" x14ac:dyDescent="0.25">
      <c r="A92">
        <v>21</v>
      </c>
      <c r="B92" t="s">
        <v>7</v>
      </c>
      <c r="C92">
        <v>39.49</v>
      </c>
      <c r="D92">
        <v>0</v>
      </c>
      <c r="E92" t="s">
        <v>11</v>
      </c>
      <c r="F92" t="s">
        <v>12</v>
      </c>
      <c r="G92">
        <v>2026.9740999999999</v>
      </c>
    </row>
    <row r="93" spans="1:7" x14ac:dyDescent="0.25">
      <c r="A93">
        <v>53</v>
      </c>
      <c r="B93" t="s">
        <v>7</v>
      </c>
      <c r="C93">
        <v>24.795000000000002</v>
      </c>
      <c r="D93">
        <v>1</v>
      </c>
      <c r="E93" t="s">
        <v>11</v>
      </c>
      <c r="F93" t="s">
        <v>13</v>
      </c>
      <c r="G93">
        <v>10942.13205</v>
      </c>
    </row>
    <row r="94" spans="1:7" x14ac:dyDescent="0.25">
      <c r="A94">
        <v>59</v>
      </c>
      <c r="B94" t="s">
        <v>10</v>
      </c>
      <c r="C94">
        <v>29.83</v>
      </c>
      <c r="D94">
        <v>3</v>
      </c>
      <c r="E94" t="s">
        <v>8</v>
      </c>
      <c r="F94" t="s">
        <v>14</v>
      </c>
      <c r="G94">
        <v>30184.936699999998</v>
      </c>
    </row>
    <row r="95" spans="1:7" x14ac:dyDescent="0.25">
      <c r="A95">
        <v>35</v>
      </c>
      <c r="B95" t="s">
        <v>10</v>
      </c>
      <c r="C95">
        <v>34.770000000000003</v>
      </c>
      <c r="D95">
        <v>2</v>
      </c>
      <c r="E95" t="s">
        <v>11</v>
      </c>
      <c r="F95" t="s">
        <v>13</v>
      </c>
      <c r="G95">
        <v>5729.0052999999998</v>
      </c>
    </row>
    <row r="96" spans="1:7" x14ac:dyDescent="0.25">
      <c r="A96">
        <v>64</v>
      </c>
      <c r="B96" t="s">
        <v>7</v>
      </c>
      <c r="C96">
        <v>31.3</v>
      </c>
      <c r="D96">
        <v>2</v>
      </c>
      <c r="E96" t="s">
        <v>8</v>
      </c>
      <c r="F96" t="s">
        <v>9</v>
      </c>
      <c r="G96">
        <v>47291.055</v>
      </c>
    </row>
    <row r="97" spans="1:7" x14ac:dyDescent="0.25">
      <c r="A97">
        <v>28</v>
      </c>
      <c r="B97" t="s">
        <v>7</v>
      </c>
      <c r="C97">
        <v>37.619999999999997</v>
      </c>
      <c r="D97">
        <v>1</v>
      </c>
      <c r="E97" t="s">
        <v>11</v>
      </c>
      <c r="F97" t="s">
        <v>12</v>
      </c>
      <c r="G97">
        <v>3766.8838000000001</v>
      </c>
    </row>
    <row r="98" spans="1:7" x14ac:dyDescent="0.25">
      <c r="A98">
        <v>54</v>
      </c>
      <c r="B98" t="s">
        <v>7</v>
      </c>
      <c r="C98">
        <v>30.8</v>
      </c>
      <c r="D98">
        <v>3</v>
      </c>
      <c r="E98" t="s">
        <v>11</v>
      </c>
      <c r="F98" t="s">
        <v>9</v>
      </c>
      <c r="G98">
        <v>12105.32</v>
      </c>
    </row>
    <row r="99" spans="1:7" x14ac:dyDescent="0.25">
      <c r="A99">
        <v>55</v>
      </c>
      <c r="B99" t="s">
        <v>10</v>
      </c>
      <c r="C99">
        <v>38.28</v>
      </c>
      <c r="D99">
        <v>0</v>
      </c>
      <c r="E99" t="s">
        <v>11</v>
      </c>
      <c r="F99" t="s">
        <v>12</v>
      </c>
      <c r="G99">
        <v>10226.2842</v>
      </c>
    </row>
    <row r="100" spans="1:7" x14ac:dyDescent="0.25">
      <c r="A100">
        <v>56</v>
      </c>
      <c r="B100" t="s">
        <v>10</v>
      </c>
      <c r="C100">
        <v>19.95</v>
      </c>
      <c r="D100">
        <v>0</v>
      </c>
      <c r="E100" t="s">
        <v>8</v>
      </c>
      <c r="F100" t="s">
        <v>14</v>
      </c>
      <c r="G100">
        <v>22412.648499999999</v>
      </c>
    </row>
    <row r="101" spans="1:7" x14ac:dyDescent="0.25">
      <c r="A101">
        <v>38</v>
      </c>
      <c r="B101" t="s">
        <v>10</v>
      </c>
      <c r="C101">
        <v>19.3</v>
      </c>
      <c r="D101">
        <v>0</v>
      </c>
      <c r="E101" t="s">
        <v>8</v>
      </c>
      <c r="F101" t="s">
        <v>9</v>
      </c>
      <c r="G101">
        <v>15820.699000000001</v>
      </c>
    </row>
    <row r="102" spans="1:7" x14ac:dyDescent="0.25">
      <c r="A102">
        <v>41</v>
      </c>
      <c r="B102" t="s">
        <v>7</v>
      </c>
      <c r="C102">
        <v>31.6</v>
      </c>
      <c r="D102">
        <v>0</v>
      </c>
      <c r="E102" t="s">
        <v>11</v>
      </c>
      <c r="F102" t="s">
        <v>9</v>
      </c>
      <c r="G102">
        <v>6186.1270000000004</v>
      </c>
    </row>
    <row r="103" spans="1:7" x14ac:dyDescent="0.25">
      <c r="A103">
        <v>30</v>
      </c>
      <c r="B103" t="s">
        <v>10</v>
      </c>
      <c r="C103">
        <v>25.46</v>
      </c>
      <c r="D103">
        <v>0</v>
      </c>
      <c r="E103" t="s">
        <v>11</v>
      </c>
      <c r="F103" t="s">
        <v>14</v>
      </c>
      <c r="G103">
        <v>3645.0893999999998</v>
      </c>
    </row>
    <row r="104" spans="1:7" x14ac:dyDescent="0.25">
      <c r="A104">
        <v>18</v>
      </c>
      <c r="B104" t="s">
        <v>7</v>
      </c>
      <c r="C104">
        <v>30.114999999999998</v>
      </c>
      <c r="D104">
        <v>0</v>
      </c>
      <c r="E104" t="s">
        <v>11</v>
      </c>
      <c r="F104" t="s">
        <v>14</v>
      </c>
      <c r="G104">
        <v>21344.846699999998</v>
      </c>
    </row>
    <row r="105" spans="1:7" x14ac:dyDescent="0.25">
      <c r="A105">
        <v>61</v>
      </c>
      <c r="B105" t="s">
        <v>7</v>
      </c>
      <c r="C105">
        <v>29.92</v>
      </c>
      <c r="D105">
        <v>3</v>
      </c>
      <c r="E105" t="s">
        <v>8</v>
      </c>
      <c r="F105" t="s">
        <v>12</v>
      </c>
      <c r="G105">
        <v>30942.191800000001</v>
      </c>
    </row>
    <row r="106" spans="1:7" x14ac:dyDescent="0.25">
      <c r="A106">
        <v>34</v>
      </c>
      <c r="B106" t="s">
        <v>7</v>
      </c>
      <c r="C106">
        <v>27.5</v>
      </c>
      <c r="D106">
        <v>1</v>
      </c>
      <c r="E106" t="s">
        <v>11</v>
      </c>
      <c r="F106" t="s">
        <v>9</v>
      </c>
      <c r="G106">
        <v>5003.8530000000001</v>
      </c>
    </row>
    <row r="107" spans="1:7" x14ac:dyDescent="0.25">
      <c r="A107">
        <v>20</v>
      </c>
      <c r="B107" t="s">
        <v>10</v>
      </c>
      <c r="C107">
        <v>28.024999999999999</v>
      </c>
      <c r="D107">
        <v>1</v>
      </c>
      <c r="E107" t="s">
        <v>8</v>
      </c>
      <c r="F107" t="s">
        <v>13</v>
      </c>
      <c r="G107">
        <v>17560.37975</v>
      </c>
    </row>
    <row r="108" spans="1:7" x14ac:dyDescent="0.25">
      <c r="A108">
        <v>19</v>
      </c>
      <c r="B108" t="s">
        <v>7</v>
      </c>
      <c r="C108">
        <v>28.4</v>
      </c>
      <c r="D108">
        <v>1</v>
      </c>
      <c r="E108" t="s">
        <v>11</v>
      </c>
      <c r="F108" t="s">
        <v>9</v>
      </c>
      <c r="G108">
        <v>2331.5189999999998</v>
      </c>
    </row>
    <row r="109" spans="1:7" x14ac:dyDescent="0.25">
      <c r="A109">
        <v>26</v>
      </c>
      <c r="B109" t="s">
        <v>10</v>
      </c>
      <c r="C109">
        <v>30.875</v>
      </c>
      <c r="D109">
        <v>2</v>
      </c>
      <c r="E109" t="s">
        <v>11</v>
      </c>
      <c r="F109" t="s">
        <v>13</v>
      </c>
      <c r="G109">
        <v>3877.3042500000001</v>
      </c>
    </row>
    <row r="110" spans="1:7" x14ac:dyDescent="0.25">
      <c r="A110">
        <v>29</v>
      </c>
      <c r="B110" t="s">
        <v>10</v>
      </c>
      <c r="C110">
        <v>27.94</v>
      </c>
      <c r="D110">
        <v>0</v>
      </c>
      <c r="E110" t="s">
        <v>11</v>
      </c>
      <c r="F110" t="s">
        <v>12</v>
      </c>
      <c r="G110">
        <v>2867.1196</v>
      </c>
    </row>
    <row r="111" spans="1:7" x14ac:dyDescent="0.25">
      <c r="A111">
        <v>63</v>
      </c>
      <c r="B111" t="s">
        <v>10</v>
      </c>
      <c r="C111">
        <v>35.090000000000003</v>
      </c>
      <c r="D111">
        <v>0</v>
      </c>
      <c r="E111" t="s">
        <v>8</v>
      </c>
      <c r="F111" t="s">
        <v>12</v>
      </c>
      <c r="G111">
        <v>47055.532099999997</v>
      </c>
    </row>
    <row r="112" spans="1:7" x14ac:dyDescent="0.25">
      <c r="A112">
        <v>54</v>
      </c>
      <c r="B112" t="s">
        <v>10</v>
      </c>
      <c r="C112">
        <v>33.630000000000003</v>
      </c>
      <c r="D112">
        <v>1</v>
      </c>
      <c r="E112" t="s">
        <v>11</v>
      </c>
      <c r="F112" t="s">
        <v>13</v>
      </c>
      <c r="G112">
        <v>10825.253699999999</v>
      </c>
    </row>
    <row r="113" spans="1:7" x14ac:dyDescent="0.25">
      <c r="A113">
        <v>55</v>
      </c>
      <c r="B113" t="s">
        <v>7</v>
      </c>
      <c r="C113">
        <v>29.7</v>
      </c>
      <c r="D113">
        <v>2</v>
      </c>
      <c r="E113" t="s">
        <v>11</v>
      </c>
      <c r="F113" t="s">
        <v>9</v>
      </c>
      <c r="G113">
        <v>11881.358</v>
      </c>
    </row>
    <row r="114" spans="1:7" x14ac:dyDescent="0.25">
      <c r="A114">
        <v>37</v>
      </c>
      <c r="B114" t="s">
        <v>10</v>
      </c>
      <c r="C114">
        <v>30.8</v>
      </c>
      <c r="D114">
        <v>0</v>
      </c>
      <c r="E114" t="s">
        <v>11</v>
      </c>
      <c r="F114" t="s">
        <v>9</v>
      </c>
      <c r="G114">
        <v>4646.759</v>
      </c>
    </row>
    <row r="115" spans="1:7" x14ac:dyDescent="0.25">
      <c r="A115">
        <v>21</v>
      </c>
      <c r="B115" t="s">
        <v>7</v>
      </c>
      <c r="C115">
        <v>35.72</v>
      </c>
      <c r="D115">
        <v>0</v>
      </c>
      <c r="E115" t="s">
        <v>11</v>
      </c>
      <c r="F115" t="s">
        <v>13</v>
      </c>
      <c r="G115">
        <v>2404.7338</v>
      </c>
    </row>
    <row r="116" spans="1:7" x14ac:dyDescent="0.25">
      <c r="A116">
        <v>52</v>
      </c>
      <c r="B116" t="s">
        <v>10</v>
      </c>
      <c r="C116">
        <v>32.204999999999998</v>
      </c>
      <c r="D116">
        <v>3</v>
      </c>
      <c r="E116" t="s">
        <v>11</v>
      </c>
      <c r="F116" t="s">
        <v>14</v>
      </c>
      <c r="G116">
        <v>11488.31695</v>
      </c>
    </row>
    <row r="117" spans="1:7" x14ac:dyDescent="0.25">
      <c r="A117">
        <v>60</v>
      </c>
      <c r="B117" t="s">
        <v>10</v>
      </c>
      <c r="C117">
        <v>28.594999999999999</v>
      </c>
      <c r="D117">
        <v>0</v>
      </c>
      <c r="E117" t="s">
        <v>11</v>
      </c>
      <c r="F117" t="s">
        <v>14</v>
      </c>
      <c r="G117">
        <v>30259.995559999999</v>
      </c>
    </row>
    <row r="118" spans="1:7" x14ac:dyDescent="0.25">
      <c r="A118">
        <v>58</v>
      </c>
      <c r="B118" t="s">
        <v>10</v>
      </c>
      <c r="C118">
        <v>49.06</v>
      </c>
      <c r="D118">
        <v>0</v>
      </c>
      <c r="E118" t="s">
        <v>11</v>
      </c>
      <c r="F118" t="s">
        <v>12</v>
      </c>
      <c r="G118">
        <v>11381.3254</v>
      </c>
    </row>
    <row r="119" spans="1:7" x14ac:dyDescent="0.25">
      <c r="A119">
        <v>29</v>
      </c>
      <c r="B119" t="s">
        <v>7</v>
      </c>
      <c r="C119">
        <v>27.94</v>
      </c>
      <c r="D119">
        <v>1</v>
      </c>
      <c r="E119" t="s">
        <v>8</v>
      </c>
      <c r="F119" t="s">
        <v>12</v>
      </c>
      <c r="G119">
        <v>19107.779600000002</v>
      </c>
    </row>
    <row r="120" spans="1:7" x14ac:dyDescent="0.25">
      <c r="A120">
        <v>49</v>
      </c>
      <c r="B120" t="s">
        <v>7</v>
      </c>
      <c r="C120">
        <v>27.17</v>
      </c>
      <c r="D120">
        <v>0</v>
      </c>
      <c r="E120" t="s">
        <v>11</v>
      </c>
      <c r="F120" t="s">
        <v>12</v>
      </c>
      <c r="G120">
        <v>8601.3292999999994</v>
      </c>
    </row>
    <row r="121" spans="1:7" x14ac:dyDescent="0.25">
      <c r="A121">
        <v>37</v>
      </c>
      <c r="B121" t="s">
        <v>7</v>
      </c>
      <c r="C121">
        <v>23.37</v>
      </c>
      <c r="D121">
        <v>2</v>
      </c>
      <c r="E121" t="s">
        <v>11</v>
      </c>
      <c r="F121" t="s">
        <v>13</v>
      </c>
      <c r="G121">
        <v>6686.4313000000002</v>
      </c>
    </row>
    <row r="122" spans="1:7" x14ac:dyDescent="0.25">
      <c r="A122">
        <v>44</v>
      </c>
      <c r="B122" t="s">
        <v>10</v>
      </c>
      <c r="C122">
        <v>37.1</v>
      </c>
      <c r="D122">
        <v>2</v>
      </c>
      <c r="E122" t="s">
        <v>11</v>
      </c>
      <c r="F122" t="s">
        <v>9</v>
      </c>
      <c r="G122">
        <v>7740.3370000000004</v>
      </c>
    </row>
    <row r="123" spans="1:7" x14ac:dyDescent="0.25">
      <c r="A123">
        <v>18</v>
      </c>
      <c r="B123" t="s">
        <v>10</v>
      </c>
      <c r="C123">
        <v>23.75</v>
      </c>
      <c r="D123">
        <v>0</v>
      </c>
      <c r="E123" t="s">
        <v>11</v>
      </c>
      <c r="F123" t="s">
        <v>14</v>
      </c>
      <c r="G123">
        <v>1705.6244999999999</v>
      </c>
    </row>
    <row r="124" spans="1:7" x14ac:dyDescent="0.25">
      <c r="A124">
        <v>20</v>
      </c>
      <c r="B124" t="s">
        <v>7</v>
      </c>
      <c r="C124">
        <v>28.975000000000001</v>
      </c>
      <c r="D124">
        <v>0</v>
      </c>
      <c r="E124" t="s">
        <v>11</v>
      </c>
      <c r="F124" t="s">
        <v>13</v>
      </c>
      <c r="G124">
        <v>2257.47525</v>
      </c>
    </row>
    <row r="125" spans="1:7" x14ac:dyDescent="0.25">
      <c r="A125">
        <v>44</v>
      </c>
      <c r="B125" t="s">
        <v>10</v>
      </c>
      <c r="C125">
        <v>31.35</v>
      </c>
      <c r="D125">
        <v>1</v>
      </c>
      <c r="E125" t="s">
        <v>8</v>
      </c>
      <c r="F125" t="s">
        <v>14</v>
      </c>
      <c r="G125">
        <v>39556.494500000001</v>
      </c>
    </row>
    <row r="126" spans="1:7" x14ac:dyDescent="0.25">
      <c r="A126">
        <v>47</v>
      </c>
      <c r="B126" t="s">
        <v>7</v>
      </c>
      <c r="C126">
        <v>33.914999999999999</v>
      </c>
      <c r="D126">
        <v>3</v>
      </c>
      <c r="E126" t="s">
        <v>11</v>
      </c>
      <c r="F126" t="s">
        <v>13</v>
      </c>
      <c r="G126">
        <v>10115.00885</v>
      </c>
    </row>
    <row r="127" spans="1:7" x14ac:dyDescent="0.25">
      <c r="A127">
        <v>26</v>
      </c>
      <c r="B127" t="s">
        <v>7</v>
      </c>
      <c r="C127">
        <v>28.785</v>
      </c>
      <c r="D127">
        <v>0</v>
      </c>
      <c r="E127" t="s">
        <v>11</v>
      </c>
      <c r="F127" t="s">
        <v>14</v>
      </c>
      <c r="G127">
        <v>3385.3991500000002</v>
      </c>
    </row>
    <row r="128" spans="1:7" x14ac:dyDescent="0.25">
      <c r="A128">
        <v>19</v>
      </c>
      <c r="B128" t="s">
        <v>7</v>
      </c>
      <c r="C128">
        <v>28.3</v>
      </c>
      <c r="D128">
        <v>0</v>
      </c>
      <c r="E128" t="s">
        <v>8</v>
      </c>
      <c r="F128" t="s">
        <v>9</v>
      </c>
      <c r="G128">
        <v>17081.080000000002</v>
      </c>
    </row>
    <row r="129" spans="1:7" x14ac:dyDescent="0.25">
      <c r="A129">
        <v>52</v>
      </c>
      <c r="B129" t="s">
        <v>7</v>
      </c>
      <c r="C129">
        <v>37.4</v>
      </c>
      <c r="D129">
        <v>0</v>
      </c>
      <c r="E129" t="s">
        <v>11</v>
      </c>
      <c r="F129" t="s">
        <v>9</v>
      </c>
      <c r="G129">
        <v>9634.5380000000005</v>
      </c>
    </row>
    <row r="130" spans="1:7" x14ac:dyDescent="0.25">
      <c r="A130">
        <v>32</v>
      </c>
      <c r="B130" t="s">
        <v>7</v>
      </c>
      <c r="C130">
        <v>17.765000000000001</v>
      </c>
      <c r="D130">
        <v>2</v>
      </c>
      <c r="E130" t="s">
        <v>8</v>
      </c>
      <c r="F130" t="s">
        <v>13</v>
      </c>
      <c r="G130">
        <v>32734.186300000001</v>
      </c>
    </row>
    <row r="131" spans="1:7" x14ac:dyDescent="0.25">
      <c r="A131">
        <v>38</v>
      </c>
      <c r="B131" t="s">
        <v>10</v>
      </c>
      <c r="C131">
        <v>34.700000000000003</v>
      </c>
      <c r="D131">
        <v>2</v>
      </c>
      <c r="E131" t="s">
        <v>11</v>
      </c>
      <c r="F131" t="s">
        <v>9</v>
      </c>
      <c r="G131">
        <v>6082.4049999999997</v>
      </c>
    </row>
    <row r="132" spans="1:7" x14ac:dyDescent="0.25">
      <c r="A132">
        <v>59</v>
      </c>
      <c r="B132" t="s">
        <v>7</v>
      </c>
      <c r="C132">
        <v>26.504999999999999</v>
      </c>
      <c r="D132">
        <v>0</v>
      </c>
      <c r="E132" t="s">
        <v>11</v>
      </c>
      <c r="F132" t="s">
        <v>14</v>
      </c>
      <c r="G132">
        <v>12815.444949999999</v>
      </c>
    </row>
    <row r="133" spans="1:7" x14ac:dyDescent="0.25">
      <c r="A133">
        <v>61</v>
      </c>
      <c r="B133" t="s">
        <v>7</v>
      </c>
      <c r="C133">
        <v>22.04</v>
      </c>
      <c r="D133">
        <v>0</v>
      </c>
      <c r="E133" t="s">
        <v>11</v>
      </c>
      <c r="F133" t="s">
        <v>14</v>
      </c>
      <c r="G133">
        <v>13616.3586</v>
      </c>
    </row>
    <row r="134" spans="1:7" x14ac:dyDescent="0.25">
      <c r="A134">
        <v>53</v>
      </c>
      <c r="B134" t="s">
        <v>7</v>
      </c>
      <c r="C134">
        <v>35.9</v>
      </c>
      <c r="D134">
        <v>2</v>
      </c>
      <c r="E134" t="s">
        <v>11</v>
      </c>
      <c r="F134" t="s">
        <v>9</v>
      </c>
      <c r="G134">
        <v>11163.567999999999</v>
      </c>
    </row>
    <row r="135" spans="1:7" x14ac:dyDescent="0.25">
      <c r="A135">
        <v>19</v>
      </c>
      <c r="B135" t="s">
        <v>10</v>
      </c>
      <c r="C135">
        <v>25.555</v>
      </c>
      <c r="D135">
        <v>0</v>
      </c>
      <c r="E135" t="s">
        <v>11</v>
      </c>
      <c r="F135" t="s">
        <v>13</v>
      </c>
      <c r="G135">
        <v>1632.5644500000001</v>
      </c>
    </row>
    <row r="136" spans="1:7" x14ac:dyDescent="0.25">
      <c r="A136">
        <v>20</v>
      </c>
      <c r="B136" t="s">
        <v>7</v>
      </c>
      <c r="C136">
        <v>28.785</v>
      </c>
      <c r="D136">
        <v>0</v>
      </c>
      <c r="E136" t="s">
        <v>11</v>
      </c>
      <c r="F136" t="s">
        <v>14</v>
      </c>
      <c r="G136">
        <v>2457.2111500000001</v>
      </c>
    </row>
    <row r="137" spans="1:7" x14ac:dyDescent="0.25">
      <c r="A137">
        <v>22</v>
      </c>
      <c r="B137" t="s">
        <v>7</v>
      </c>
      <c r="C137">
        <v>28.05</v>
      </c>
      <c r="D137">
        <v>0</v>
      </c>
      <c r="E137" t="s">
        <v>11</v>
      </c>
      <c r="F137" t="s">
        <v>12</v>
      </c>
      <c r="G137">
        <v>2155.6815000000001</v>
      </c>
    </row>
    <row r="138" spans="1:7" x14ac:dyDescent="0.25">
      <c r="A138">
        <v>19</v>
      </c>
      <c r="B138" t="s">
        <v>10</v>
      </c>
      <c r="C138">
        <v>34.1</v>
      </c>
      <c r="D138">
        <v>0</v>
      </c>
      <c r="E138" t="s">
        <v>11</v>
      </c>
      <c r="F138" t="s">
        <v>9</v>
      </c>
      <c r="G138">
        <v>1261.442</v>
      </c>
    </row>
    <row r="139" spans="1:7" x14ac:dyDescent="0.25">
      <c r="A139">
        <v>22</v>
      </c>
      <c r="B139" t="s">
        <v>10</v>
      </c>
      <c r="C139">
        <v>25.175000000000001</v>
      </c>
      <c r="D139">
        <v>0</v>
      </c>
      <c r="E139" t="s">
        <v>11</v>
      </c>
      <c r="F139" t="s">
        <v>13</v>
      </c>
      <c r="G139">
        <v>2045.68525</v>
      </c>
    </row>
    <row r="140" spans="1:7" x14ac:dyDescent="0.25">
      <c r="A140">
        <v>54</v>
      </c>
      <c r="B140" t="s">
        <v>7</v>
      </c>
      <c r="C140">
        <v>31.9</v>
      </c>
      <c r="D140">
        <v>3</v>
      </c>
      <c r="E140" t="s">
        <v>11</v>
      </c>
      <c r="F140" t="s">
        <v>12</v>
      </c>
      <c r="G140">
        <v>27322.73386</v>
      </c>
    </row>
    <row r="141" spans="1:7" x14ac:dyDescent="0.25">
      <c r="A141">
        <v>22</v>
      </c>
      <c r="B141" t="s">
        <v>7</v>
      </c>
      <c r="C141">
        <v>36</v>
      </c>
      <c r="D141">
        <v>0</v>
      </c>
      <c r="E141" t="s">
        <v>11</v>
      </c>
      <c r="F141" t="s">
        <v>9</v>
      </c>
      <c r="G141">
        <v>2166.732</v>
      </c>
    </row>
    <row r="142" spans="1:7" x14ac:dyDescent="0.25">
      <c r="A142">
        <v>34</v>
      </c>
      <c r="B142" t="s">
        <v>10</v>
      </c>
      <c r="C142">
        <v>22.42</v>
      </c>
      <c r="D142">
        <v>2</v>
      </c>
      <c r="E142" t="s">
        <v>11</v>
      </c>
      <c r="F142" t="s">
        <v>14</v>
      </c>
      <c r="G142">
        <v>27375.904780000001</v>
      </c>
    </row>
    <row r="143" spans="1:7" x14ac:dyDescent="0.25">
      <c r="A143">
        <v>26</v>
      </c>
      <c r="B143" t="s">
        <v>10</v>
      </c>
      <c r="C143">
        <v>32.49</v>
      </c>
      <c r="D143">
        <v>1</v>
      </c>
      <c r="E143" t="s">
        <v>11</v>
      </c>
      <c r="F143" t="s">
        <v>14</v>
      </c>
      <c r="G143">
        <v>3490.5491000000002</v>
      </c>
    </row>
    <row r="144" spans="1:7" x14ac:dyDescent="0.25">
      <c r="A144">
        <v>34</v>
      </c>
      <c r="B144" t="s">
        <v>10</v>
      </c>
      <c r="C144">
        <v>25.3</v>
      </c>
      <c r="D144">
        <v>2</v>
      </c>
      <c r="E144" t="s">
        <v>8</v>
      </c>
      <c r="F144" t="s">
        <v>12</v>
      </c>
      <c r="G144">
        <v>18972.494999999999</v>
      </c>
    </row>
    <row r="145" spans="1:7" x14ac:dyDescent="0.25">
      <c r="A145">
        <v>29</v>
      </c>
      <c r="B145" t="s">
        <v>10</v>
      </c>
      <c r="C145">
        <v>29.734999999999999</v>
      </c>
      <c r="D145">
        <v>2</v>
      </c>
      <c r="E145" t="s">
        <v>11</v>
      </c>
      <c r="F145" t="s">
        <v>13</v>
      </c>
      <c r="G145">
        <v>18157.876</v>
      </c>
    </row>
    <row r="146" spans="1:7" x14ac:dyDescent="0.25">
      <c r="A146">
        <v>30</v>
      </c>
      <c r="B146" t="s">
        <v>10</v>
      </c>
      <c r="C146">
        <v>28.69</v>
      </c>
      <c r="D146">
        <v>3</v>
      </c>
      <c r="E146" t="s">
        <v>8</v>
      </c>
      <c r="F146" t="s">
        <v>13</v>
      </c>
      <c r="G146">
        <v>20745.989099999999</v>
      </c>
    </row>
    <row r="147" spans="1:7" x14ac:dyDescent="0.25">
      <c r="A147">
        <v>29</v>
      </c>
      <c r="B147" t="s">
        <v>7</v>
      </c>
      <c r="C147">
        <v>38.83</v>
      </c>
      <c r="D147">
        <v>3</v>
      </c>
      <c r="E147" t="s">
        <v>11</v>
      </c>
      <c r="F147" t="s">
        <v>12</v>
      </c>
      <c r="G147">
        <v>5138.2566999999999</v>
      </c>
    </row>
    <row r="148" spans="1:7" x14ac:dyDescent="0.25">
      <c r="A148">
        <v>46</v>
      </c>
      <c r="B148" t="s">
        <v>10</v>
      </c>
      <c r="C148">
        <v>30.495000000000001</v>
      </c>
      <c r="D148">
        <v>3</v>
      </c>
      <c r="E148" t="s">
        <v>8</v>
      </c>
      <c r="F148" t="s">
        <v>13</v>
      </c>
      <c r="G148">
        <v>40720.551050000002</v>
      </c>
    </row>
    <row r="149" spans="1:7" x14ac:dyDescent="0.25">
      <c r="A149">
        <v>51</v>
      </c>
      <c r="B149" t="s">
        <v>7</v>
      </c>
      <c r="C149">
        <v>37.729999999999997</v>
      </c>
      <c r="D149">
        <v>1</v>
      </c>
      <c r="E149" t="s">
        <v>11</v>
      </c>
      <c r="F149" t="s">
        <v>12</v>
      </c>
      <c r="G149">
        <v>9877.6077000000005</v>
      </c>
    </row>
    <row r="150" spans="1:7" x14ac:dyDescent="0.25">
      <c r="A150">
        <v>53</v>
      </c>
      <c r="B150" t="s">
        <v>7</v>
      </c>
      <c r="C150">
        <v>37.43</v>
      </c>
      <c r="D150">
        <v>1</v>
      </c>
      <c r="E150" t="s">
        <v>11</v>
      </c>
      <c r="F150" t="s">
        <v>13</v>
      </c>
      <c r="G150">
        <v>10959.6947</v>
      </c>
    </row>
    <row r="151" spans="1:7" x14ac:dyDescent="0.25">
      <c r="A151">
        <v>19</v>
      </c>
      <c r="B151" t="s">
        <v>10</v>
      </c>
      <c r="C151">
        <v>28.4</v>
      </c>
      <c r="D151">
        <v>1</v>
      </c>
      <c r="E151" t="s">
        <v>11</v>
      </c>
      <c r="F151" t="s">
        <v>9</v>
      </c>
      <c r="G151">
        <v>1842.519</v>
      </c>
    </row>
    <row r="152" spans="1:7" x14ac:dyDescent="0.25">
      <c r="A152">
        <v>35</v>
      </c>
      <c r="B152" t="s">
        <v>10</v>
      </c>
      <c r="C152">
        <v>24.13</v>
      </c>
      <c r="D152">
        <v>1</v>
      </c>
      <c r="E152" t="s">
        <v>11</v>
      </c>
      <c r="F152" t="s">
        <v>13</v>
      </c>
      <c r="G152">
        <v>5125.2156999999997</v>
      </c>
    </row>
    <row r="153" spans="1:7" x14ac:dyDescent="0.25">
      <c r="A153">
        <v>48</v>
      </c>
      <c r="B153" t="s">
        <v>10</v>
      </c>
      <c r="C153">
        <v>29.7</v>
      </c>
      <c r="D153">
        <v>0</v>
      </c>
      <c r="E153" t="s">
        <v>11</v>
      </c>
      <c r="F153" t="s">
        <v>12</v>
      </c>
      <c r="G153">
        <v>7789.6350000000002</v>
      </c>
    </row>
    <row r="154" spans="1:7" x14ac:dyDescent="0.25">
      <c r="A154">
        <v>32</v>
      </c>
      <c r="B154" t="s">
        <v>7</v>
      </c>
      <c r="C154">
        <v>37.145000000000003</v>
      </c>
      <c r="D154">
        <v>3</v>
      </c>
      <c r="E154" t="s">
        <v>11</v>
      </c>
      <c r="F154" t="s">
        <v>14</v>
      </c>
      <c r="G154">
        <v>6334.3435499999996</v>
      </c>
    </row>
    <row r="155" spans="1:7" x14ac:dyDescent="0.25">
      <c r="A155">
        <v>42</v>
      </c>
      <c r="B155" t="s">
        <v>7</v>
      </c>
      <c r="C155">
        <v>23.37</v>
      </c>
      <c r="D155">
        <v>0</v>
      </c>
      <c r="E155" t="s">
        <v>8</v>
      </c>
      <c r="F155" t="s">
        <v>14</v>
      </c>
      <c r="G155">
        <v>19964.746299999999</v>
      </c>
    </row>
    <row r="156" spans="1:7" x14ac:dyDescent="0.25">
      <c r="A156">
        <v>40</v>
      </c>
      <c r="B156" t="s">
        <v>7</v>
      </c>
      <c r="C156">
        <v>25.46</v>
      </c>
      <c r="D156">
        <v>1</v>
      </c>
      <c r="E156" t="s">
        <v>11</v>
      </c>
      <c r="F156" t="s">
        <v>14</v>
      </c>
      <c r="G156">
        <v>7077.1894000000002</v>
      </c>
    </row>
    <row r="157" spans="1:7" x14ac:dyDescent="0.25">
      <c r="A157">
        <v>44</v>
      </c>
      <c r="B157" t="s">
        <v>10</v>
      </c>
      <c r="C157">
        <v>39.520000000000003</v>
      </c>
      <c r="D157">
        <v>0</v>
      </c>
      <c r="E157" t="s">
        <v>11</v>
      </c>
      <c r="F157" t="s">
        <v>13</v>
      </c>
      <c r="G157">
        <v>6948.7007999999996</v>
      </c>
    </row>
    <row r="158" spans="1:7" x14ac:dyDescent="0.25">
      <c r="A158">
        <v>48</v>
      </c>
      <c r="B158" t="s">
        <v>10</v>
      </c>
      <c r="C158">
        <v>24.42</v>
      </c>
      <c r="D158">
        <v>0</v>
      </c>
      <c r="E158" t="s">
        <v>8</v>
      </c>
      <c r="F158" t="s">
        <v>12</v>
      </c>
      <c r="G158">
        <v>21223.675800000001</v>
      </c>
    </row>
    <row r="159" spans="1:7" x14ac:dyDescent="0.25">
      <c r="A159">
        <v>18</v>
      </c>
      <c r="B159" t="s">
        <v>10</v>
      </c>
      <c r="C159">
        <v>25.175000000000001</v>
      </c>
      <c r="D159">
        <v>0</v>
      </c>
      <c r="E159" t="s">
        <v>8</v>
      </c>
      <c r="F159" t="s">
        <v>14</v>
      </c>
      <c r="G159">
        <v>15518.180249999999</v>
      </c>
    </row>
    <row r="160" spans="1:7" x14ac:dyDescent="0.25">
      <c r="A160">
        <v>30</v>
      </c>
      <c r="B160" t="s">
        <v>10</v>
      </c>
      <c r="C160">
        <v>35.53</v>
      </c>
      <c r="D160">
        <v>0</v>
      </c>
      <c r="E160" t="s">
        <v>8</v>
      </c>
      <c r="F160" t="s">
        <v>12</v>
      </c>
      <c r="G160">
        <v>36950.256699999998</v>
      </c>
    </row>
    <row r="161" spans="1:7" x14ac:dyDescent="0.25">
      <c r="A161">
        <v>50</v>
      </c>
      <c r="B161" t="s">
        <v>7</v>
      </c>
      <c r="C161">
        <v>27.83</v>
      </c>
      <c r="D161">
        <v>3</v>
      </c>
      <c r="E161" t="s">
        <v>11</v>
      </c>
      <c r="F161" t="s">
        <v>12</v>
      </c>
      <c r="G161">
        <v>19749.383379999999</v>
      </c>
    </row>
    <row r="162" spans="1:7" x14ac:dyDescent="0.25">
      <c r="A162">
        <v>42</v>
      </c>
      <c r="B162" t="s">
        <v>7</v>
      </c>
      <c r="C162">
        <v>26.6</v>
      </c>
      <c r="D162">
        <v>0</v>
      </c>
      <c r="E162" t="s">
        <v>8</v>
      </c>
      <c r="F162" t="s">
        <v>13</v>
      </c>
      <c r="G162">
        <v>21348.705999999998</v>
      </c>
    </row>
    <row r="163" spans="1:7" x14ac:dyDescent="0.25">
      <c r="A163">
        <v>18</v>
      </c>
      <c r="B163" t="s">
        <v>7</v>
      </c>
      <c r="C163">
        <v>36.85</v>
      </c>
      <c r="D163">
        <v>0</v>
      </c>
      <c r="E163" t="s">
        <v>8</v>
      </c>
      <c r="F163" t="s">
        <v>12</v>
      </c>
      <c r="G163">
        <v>36149.483500000002</v>
      </c>
    </row>
    <row r="164" spans="1:7" x14ac:dyDescent="0.25">
      <c r="A164">
        <v>54</v>
      </c>
      <c r="B164" t="s">
        <v>10</v>
      </c>
      <c r="C164">
        <v>39.6</v>
      </c>
      <c r="D164">
        <v>1</v>
      </c>
      <c r="E164" t="s">
        <v>11</v>
      </c>
      <c r="F164" t="s">
        <v>9</v>
      </c>
      <c r="G164">
        <v>10450.552</v>
      </c>
    </row>
    <row r="165" spans="1:7" x14ac:dyDescent="0.25">
      <c r="A165">
        <v>32</v>
      </c>
      <c r="B165" t="s">
        <v>7</v>
      </c>
      <c r="C165">
        <v>29.8</v>
      </c>
      <c r="D165">
        <v>2</v>
      </c>
      <c r="E165" t="s">
        <v>11</v>
      </c>
      <c r="F165" t="s">
        <v>9</v>
      </c>
      <c r="G165">
        <v>5152.134</v>
      </c>
    </row>
    <row r="166" spans="1:7" x14ac:dyDescent="0.25">
      <c r="A166">
        <v>37</v>
      </c>
      <c r="B166" t="s">
        <v>10</v>
      </c>
      <c r="C166">
        <v>29.64</v>
      </c>
      <c r="D166">
        <v>0</v>
      </c>
      <c r="E166" t="s">
        <v>11</v>
      </c>
      <c r="F166" t="s">
        <v>13</v>
      </c>
      <c r="G166">
        <v>5028.1466</v>
      </c>
    </row>
    <row r="167" spans="1:7" x14ac:dyDescent="0.25">
      <c r="A167">
        <v>47</v>
      </c>
      <c r="B167" t="s">
        <v>10</v>
      </c>
      <c r="C167">
        <v>28.215</v>
      </c>
      <c r="D167">
        <v>4</v>
      </c>
      <c r="E167" t="s">
        <v>11</v>
      </c>
      <c r="F167" t="s">
        <v>14</v>
      </c>
      <c r="G167">
        <v>10407.085849999999</v>
      </c>
    </row>
    <row r="168" spans="1:7" x14ac:dyDescent="0.25">
      <c r="A168">
        <v>20</v>
      </c>
      <c r="B168" t="s">
        <v>7</v>
      </c>
      <c r="C168">
        <v>37</v>
      </c>
      <c r="D168">
        <v>5</v>
      </c>
      <c r="E168" t="s">
        <v>11</v>
      </c>
      <c r="F168" t="s">
        <v>9</v>
      </c>
      <c r="G168">
        <v>4830.63</v>
      </c>
    </row>
    <row r="169" spans="1:7" x14ac:dyDescent="0.25">
      <c r="A169">
        <v>32</v>
      </c>
      <c r="B169" t="s">
        <v>7</v>
      </c>
      <c r="C169">
        <v>33.155000000000001</v>
      </c>
      <c r="D169">
        <v>3</v>
      </c>
      <c r="E169" t="s">
        <v>11</v>
      </c>
      <c r="F169" t="s">
        <v>13</v>
      </c>
      <c r="G169">
        <v>6128.79745</v>
      </c>
    </row>
    <row r="170" spans="1:7" x14ac:dyDescent="0.25">
      <c r="A170">
        <v>19</v>
      </c>
      <c r="B170" t="s">
        <v>7</v>
      </c>
      <c r="C170">
        <v>31.824999999999999</v>
      </c>
      <c r="D170">
        <v>1</v>
      </c>
      <c r="E170" t="s">
        <v>11</v>
      </c>
      <c r="F170" t="s">
        <v>13</v>
      </c>
      <c r="G170">
        <v>2719.2797500000001</v>
      </c>
    </row>
    <row r="171" spans="1:7" x14ac:dyDescent="0.25">
      <c r="A171">
        <v>27</v>
      </c>
      <c r="B171" t="s">
        <v>10</v>
      </c>
      <c r="C171">
        <v>18.905000000000001</v>
      </c>
      <c r="D171">
        <v>3</v>
      </c>
      <c r="E171" t="s">
        <v>11</v>
      </c>
      <c r="F171" t="s">
        <v>14</v>
      </c>
      <c r="G171">
        <v>4827.9049500000001</v>
      </c>
    </row>
    <row r="172" spans="1:7" x14ac:dyDescent="0.25">
      <c r="A172">
        <v>63</v>
      </c>
      <c r="B172" t="s">
        <v>10</v>
      </c>
      <c r="C172">
        <v>41.47</v>
      </c>
      <c r="D172">
        <v>0</v>
      </c>
      <c r="E172" t="s">
        <v>11</v>
      </c>
      <c r="F172" t="s">
        <v>12</v>
      </c>
      <c r="G172">
        <v>13405.390299999999</v>
      </c>
    </row>
    <row r="173" spans="1:7" x14ac:dyDescent="0.25">
      <c r="A173">
        <v>49</v>
      </c>
      <c r="B173" t="s">
        <v>10</v>
      </c>
      <c r="C173">
        <v>30.3</v>
      </c>
      <c r="D173">
        <v>0</v>
      </c>
      <c r="E173" t="s">
        <v>11</v>
      </c>
      <c r="F173" t="s">
        <v>9</v>
      </c>
      <c r="G173">
        <v>8116.68</v>
      </c>
    </row>
    <row r="174" spans="1:7" x14ac:dyDescent="0.25">
      <c r="A174">
        <v>18</v>
      </c>
      <c r="B174" t="s">
        <v>10</v>
      </c>
      <c r="C174">
        <v>15.96</v>
      </c>
      <c r="D174">
        <v>0</v>
      </c>
      <c r="E174" t="s">
        <v>11</v>
      </c>
      <c r="F174" t="s">
        <v>14</v>
      </c>
      <c r="G174">
        <v>1694.7963999999999</v>
      </c>
    </row>
    <row r="175" spans="1:7" x14ac:dyDescent="0.25">
      <c r="A175">
        <v>35</v>
      </c>
      <c r="B175" t="s">
        <v>7</v>
      </c>
      <c r="C175">
        <v>34.799999999999997</v>
      </c>
      <c r="D175">
        <v>1</v>
      </c>
      <c r="E175" t="s">
        <v>11</v>
      </c>
      <c r="F175" t="s">
        <v>9</v>
      </c>
      <c r="G175">
        <v>5246.0469999999996</v>
      </c>
    </row>
    <row r="176" spans="1:7" x14ac:dyDescent="0.25">
      <c r="A176">
        <v>24</v>
      </c>
      <c r="B176" t="s">
        <v>7</v>
      </c>
      <c r="C176">
        <v>33.344999999999999</v>
      </c>
      <c r="D176">
        <v>0</v>
      </c>
      <c r="E176" t="s">
        <v>11</v>
      </c>
      <c r="F176" t="s">
        <v>13</v>
      </c>
      <c r="G176">
        <v>2855.4375500000001</v>
      </c>
    </row>
    <row r="177" spans="1:7" x14ac:dyDescent="0.25">
      <c r="A177">
        <v>63</v>
      </c>
      <c r="B177" t="s">
        <v>7</v>
      </c>
      <c r="C177">
        <v>37.700000000000003</v>
      </c>
      <c r="D177">
        <v>0</v>
      </c>
      <c r="E177" t="s">
        <v>8</v>
      </c>
      <c r="F177" t="s">
        <v>9</v>
      </c>
      <c r="G177">
        <v>48824.45</v>
      </c>
    </row>
    <row r="178" spans="1:7" x14ac:dyDescent="0.25">
      <c r="A178">
        <v>38</v>
      </c>
      <c r="B178" t="s">
        <v>10</v>
      </c>
      <c r="C178">
        <v>27.835000000000001</v>
      </c>
      <c r="D178">
        <v>2</v>
      </c>
      <c r="E178" t="s">
        <v>11</v>
      </c>
      <c r="F178" t="s">
        <v>13</v>
      </c>
      <c r="G178">
        <v>6455.86265</v>
      </c>
    </row>
    <row r="179" spans="1:7" x14ac:dyDescent="0.25">
      <c r="A179">
        <v>54</v>
      </c>
      <c r="B179" t="s">
        <v>10</v>
      </c>
      <c r="C179">
        <v>29.2</v>
      </c>
      <c r="D179">
        <v>1</v>
      </c>
      <c r="E179" t="s">
        <v>11</v>
      </c>
      <c r="F179" t="s">
        <v>9</v>
      </c>
      <c r="G179">
        <v>10436.096</v>
      </c>
    </row>
    <row r="180" spans="1:7" x14ac:dyDescent="0.25">
      <c r="A180">
        <v>46</v>
      </c>
      <c r="B180" t="s">
        <v>7</v>
      </c>
      <c r="C180">
        <v>28.9</v>
      </c>
      <c r="D180">
        <v>2</v>
      </c>
      <c r="E180" t="s">
        <v>11</v>
      </c>
      <c r="F180" t="s">
        <v>9</v>
      </c>
      <c r="G180">
        <v>8823.2790000000005</v>
      </c>
    </row>
    <row r="181" spans="1:7" x14ac:dyDescent="0.25">
      <c r="A181">
        <v>41</v>
      </c>
      <c r="B181" t="s">
        <v>7</v>
      </c>
      <c r="C181">
        <v>33.155000000000001</v>
      </c>
      <c r="D181">
        <v>3</v>
      </c>
      <c r="E181" t="s">
        <v>11</v>
      </c>
      <c r="F181" t="s">
        <v>14</v>
      </c>
      <c r="G181">
        <v>8538.28845</v>
      </c>
    </row>
    <row r="182" spans="1:7" x14ac:dyDescent="0.25">
      <c r="A182">
        <v>58</v>
      </c>
      <c r="B182" t="s">
        <v>10</v>
      </c>
      <c r="C182">
        <v>28.594999999999999</v>
      </c>
      <c r="D182">
        <v>0</v>
      </c>
      <c r="E182" t="s">
        <v>11</v>
      </c>
      <c r="F182" t="s">
        <v>13</v>
      </c>
      <c r="G182">
        <v>11735.87905</v>
      </c>
    </row>
    <row r="183" spans="1:7" x14ac:dyDescent="0.25">
      <c r="A183">
        <v>18</v>
      </c>
      <c r="B183" t="s">
        <v>7</v>
      </c>
      <c r="C183">
        <v>38.28</v>
      </c>
      <c r="D183">
        <v>0</v>
      </c>
      <c r="E183" t="s">
        <v>11</v>
      </c>
      <c r="F183" t="s">
        <v>12</v>
      </c>
      <c r="G183">
        <v>1631.8212000000001</v>
      </c>
    </row>
    <row r="184" spans="1:7" x14ac:dyDescent="0.25">
      <c r="A184">
        <v>22</v>
      </c>
      <c r="B184" t="s">
        <v>10</v>
      </c>
      <c r="C184">
        <v>19.95</v>
      </c>
      <c r="D184">
        <v>3</v>
      </c>
      <c r="E184" t="s">
        <v>11</v>
      </c>
      <c r="F184" t="s">
        <v>14</v>
      </c>
      <c r="G184">
        <v>4005.4225000000001</v>
      </c>
    </row>
    <row r="185" spans="1:7" x14ac:dyDescent="0.25">
      <c r="A185">
        <v>44</v>
      </c>
      <c r="B185" t="s">
        <v>7</v>
      </c>
      <c r="C185">
        <v>26.41</v>
      </c>
      <c r="D185">
        <v>0</v>
      </c>
      <c r="E185" t="s">
        <v>11</v>
      </c>
      <c r="F185" t="s">
        <v>13</v>
      </c>
      <c r="G185">
        <v>7419.4778999999999</v>
      </c>
    </row>
    <row r="186" spans="1:7" x14ac:dyDescent="0.25">
      <c r="A186">
        <v>44</v>
      </c>
      <c r="B186" t="s">
        <v>10</v>
      </c>
      <c r="C186">
        <v>30.69</v>
      </c>
      <c r="D186">
        <v>2</v>
      </c>
      <c r="E186" t="s">
        <v>11</v>
      </c>
      <c r="F186" t="s">
        <v>12</v>
      </c>
      <c r="G186">
        <v>7731.4270999999999</v>
      </c>
    </row>
    <row r="187" spans="1:7" x14ac:dyDescent="0.25">
      <c r="A187">
        <v>36</v>
      </c>
      <c r="B187" t="s">
        <v>10</v>
      </c>
      <c r="C187">
        <v>41.895000000000003</v>
      </c>
      <c r="D187">
        <v>3</v>
      </c>
      <c r="E187" t="s">
        <v>8</v>
      </c>
      <c r="F187" t="s">
        <v>14</v>
      </c>
      <c r="G187">
        <v>43753.337050000002</v>
      </c>
    </row>
    <row r="188" spans="1:7" x14ac:dyDescent="0.25">
      <c r="A188">
        <v>26</v>
      </c>
      <c r="B188" t="s">
        <v>7</v>
      </c>
      <c r="C188">
        <v>29.92</v>
      </c>
      <c r="D188">
        <v>2</v>
      </c>
      <c r="E188" t="s">
        <v>11</v>
      </c>
      <c r="F188" t="s">
        <v>12</v>
      </c>
      <c r="G188">
        <v>3981.9767999999999</v>
      </c>
    </row>
    <row r="189" spans="1:7" x14ac:dyDescent="0.25">
      <c r="A189">
        <v>30</v>
      </c>
      <c r="B189" t="s">
        <v>7</v>
      </c>
      <c r="C189">
        <v>30.9</v>
      </c>
      <c r="D189">
        <v>3</v>
      </c>
      <c r="E189" t="s">
        <v>11</v>
      </c>
      <c r="F189" t="s">
        <v>9</v>
      </c>
      <c r="G189">
        <v>5325.6509999999998</v>
      </c>
    </row>
    <row r="190" spans="1:7" x14ac:dyDescent="0.25">
      <c r="A190">
        <v>41</v>
      </c>
      <c r="B190" t="s">
        <v>7</v>
      </c>
      <c r="C190">
        <v>32.200000000000003</v>
      </c>
      <c r="D190">
        <v>1</v>
      </c>
      <c r="E190" t="s">
        <v>11</v>
      </c>
      <c r="F190" t="s">
        <v>9</v>
      </c>
      <c r="G190">
        <v>6775.9610000000002</v>
      </c>
    </row>
    <row r="191" spans="1:7" x14ac:dyDescent="0.25">
      <c r="A191">
        <v>29</v>
      </c>
      <c r="B191" t="s">
        <v>7</v>
      </c>
      <c r="C191">
        <v>32.11</v>
      </c>
      <c r="D191">
        <v>2</v>
      </c>
      <c r="E191" t="s">
        <v>11</v>
      </c>
      <c r="F191" t="s">
        <v>13</v>
      </c>
      <c r="G191">
        <v>4922.9159</v>
      </c>
    </row>
    <row r="192" spans="1:7" x14ac:dyDescent="0.25">
      <c r="A192">
        <v>61</v>
      </c>
      <c r="B192" t="s">
        <v>10</v>
      </c>
      <c r="C192">
        <v>31.57</v>
      </c>
      <c r="D192">
        <v>0</v>
      </c>
      <c r="E192" t="s">
        <v>11</v>
      </c>
      <c r="F192" t="s">
        <v>12</v>
      </c>
      <c r="G192">
        <v>12557.605299999999</v>
      </c>
    </row>
    <row r="193" spans="1:7" x14ac:dyDescent="0.25">
      <c r="A193">
        <v>36</v>
      </c>
      <c r="B193" t="s">
        <v>7</v>
      </c>
      <c r="C193">
        <v>26.2</v>
      </c>
      <c r="D193">
        <v>0</v>
      </c>
      <c r="E193" t="s">
        <v>11</v>
      </c>
      <c r="F193" t="s">
        <v>9</v>
      </c>
      <c r="G193">
        <v>4883.866</v>
      </c>
    </row>
    <row r="194" spans="1:7" x14ac:dyDescent="0.25">
      <c r="A194">
        <v>25</v>
      </c>
      <c r="B194" t="s">
        <v>10</v>
      </c>
      <c r="C194">
        <v>25.74</v>
      </c>
      <c r="D194">
        <v>0</v>
      </c>
      <c r="E194" t="s">
        <v>11</v>
      </c>
      <c r="F194" t="s">
        <v>12</v>
      </c>
      <c r="G194">
        <v>2137.6536000000001</v>
      </c>
    </row>
    <row r="195" spans="1:7" x14ac:dyDescent="0.25">
      <c r="A195">
        <v>56</v>
      </c>
      <c r="B195" t="s">
        <v>7</v>
      </c>
      <c r="C195">
        <v>26.6</v>
      </c>
      <c r="D195">
        <v>1</v>
      </c>
      <c r="E195" t="s">
        <v>11</v>
      </c>
      <c r="F195" t="s">
        <v>13</v>
      </c>
      <c r="G195">
        <v>12044.342000000001</v>
      </c>
    </row>
    <row r="196" spans="1:7" x14ac:dyDescent="0.25">
      <c r="A196">
        <v>18</v>
      </c>
      <c r="B196" t="s">
        <v>10</v>
      </c>
      <c r="C196">
        <v>34.43</v>
      </c>
      <c r="D196">
        <v>0</v>
      </c>
      <c r="E196" t="s">
        <v>11</v>
      </c>
      <c r="F196" t="s">
        <v>12</v>
      </c>
      <c r="G196">
        <v>1137.4697000000001</v>
      </c>
    </row>
    <row r="197" spans="1:7" x14ac:dyDescent="0.25">
      <c r="A197">
        <v>19</v>
      </c>
      <c r="B197" t="s">
        <v>10</v>
      </c>
      <c r="C197">
        <v>30.59</v>
      </c>
      <c r="D197">
        <v>0</v>
      </c>
      <c r="E197" t="s">
        <v>11</v>
      </c>
      <c r="F197" t="s">
        <v>13</v>
      </c>
      <c r="G197">
        <v>1639.5631000000001</v>
      </c>
    </row>
    <row r="198" spans="1:7" x14ac:dyDescent="0.25">
      <c r="A198">
        <v>39</v>
      </c>
      <c r="B198" t="s">
        <v>7</v>
      </c>
      <c r="C198">
        <v>32.799999999999997</v>
      </c>
      <c r="D198">
        <v>0</v>
      </c>
      <c r="E198" t="s">
        <v>11</v>
      </c>
      <c r="F198" t="s">
        <v>9</v>
      </c>
      <c r="G198">
        <v>5649.7150000000001</v>
      </c>
    </row>
    <row r="199" spans="1:7" x14ac:dyDescent="0.25">
      <c r="A199">
        <v>45</v>
      </c>
      <c r="B199" t="s">
        <v>7</v>
      </c>
      <c r="C199">
        <v>28.6</v>
      </c>
      <c r="D199">
        <v>2</v>
      </c>
      <c r="E199" t="s">
        <v>11</v>
      </c>
      <c r="F199" t="s">
        <v>12</v>
      </c>
      <c r="G199">
        <v>8516.8289999999997</v>
      </c>
    </row>
    <row r="200" spans="1:7" x14ac:dyDescent="0.25">
      <c r="A200">
        <v>51</v>
      </c>
      <c r="B200" t="s">
        <v>7</v>
      </c>
      <c r="C200">
        <v>18.05</v>
      </c>
      <c r="D200">
        <v>0</v>
      </c>
      <c r="E200" t="s">
        <v>11</v>
      </c>
      <c r="F200" t="s">
        <v>13</v>
      </c>
      <c r="G200">
        <v>9644.2525000000005</v>
      </c>
    </row>
    <row r="201" spans="1:7" x14ac:dyDescent="0.25">
      <c r="A201">
        <v>64</v>
      </c>
      <c r="B201" t="s">
        <v>7</v>
      </c>
      <c r="C201">
        <v>39.33</v>
      </c>
      <c r="D201">
        <v>0</v>
      </c>
      <c r="E201" t="s">
        <v>11</v>
      </c>
      <c r="F201" t="s">
        <v>14</v>
      </c>
      <c r="G201">
        <v>14901.5167</v>
      </c>
    </row>
    <row r="202" spans="1:7" x14ac:dyDescent="0.25">
      <c r="A202">
        <v>19</v>
      </c>
      <c r="B202" t="s">
        <v>7</v>
      </c>
      <c r="C202">
        <v>32.11</v>
      </c>
      <c r="D202">
        <v>0</v>
      </c>
      <c r="E202" t="s">
        <v>11</v>
      </c>
      <c r="F202" t="s">
        <v>13</v>
      </c>
      <c r="G202">
        <v>2130.6759000000002</v>
      </c>
    </row>
    <row r="203" spans="1:7" x14ac:dyDescent="0.25">
      <c r="A203">
        <v>48</v>
      </c>
      <c r="B203" t="s">
        <v>7</v>
      </c>
      <c r="C203">
        <v>32.229999999999997</v>
      </c>
      <c r="D203">
        <v>1</v>
      </c>
      <c r="E203" t="s">
        <v>11</v>
      </c>
      <c r="F203" t="s">
        <v>12</v>
      </c>
      <c r="G203">
        <v>8871.1517000000003</v>
      </c>
    </row>
    <row r="204" spans="1:7" x14ac:dyDescent="0.25">
      <c r="A204">
        <v>60</v>
      </c>
      <c r="B204" t="s">
        <v>7</v>
      </c>
      <c r="C204">
        <v>24.035</v>
      </c>
      <c r="D204">
        <v>0</v>
      </c>
      <c r="E204" t="s">
        <v>11</v>
      </c>
      <c r="F204" t="s">
        <v>13</v>
      </c>
      <c r="G204">
        <v>13012.20865</v>
      </c>
    </row>
    <row r="205" spans="1:7" x14ac:dyDescent="0.25">
      <c r="A205">
        <v>27</v>
      </c>
      <c r="B205" t="s">
        <v>7</v>
      </c>
      <c r="C205">
        <v>36.08</v>
      </c>
      <c r="D205">
        <v>0</v>
      </c>
      <c r="E205" t="s">
        <v>8</v>
      </c>
      <c r="F205" t="s">
        <v>12</v>
      </c>
      <c r="G205">
        <v>37133.898200000003</v>
      </c>
    </row>
    <row r="206" spans="1:7" x14ac:dyDescent="0.25">
      <c r="A206">
        <v>46</v>
      </c>
      <c r="B206" t="s">
        <v>10</v>
      </c>
      <c r="C206">
        <v>22.3</v>
      </c>
      <c r="D206">
        <v>0</v>
      </c>
      <c r="E206" t="s">
        <v>11</v>
      </c>
      <c r="F206" t="s">
        <v>9</v>
      </c>
      <c r="G206">
        <v>7147.1049999999996</v>
      </c>
    </row>
    <row r="207" spans="1:7" x14ac:dyDescent="0.25">
      <c r="A207">
        <v>28</v>
      </c>
      <c r="B207" t="s">
        <v>7</v>
      </c>
      <c r="C207">
        <v>28.88</v>
      </c>
      <c r="D207">
        <v>1</v>
      </c>
      <c r="E207" t="s">
        <v>11</v>
      </c>
      <c r="F207" t="s">
        <v>14</v>
      </c>
      <c r="G207">
        <v>4337.7352000000001</v>
      </c>
    </row>
    <row r="208" spans="1:7" x14ac:dyDescent="0.25">
      <c r="A208">
        <v>59</v>
      </c>
      <c r="B208" t="s">
        <v>10</v>
      </c>
      <c r="C208">
        <v>26.4</v>
      </c>
      <c r="D208">
        <v>0</v>
      </c>
      <c r="E208" t="s">
        <v>11</v>
      </c>
      <c r="F208" t="s">
        <v>12</v>
      </c>
      <c r="G208">
        <v>11743.299000000001</v>
      </c>
    </row>
    <row r="209" spans="1:7" x14ac:dyDescent="0.25">
      <c r="A209">
        <v>35</v>
      </c>
      <c r="B209" t="s">
        <v>10</v>
      </c>
      <c r="C209">
        <v>27.74</v>
      </c>
      <c r="D209">
        <v>2</v>
      </c>
      <c r="E209" t="s">
        <v>8</v>
      </c>
      <c r="F209" t="s">
        <v>14</v>
      </c>
      <c r="G209">
        <v>20984.0936</v>
      </c>
    </row>
    <row r="210" spans="1:7" x14ac:dyDescent="0.25">
      <c r="A210">
        <v>63</v>
      </c>
      <c r="B210" t="s">
        <v>7</v>
      </c>
      <c r="C210">
        <v>31.8</v>
      </c>
      <c r="D210">
        <v>0</v>
      </c>
      <c r="E210" t="s">
        <v>11</v>
      </c>
      <c r="F210" t="s">
        <v>9</v>
      </c>
      <c r="G210">
        <v>13880.949000000001</v>
      </c>
    </row>
    <row r="211" spans="1:7" x14ac:dyDescent="0.25">
      <c r="A211">
        <v>40</v>
      </c>
      <c r="B211" t="s">
        <v>10</v>
      </c>
      <c r="C211">
        <v>41.23</v>
      </c>
      <c r="D211">
        <v>1</v>
      </c>
      <c r="E211" t="s">
        <v>11</v>
      </c>
      <c r="F211" t="s">
        <v>14</v>
      </c>
      <c r="G211">
        <v>6610.1097</v>
      </c>
    </row>
    <row r="212" spans="1:7" x14ac:dyDescent="0.25">
      <c r="A212">
        <v>20</v>
      </c>
      <c r="B212" t="s">
        <v>10</v>
      </c>
      <c r="C212">
        <v>33</v>
      </c>
      <c r="D212">
        <v>1</v>
      </c>
      <c r="E212" t="s">
        <v>11</v>
      </c>
      <c r="F212" t="s">
        <v>9</v>
      </c>
      <c r="G212">
        <v>1980.07</v>
      </c>
    </row>
    <row r="213" spans="1:7" x14ac:dyDescent="0.25">
      <c r="A213">
        <v>40</v>
      </c>
      <c r="B213" t="s">
        <v>10</v>
      </c>
      <c r="C213">
        <v>30.875</v>
      </c>
      <c r="D213">
        <v>4</v>
      </c>
      <c r="E213" t="s">
        <v>11</v>
      </c>
      <c r="F213" t="s">
        <v>13</v>
      </c>
      <c r="G213">
        <v>8162.7162500000004</v>
      </c>
    </row>
    <row r="214" spans="1:7" x14ac:dyDescent="0.25">
      <c r="A214">
        <v>24</v>
      </c>
      <c r="B214" t="s">
        <v>10</v>
      </c>
      <c r="C214">
        <v>28.5</v>
      </c>
      <c r="D214">
        <v>2</v>
      </c>
      <c r="E214" t="s">
        <v>11</v>
      </c>
      <c r="F214" t="s">
        <v>13</v>
      </c>
      <c r="G214">
        <v>3537.703</v>
      </c>
    </row>
    <row r="215" spans="1:7" x14ac:dyDescent="0.25">
      <c r="A215">
        <v>34</v>
      </c>
      <c r="B215" t="s">
        <v>7</v>
      </c>
      <c r="C215">
        <v>26.73</v>
      </c>
      <c r="D215">
        <v>1</v>
      </c>
      <c r="E215" t="s">
        <v>11</v>
      </c>
      <c r="F215" t="s">
        <v>12</v>
      </c>
      <c r="G215">
        <v>5002.7826999999997</v>
      </c>
    </row>
    <row r="216" spans="1:7" x14ac:dyDescent="0.25">
      <c r="A216">
        <v>45</v>
      </c>
      <c r="B216" t="s">
        <v>7</v>
      </c>
      <c r="C216">
        <v>30.9</v>
      </c>
      <c r="D216">
        <v>2</v>
      </c>
      <c r="E216" t="s">
        <v>11</v>
      </c>
      <c r="F216" t="s">
        <v>9</v>
      </c>
      <c r="G216">
        <v>8520.0259999999998</v>
      </c>
    </row>
    <row r="217" spans="1:7" x14ac:dyDescent="0.25">
      <c r="A217">
        <v>41</v>
      </c>
      <c r="B217" t="s">
        <v>7</v>
      </c>
      <c r="C217">
        <v>37.1</v>
      </c>
      <c r="D217">
        <v>2</v>
      </c>
      <c r="E217" t="s">
        <v>11</v>
      </c>
      <c r="F217" t="s">
        <v>9</v>
      </c>
      <c r="G217">
        <v>7371.7719999999999</v>
      </c>
    </row>
    <row r="218" spans="1:7" x14ac:dyDescent="0.25">
      <c r="A218">
        <v>53</v>
      </c>
      <c r="B218" t="s">
        <v>7</v>
      </c>
      <c r="C218">
        <v>26.6</v>
      </c>
      <c r="D218">
        <v>0</v>
      </c>
      <c r="E218" t="s">
        <v>11</v>
      </c>
      <c r="F218" t="s">
        <v>13</v>
      </c>
      <c r="G218">
        <v>10355.641</v>
      </c>
    </row>
    <row r="219" spans="1:7" x14ac:dyDescent="0.25">
      <c r="A219">
        <v>27</v>
      </c>
      <c r="B219" t="s">
        <v>10</v>
      </c>
      <c r="C219">
        <v>23.1</v>
      </c>
      <c r="D219">
        <v>0</v>
      </c>
      <c r="E219" t="s">
        <v>11</v>
      </c>
      <c r="F219" t="s">
        <v>12</v>
      </c>
      <c r="G219">
        <v>2483.7359999999999</v>
      </c>
    </row>
    <row r="220" spans="1:7" x14ac:dyDescent="0.25">
      <c r="A220">
        <v>26</v>
      </c>
      <c r="B220" t="s">
        <v>7</v>
      </c>
      <c r="C220">
        <v>29.92</v>
      </c>
      <c r="D220">
        <v>1</v>
      </c>
      <c r="E220" t="s">
        <v>11</v>
      </c>
      <c r="F220" t="s">
        <v>12</v>
      </c>
      <c r="G220">
        <v>3392.9767999999999</v>
      </c>
    </row>
    <row r="221" spans="1:7" x14ac:dyDescent="0.25">
      <c r="A221">
        <v>24</v>
      </c>
      <c r="B221" t="s">
        <v>7</v>
      </c>
      <c r="C221">
        <v>23.21</v>
      </c>
      <c r="D221">
        <v>0</v>
      </c>
      <c r="E221" t="s">
        <v>11</v>
      </c>
      <c r="F221" t="s">
        <v>12</v>
      </c>
      <c r="G221">
        <v>25081.76784</v>
      </c>
    </row>
    <row r="222" spans="1:7" x14ac:dyDescent="0.25">
      <c r="A222">
        <v>34</v>
      </c>
      <c r="B222" t="s">
        <v>7</v>
      </c>
      <c r="C222">
        <v>33.700000000000003</v>
      </c>
      <c r="D222">
        <v>1</v>
      </c>
      <c r="E222" t="s">
        <v>11</v>
      </c>
      <c r="F222" t="s">
        <v>9</v>
      </c>
      <c r="G222">
        <v>5012.4709999999995</v>
      </c>
    </row>
    <row r="223" spans="1:7" x14ac:dyDescent="0.25">
      <c r="A223">
        <v>53</v>
      </c>
      <c r="B223" t="s">
        <v>7</v>
      </c>
      <c r="C223">
        <v>33.25</v>
      </c>
      <c r="D223">
        <v>0</v>
      </c>
      <c r="E223" t="s">
        <v>11</v>
      </c>
      <c r="F223" t="s">
        <v>14</v>
      </c>
      <c r="G223">
        <v>10564.8845</v>
      </c>
    </row>
    <row r="224" spans="1:7" x14ac:dyDescent="0.25">
      <c r="A224">
        <v>32</v>
      </c>
      <c r="B224" t="s">
        <v>10</v>
      </c>
      <c r="C224">
        <v>30.8</v>
      </c>
      <c r="D224">
        <v>3</v>
      </c>
      <c r="E224" t="s">
        <v>11</v>
      </c>
      <c r="F224" t="s">
        <v>9</v>
      </c>
      <c r="G224">
        <v>5253.5240000000003</v>
      </c>
    </row>
    <row r="225" spans="1:7" x14ac:dyDescent="0.25">
      <c r="A225">
        <v>19</v>
      </c>
      <c r="B225" t="s">
        <v>10</v>
      </c>
      <c r="C225">
        <v>34.799999999999997</v>
      </c>
      <c r="D225">
        <v>0</v>
      </c>
      <c r="E225" t="s">
        <v>8</v>
      </c>
      <c r="F225" t="s">
        <v>9</v>
      </c>
      <c r="G225">
        <v>34779.614999999998</v>
      </c>
    </row>
    <row r="226" spans="1:7" x14ac:dyDescent="0.25">
      <c r="A226">
        <v>42</v>
      </c>
      <c r="B226" t="s">
        <v>10</v>
      </c>
      <c r="C226">
        <v>24.64</v>
      </c>
      <c r="D226">
        <v>0</v>
      </c>
      <c r="E226" t="s">
        <v>8</v>
      </c>
      <c r="F226" t="s">
        <v>12</v>
      </c>
      <c r="G226">
        <v>19515.5416</v>
      </c>
    </row>
    <row r="227" spans="1:7" x14ac:dyDescent="0.25">
      <c r="A227">
        <v>55</v>
      </c>
      <c r="B227" t="s">
        <v>10</v>
      </c>
      <c r="C227">
        <v>33.880000000000003</v>
      </c>
      <c r="D227">
        <v>3</v>
      </c>
      <c r="E227" t="s">
        <v>11</v>
      </c>
      <c r="F227" t="s">
        <v>12</v>
      </c>
      <c r="G227">
        <v>11987.1682</v>
      </c>
    </row>
    <row r="228" spans="1:7" x14ac:dyDescent="0.25">
      <c r="A228">
        <v>28</v>
      </c>
      <c r="B228" t="s">
        <v>10</v>
      </c>
      <c r="C228">
        <v>38.06</v>
      </c>
      <c r="D228">
        <v>0</v>
      </c>
      <c r="E228" t="s">
        <v>11</v>
      </c>
      <c r="F228" t="s">
        <v>12</v>
      </c>
      <c r="G228">
        <v>2689.4953999999998</v>
      </c>
    </row>
    <row r="229" spans="1:7" x14ac:dyDescent="0.25">
      <c r="A229">
        <v>58</v>
      </c>
      <c r="B229" t="s">
        <v>7</v>
      </c>
      <c r="C229">
        <v>41.91</v>
      </c>
      <c r="D229">
        <v>0</v>
      </c>
      <c r="E229" t="s">
        <v>11</v>
      </c>
      <c r="F229" t="s">
        <v>12</v>
      </c>
      <c r="G229">
        <v>24227.337240000001</v>
      </c>
    </row>
    <row r="230" spans="1:7" x14ac:dyDescent="0.25">
      <c r="A230">
        <v>41</v>
      </c>
      <c r="B230" t="s">
        <v>7</v>
      </c>
      <c r="C230">
        <v>31.635000000000002</v>
      </c>
      <c r="D230">
        <v>1</v>
      </c>
      <c r="E230" t="s">
        <v>11</v>
      </c>
      <c r="F230" t="s">
        <v>14</v>
      </c>
      <c r="G230">
        <v>7358.1756500000001</v>
      </c>
    </row>
    <row r="231" spans="1:7" x14ac:dyDescent="0.25">
      <c r="A231">
        <v>47</v>
      </c>
      <c r="B231" t="s">
        <v>10</v>
      </c>
      <c r="C231">
        <v>25.46</v>
      </c>
      <c r="D231">
        <v>2</v>
      </c>
      <c r="E231" t="s">
        <v>11</v>
      </c>
      <c r="F231" t="s">
        <v>14</v>
      </c>
      <c r="G231">
        <v>9225.2564000000002</v>
      </c>
    </row>
    <row r="232" spans="1:7" x14ac:dyDescent="0.25">
      <c r="A232">
        <v>42</v>
      </c>
      <c r="B232" t="s">
        <v>7</v>
      </c>
      <c r="C232">
        <v>36.195</v>
      </c>
      <c r="D232">
        <v>1</v>
      </c>
      <c r="E232" t="s">
        <v>11</v>
      </c>
      <c r="F232" t="s">
        <v>13</v>
      </c>
      <c r="G232">
        <v>7443.6430499999997</v>
      </c>
    </row>
    <row r="233" spans="1:7" x14ac:dyDescent="0.25">
      <c r="A233">
        <v>59</v>
      </c>
      <c r="B233" t="s">
        <v>7</v>
      </c>
      <c r="C233">
        <v>27.83</v>
      </c>
      <c r="D233">
        <v>3</v>
      </c>
      <c r="E233" t="s">
        <v>11</v>
      </c>
      <c r="F233" t="s">
        <v>12</v>
      </c>
      <c r="G233">
        <v>14001.286700000001</v>
      </c>
    </row>
    <row r="234" spans="1:7" x14ac:dyDescent="0.25">
      <c r="A234">
        <v>19</v>
      </c>
      <c r="B234" t="s">
        <v>7</v>
      </c>
      <c r="C234">
        <v>17.8</v>
      </c>
      <c r="D234">
        <v>0</v>
      </c>
      <c r="E234" t="s">
        <v>11</v>
      </c>
      <c r="F234" t="s">
        <v>9</v>
      </c>
      <c r="G234">
        <v>1727.7850000000001</v>
      </c>
    </row>
    <row r="235" spans="1:7" x14ac:dyDescent="0.25">
      <c r="A235">
        <v>59</v>
      </c>
      <c r="B235" t="s">
        <v>10</v>
      </c>
      <c r="C235">
        <v>27.5</v>
      </c>
      <c r="D235">
        <v>1</v>
      </c>
      <c r="E235" t="s">
        <v>11</v>
      </c>
      <c r="F235" t="s">
        <v>9</v>
      </c>
      <c r="G235">
        <v>12333.828</v>
      </c>
    </row>
    <row r="236" spans="1:7" x14ac:dyDescent="0.25">
      <c r="A236">
        <v>39</v>
      </c>
      <c r="B236" t="s">
        <v>10</v>
      </c>
      <c r="C236">
        <v>24.51</v>
      </c>
      <c r="D236">
        <v>2</v>
      </c>
      <c r="E236" t="s">
        <v>11</v>
      </c>
      <c r="F236" t="s">
        <v>13</v>
      </c>
      <c r="G236">
        <v>6710.1918999999998</v>
      </c>
    </row>
    <row r="237" spans="1:7" x14ac:dyDescent="0.25">
      <c r="A237">
        <v>40</v>
      </c>
      <c r="B237" t="s">
        <v>7</v>
      </c>
      <c r="C237">
        <v>22.22</v>
      </c>
      <c r="D237">
        <v>2</v>
      </c>
      <c r="E237" t="s">
        <v>8</v>
      </c>
      <c r="F237" t="s">
        <v>12</v>
      </c>
      <c r="G237">
        <v>19444.265800000001</v>
      </c>
    </row>
    <row r="238" spans="1:7" x14ac:dyDescent="0.25">
      <c r="A238">
        <v>18</v>
      </c>
      <c r="B238" t="s">
        <v>7</v>
      </c>
      <c r="C238">
        <v>26.73</v>
      </c>
      <c r="D238">
        <v>0</v>
      </c>
      <c r="E238" t="s">
        <v>11</v>
      </c>
      <c r="F238" t="s">
        <v>12</v>
      </c>
      <c r="G238">
        <v>1615.7666999999999</v>
      </c>
    </row>
    <row r="239" spans="1:7" x14ac:dyDescent="0.25">
      <c r="A239">
        <v>31</v>
      </c>
      <c r="B239" t="s">
        <v>10</v>
      </c>
      <c r="C239">
        <v>38.39</v>
      </c>
      <c r="D239">
        <v>2</v>
      </c>
      <c r="E239" t="s">
        <v>11</v>
      </c>
      <c r="F239" t="s">
        <v>12</v>
      </c>
      <c r="G239">
        <v>4463.2051000000001</v>
      </c>
    </row>
    <row r="240" spans="1:7" x14ac:dyDescent="0.25">
      <c r="A240">
        <v>19</v>
      </c>
      <c r="B240" t="s">
        <v>10</v>
      </c>
      <c r="C240">
        <v>29.07</v>
      </c>
      <c r="D240">
        <v>0</v>
      </c>
      <c r="E240" t="s">
        <v>8</v>
      </c>
      <c r="F240" t="s">
        <v>13</v>
      </c>
      <c r="G240">
        <v>17352.6803</v>
      </c>
    </row>
    <row r="241" spans="1:7" x14ac:dyDescent="0.25">
      <c r="A241">
        <v>44</v>
      </c>
      <c r="B241" t="s">
        <v>10</v>
      </c>
      <c r="C241">
        <v>38.06</v>
      </c>
      <c r="D241">
        <v>1</v>
      </c>
      <c r="E241" t="s">
        <v>11</v>
      </c>
      <c r="F241" t="s">
        <v>12</v>
      </c>
      <c r="G241">
        <v>7152.6714000000002</v>
      </c>
    </row>
    <row r="242" spans="1:7" x14ac:dyDescent="0.25">
      <c r="A242">
        <v>23</v>
      </c>
      <c r="B242" t="s">
        <v>7</v>
      </c>
      <c r="C242">
        <v>36.67</v>
      </c>
      <c r="D242">
        <v>2</v>
      </c>
      <c r="E242" t="s">
        <v>8</v>
      </c>
      <c r="F242" t="s">
        <v>14</v>
      </c>
      <c r="G242">
        <v>38511.628299999997</v>
      </c>
    </row>
    <row r="243" spans="1:7" x14ac:dyDescent="0.25">
      <c r="A243">
        <v>33</v>
      </c>
      <c r="B243" t="s">
        <v>7</v>
      </c>
      <c r="C243">
        <v>22.135000000000002</v>
      </c>
      <c r="D243">
        <v>1</v>
      </c>
      <c r="E243" t="s">
        <v>11</v>
      </c>
      <c r="F243" t="s">
        <v>14</v>
      </c>
      <c r="G243">
        <v>5354.0746499999996</v>
      </c>
    </row>
    <row r="244" spans="1:7" x14ac:dyDescent="0.25">
      <c r="A244">
        <v>55</v>
      </c>
      <c r="B244" t="s">
        <v>7</v>
      </c>
      <c r="C244">
        <v>26.8</v>
      </c>
      <c r="D244">
        <v>1</v>
      </c>
      <c r="E244" t="s">
        <v>11</v>
      </c>
      <c r="F244" t="s">
        <v>9</v>
      </c>
      <c r="G244">
        <v>35160.134570000002</v>
      </c>
    </row>
    <row r="245" spans="1:7" x14ac:dyDescent="0.25">
      <c r="A245">
        <v>40</v>
      </c>
      <c r="B245" t="s">
        <v>10</v>
      </c>
      <c r="C245">
        <v>35.299999999999997</v>
      </c>
      <c r="D245">
        <v>3</v>
      </c>
      <c r="E245" t="s">
        <v>11</v>
      </c>
      <c r="F245" t="s">
        <v>9</v>
      </c>
      <c r="G245">
        <v>7196.8670000000002</v>
      </c>
    </row>
    <row r="246" spans="1:7" x14ac:dyDescent="0.25">
      <c r="A246">
        <v>63</v>
      </c>
      <c r="B246" t="s">
        <v>7</v>
      </c>
      <c r="C246">
        <v>27.74</v>
      </c>
      <c r="D246">
        <v>0</v>
      </c>
      <c r="E246" t="s">
        <v>8</v>
      </c>
      <c r="F246" t="s">
        <v>14</v>
      </c>
      <c r="G246">
        <v>29523.1656</v>
      </c>
    </row>
    <row r="247" spans="1:7" x14ac:dyDescent="0.25">
      <c r="A247">
        <v>54</v>
      </c>
      <c r="B247" t="s">
        <v>10</v>
      </c>
      <c r="C247">
        <v>30.02</v>
      </c>
      <c r="D247">
        <v>0</v>
      </c>
      <c r="E247" t="s">
        <v>11</v>
      </c>
      <c r="F247" t="s">
        <v>13</v>
      </c>
      <c r="G247">
        <v>24476.478510000001</v>
      </c>
    </row>
    <row r="248" spans="1:7" x14ac:dyDescent="0.25">
      <c r="A248">
        <v>60</v>
      </c>
      <c r="B248" t="s">
        <v>7</v>
      </c>
      <c r="C248">
        <v>38.06</v>
      </c>
      <c r="D248">
        <v>0</v>
      </c>
      <c r="E248" t="s">
        <v>11</v>
      </c>
      <c r="F248" t="s">
        <v>12</v>
      </c>
      <c r="G248">
        <v>12648.7034</v>
      </c>
    </row>
    <row r="249" spans="1:7" x14ac:dyDescent="0.25">
      <c r="A249">
        <v>24</v>
      </c>
      <c r="B249" t="s">
        <v>10</v>
      </c>
      <c r="C249">
        <v>35.86</v>
      </c>
      <c r="D249">
        <v>0</v>
      </c>
      <c r="E249" t="s">
        <v>11</v>
      </c>
      <c r="F249" t="s">
        <v>12</v>
      </c>
      <c r="G249">
        <v>1986.9333999999999</v>
      </c>
    </row>
    <row r="250" spans="1:7" x14ac:dyDescent="0.25">
      <c r="A250">
        <v>19</v>
      </c>
      <c r="B250" t="s">
        <v>10</v>
      </c>
      <c r="C250">
        <v>20.9</v>
      </c>
      <c r="D250">
        <v>1</v>
      </c>
      <c r="E250" t="s">
        <v>11</v>
      </c>
      <c r="F250" t="s">
        <v>9</v>
      </c>
      <c r="G250">
        <v>1832.0940000000001</v>
      </c>
    </row>
    <row r="251" spans="1:7" x14ac:dyDescent="0.25">
      <c r="A251">
        <v>29</v>
      </c>
      <c r="B251" t="s">
        <v>10</v>
      </c>
      <c r="C251">
        <v>28.975000000000001</v>
      </c>
      <c r="D251">
        <v>1</v>
      </c>
      <c r="E251" t="s">
        <v>11</v>
      </c>
      <c r="F251" t="s">
        <v>14</v>
      </c>
      <c r="G251">
        <v>4040.55825</v>
      </c>
    </row>
    <row r="252" spans="1:7" x14ac:dyDescent="0.25">
      <c r="A252">
        <v>18</v>
      </c>
      <c r="B252" t="s">
        <v>10</v>
      </c>
      <c r="C252">
        <v>17.29</v>
      </c>
      <c r="D252">
        <v>2</v>
      </c>
      <c r="E252" t="s">
        <v>8</v>
      </c>
      <c r="F252" t="s">
        <v>14</v>
      </c>
      <c r="G252">
        <v>12829.455099999999</v>
      </c>
    </row>
    <row r="253" spans="1:7" x14ac:dyDescent="0.25">
      <c r="A253">
        <v>63</v>
      </c>
      <c r="B253" t="s">
        <v>7</v>
      </c>
      <c r="C253">
        <v>32.200000000000003</v>
      </c>
      <c r="D253">
        <v>2</v>
      </c>
      <c r="E253" t="s">
        <v>8</v>
      </c>
      <c r="F253" t="s">
        <v>9</v>
      </c>
      <c r="G253">
        <v>47305.305</v>
      </c>
    </row>
    <row r="254" spans="1:7" x14ac:dyDescent="0.25">
      <c r="A254">
        <v>54</v>
      </c>
      <c r="B254" t="s">
        <v>10</v>
      </c>
      <c r="C254">
        <v>34.21</v>
      </c>
      <c r="D254">
        <v>2</v>
      </c>
      <c r="E254" t="s">
        <v>8</v>
      </c>
      <c r="F254" t="s">
        <v>12</v>
      </c>
      <c r="G254">
        <v>44260.749900000003</v>
      </c>
    </row>
    <row r="255" spans="1:7" x14ac:dyDescent="0.25">
      <c r="A255">
        <v>27</v>
      </c>
      <c r="B255" t="s">
        <v>10</v>
      </c>
      <c r="C255">
        <v>30.3</v>
      </c>
      <c r="D255">
        <v>3</v>
      </c>
      <c r="E255" t="s">
        <v>11</v>
      </c>
      <c r="F255" t="s">
        <v>9</v>
      </c>
      <c r="G255">
        <v>4260.7439999999997</v>
      </c>
    </row>
    <row r="256" spans="1:7" x14ac:dyDescent="0.25">
      <c r="A256">
        <v>50</v>
      </c>
      <c r="B256" t="s">
        <v>10</v>
      </c>
      <c r="C256">
        <v>31.824999999999999</v>
      </c>
      <c r="D256">
        <v>0</v>
      </c>
      <c r="E256" t="s">
        <v>8</v>
      </c>
      <c r="F256" t="s">
        <v>14</v>
      </c>
      <c r="G256">
        <v>41097.161749999999</v>
      </c>
    </row>
    <row r="257" spans="1:7" x14ac:dyDescent="0.25">
      <c r="A257">
        <v>55</v>
      </c>
      <c r="B257" t="s">
        <v>7</v>
      </c>
      <c r="C257">
        <v>25.364999999999998</v>
      </c>
      <c r="D257">
        <v>3</v>
      </c>
      <c r="E257" t="s">
        <v>11</v>
      </c>
      <c r="F257" t="s">
        <v>14</v>
      </c>
      <c r="G257">
        <v>13047.332350000001</v>
      </c>
    </row>
    <row r="258" spans="1:7" x14ac:dyDescent="0.25">
      <c r="A258">
        <v>56</v>
      </c>
      <c r="B258" t="s">
        <v>10</v>
      </c>
      <c r="C258">
        <v>33.630000000000003</v>
      </c>
      <c r="D258">
        <v>0</v>
      </c>
      <c r="E258" t="s">
        <v>8</v>
      </c>
      <c r="F258" t="s">
        <v>13</v>
      </c>
      <c r="G258">
        <v>43921.183700000001</v>
      </c>
    </row>
    <row r="259" spans="1:7" x14ac:dyDescent="0.25">
      <c r="A259">
        <v>38</v>
      </c>
      <c r="B259" t="s">
        <v>7</v>
      </c>
      <c r="C259">
        <v>40.15</v>
      </c>
      <c r="D259">
        <v>0</v>
      </c>
      <c r="E259" t="s">
        <v>11</v>
      </c>
      <c r="F259" t="s">
        <v>12</v>
      </c>
      <c r="G259">
        <v>5400.9804999999997</v>
      </c>
    </row>
    <row r="260" spans="1:7" x14ac:dyDescent="0.25">
      <c r="A260">
        <v>51</v>
      </c>
      <c r="B260" t="s">
        <v>10</v>
      </c>
      <c r="C260">
        <v>24.414999999999999</v>
      </c>
      <c r="D260">
        <v>4</v>
      </c>
      <c r="E260" t="s">
        <v>11</v>
      </c>
      <c r="F260" t="s">
        <v>13</v>
      </c>
      <c r="G260">
        <v>11520.099850000001</v>
      </c>
    </row>
    <row r="261" spans="1:7" x14ac:dyDescent="0.25">
      <c r="A261">
        <v>19</v>
      </c>
      <c r="B261" t="s">
        <v>10</v>
      </c>
      <c r="C261">
        <v>31.92</v>
      </c>
      <c r="D261">
        <v>0</v>
      </c>
      <c r="E261" t="s">
        <v>8</v>
      </c>
      <c r="F261" t="s">
        <v>13</v>
      </c>
      <c r="G261">
        <v>33750.291799999999</v>
      </c>
    </row>
    <row r="262" spans="1:7" x14ac:dyDescent="0.25">
      <c r="A262">
        <v>58</v>
      </c>
      <c r="B262" t="s">
        <v>7</v>
      </c>
      <c r="C262">
        <v>25.2</v>
      </c>
      <c r="D262">
        <v>0</v>
      </c>
      <c r="E262" t="s">
        <v>11</v>
      </c>
      <c r="F262" t="s">
        <v>9</v>
      </c>
      <c r="G262">
        <v>11837.16</v>
      </c>
    </row>
    <row r="263" spans="1:7" x14ac:dyDescent="0.25">
      <c r="A263">
        <v>20</v>
      </c>
      <c r="B263" t="s">
        <v>7</v>
      </c>
      <c r="C263">
        <v>26.84</v>
      </c>
      <c r="D263">
        <v>1</v>
      </c>
      <c r="E263" t="s">
        <v>8</v>
      </c>
      <c r="F263" t="s">
        <v>12</v>
      </c>
      <c r="G263">
        <v>17085.267599999999</v>
      </c>
    </row>
    <row r="264" spans="1:7" x14ac:dyDescent="0.25">
      <c r="A264">
        <v>52</v>
      </c>
      <c r="B264" t="s">
        <v>10</v>
      </c>
      <c r="C264">
        <v>24.32</v>
      </c>
      <c r="D264">
        <v>3</v>
      </c>
      <c r="E264" t="s">
        <v>8</v>
      </c>
      <c r="F264" t="s">
        <v>14</v>
      </c>
      <c r="G264">
        <v>24869.836800000001</v>
      </c>
    </row>
    <row r="265" spans="1:7" x14ac:dyDescent="0.25">
      <c r="A265">
        <v>19</v>
      </c>
      <c r="B265" t="s">
        <v>10</v>
      </c>
      <c r="C265">
        <v>36.954999999999998</v>
      </c>
      <c r="D265">
        <v>0</v>
      </c>
      <c r="E265" t="s">
        <v>8</v>
      </c>
      <c r="F265" t="s">
        <v>13</v>
      </c>
      <c r="G265">
        <v>36219.405449999998</v>
      </c>
    </row>
    <row r="266" spans="1:7" x14ac:dyDescent="0.25">
      <c r="A266">
        <v>53</v>
      </c>
      <c r="B266" t="s">
        <v>7</v>
      </c>
      <c r="C266">
        <v>38.06</v>
      </c>
      <c r="D266">
        <v>3</v>
      </c>
      <c r="E266" t="s">
        <v>11</v>
      </c>
      <c r="F266" t="s">
        <v>12</v>
      </c>
      <c r="G266">
        <v>20462.997660000001</v>
      </c>
    </row>
    <row r="267" spans="1:7" x14ac:dyDescent="0.25">
      <c r="A267">
        <v>46</v>
      </c>
      <c r="B267" t="s">
        <v>10</v>
      </c>
      <c r="C267">
        <v>42.35</v>
      </c>
      <c r="D267">
        <v>3</v>
      </c>
      <c r="E267" t="s">
        <v>8</v>
      </c>
      <c r="F267" t="s">
        <v>12</v>
      </c>
      <c r="G267">
        <v>46151.124499999998</v>
      </c>
    </row>
    <row r="268" spans="1:7" x14ac:dyDescent="0.25">
      <c r="A268">
        <v>40</v>
      </c>
      <c r="B268" t="s">
        <v>10</v>
      </c>
      <c r="C268">
        <v>19.8</v>
      </c>
      <c r="D268">
        <v>1</v>
      </c>
      <c r="E268" t="s">
        <v>8</v>
      </c>
      <c r="F268" t="s">
        <v>12</v>
      </c>
      <c r="G268">
        <v>17179.522000000001</v>
      </c>
    </row>
    <row r="269" spans="1:7" x14ac:dyDescent="0.25">
      <c r="A269">
        <v>59</v>
      </c>
      <c r="B269" t="s">
        <v>7</v>
      </c>
      <c r="C269">
        <v>32.395000000000003</v>
      </c>
      <c r="D269">
        <v>3</v>
      </c>
      <c r="E269" t="s">
        <v>11</v>
      </c>
      <c r="F269" t="s">
        <v>14</v>
      </c>
      <c r="G269">
        <v>14590.63205</v>
      </c>
    </row>
    <row r="270" spans="1:7" x14ac:dyDescent="0.25">
      <c r="A270">
        <v>45</v>
      </c>
      <c r="B270" t="s">
        <v>10</v>
      </c>
      <c r="C270">
        <v>30.2</v>
      </c>
      <c r="D270">
        <v>1</v>
      </c>
      <c r="E270" t="s">
        <v>11</v>
      </c>
      <c r="F270" t="s">
        <v>9</v>
      </c>
      <c r="G270">
        <v>7441.0529999999999</v>
      </c>
    </row>
    <row r="271" spans="1:7" x14ac:dyDescent="0.25">
      <c r="A271">
        <v>49</v>
      </c>
      <c r="B271" t="s">
        <v>10</v>
      </c>
      <c r="C271">
        <v>25.84</v>
      </c>
      <c r="D271">
        <v>1</v>
      </c>
      <c r="E271" t="s">
        <v>11</v>
      </c>
      <c r="F271" t="s">
        <v>14</v>
      </c>
      <c r="G271">
        <v>9282.4806000000008</v>
      </c>
    </row>
    <row r="272" spans="1:7" x14ac:dyDescent="0.25">
      <c r="A272">
        <v>18</v>
      </c>
      <c r="B272" t="s">
        <v>10</v>
      </c>
      <c r="C272">
        <v>29.37</v>
      </c>
      <c r="D272">
        <v>1</v>
      </c>
      <c r="E272" t="s">
        <v>11</v>
      </c>
      <c r="F272" t="s">
        <v>12</v>
      </c>
      <c r="G272">
        <v>1719.4363000000001</v>
      </c>
    </row>
    <row r="273" spans="1:7" x14ac:dyDescent="0.25">
      <c r="A273">
        <v>50</v>
      </c>
      <c r="B273" t="s">
        <v>10</v>
      </c>
      <c r="C273">
        <v>34.200000000000003</v>
      </c>
      <c r="D273">
        <v>2</v>
      </c>
      <c r="E273" t="s">
        <v>8</v>
      </c>
      <c r="F273" t="s">
        <v>9</v>
      </c>
      <c r="G273">
        <v>42856.838000000003</v>
      </c>
    </row>
    <row r="274" spans="1:7" x14ac:dyDescent="0.25">
      <c r="A274">
        <v>41</v>
      </c>
      <c r="B274" t="s">
        <v>10</v>
      </c>
      <c r="C274">
        <v>37.049999999999997</v>
      </c>
      <c r="D274">
        <v>2</v>
      </c>
      <c r="E274" t="s">
        <v>11</v>
      </c>
      <c r="F274" t="s">
        <v>13</v>
      </c>
      <c r="G274">
        <v>7265.7025000000003</v>
      </c>
    </row>
    <row r="275" spans="1:7" x14ac:dyDescent="0.25">
      <c r="A275">
        <v>50</v>
      </c>
      <c r="B275" t="s">
        <v>10</v>
      </c>
      <c r="C275">
        <v>27.454999999999998</v>
      </c>
      <c r="D275">
        <v>1</v>
      </c>
      <c r="E275" t="s">
        <v>11</v>
      </c>
      <c r="F275" t="s">
        <v>14</v>
      </c>
      <c r="G275">
        <v>9617.6624499999998</v>
      </c>
    </row>
    <row r="276" spans="1:7" x14ac:dyDescent="0.25">
      <c r="A276">
        <v>25</v>
      </c>
      <c r="B276" t="s">
        <v>10</v>
      </c>
      <c r="C276">
        <v>27.55</v>
      </c>
      <c r="D276">
        <v>0</v>
      </c>
      <c r="E276" t="s">
        <v>11</v>
      </c>
      <c r="F276" t="s">
        <v>13</v>
      </c>
      <c r="G276">
        <v>2523.1695</v>
      </c>
    </row>
    <row r="277" spans="1:7" x14ac:dyDescent="0.25">
      <c r="A277">
        <v>47</v>
      </c>
      <c r="B277" t="s">
        <v>7</v>
      </c>
      <c r="C277">
        <v>26.6</v>
      </c>
      <c r="D277">
        <v>2</v>
      </c>
      <c r="E277" t="s">
        <v>11</v>
      </c>
      <c r="F277" t="s">
        <v>14</v>
      </c>
      <c r="G277">
        <v>9715.8410000000003</v>
      </c>
    </row>
    <row r="278" spans="1:7" x14ac:dyDescent="0.25">
      <c r="A278">
        <v>19</v>
      </c>
      <c r="B278" t="s">
        <v>10</v>
      </c>
      <c r="C278">
        <v>20.614999999999998</v>
      </c>
      <c r="D278">
        <v>2</v>
      </c>
      <c r="E278" t="s">
        <v>11</v>
      </c>
      <c r="F278" t="s">
        <v>13</v>
      </c>
      <c r="G278">
        <v>2803.69785</v>
      </c>
    </row>
    <row r="279" spans="1:7" x14ac:dyDescent="0.25">
      <c r="A279">
        <v>22</v>
      </c>
      <c r="B279" t="s">
        <v>7</v>
      </c>
      <c r="C279">
        <v>24.3</v>
      </c>
      <c r="D279">
        <v>0</v>
      </c>
      <c r="E279" t="s">
        <v>11</v>
      </c>
      <c r="F279" t="s">
        <v>9</v>
      </c>
      <c r="G279">
        <v>2150.4690000000001</v>
      </c>
    </row>
    <row r="280" spans="1:7" x14ac:dyDescent="0.25">
      <c r="A280">
        <v>59</v>
      </c>
      <c r="B280" t="s">
        <v>10</v>
      </c>
      <c r="C280">
        <v>31.79</v>
      </c>
      <c r="D280">
        <v>2</v>
      </c>
      <c r="E280" t="s">
        <v>11</v>
      </c>
      <c r="F280" t="s">
        <v>12</v>
      </c>
      <c r="G280">
        <v>12928.7911</v>
      </c>
    </row>
    <row r="281" spans="1:7" x14ac:dyDescent="0.25">
      <c r="A281">
        <v>51</v>
      </c>
      <c r="B281" t="s">
        <v>7</v>
      </c>
      <c r="C281">
        <v>21.56</v>
      </c>
      <c r="D281">
        <v>1</v>
      </c>
      <c r="E281" t="s">
        <v>11</v>
      </c>
      <c r="F281" t="s">
        <v>12</v>
      </c>
      <c r="G281">
        <v>9855.1314000000002</v>
      </c>
    </row>
    <row r="282" spans="1:7" x14ac:dyDescent="0.25">
      <c r="A282">
        <v>40</v>
      </c>
      <c r="B282" t="s">
        <v>7</v>
      </c>
      <c r="C282">
        <v>28.12</v>
      </c>
      <c r="D282">
        <v>1</v>
      </c>
      <c r="E282" t="s">
        <v>8</v>
      </c>
      <c r="F282" t="s">
        <v>14</v>
      </c>
      <c r="G282">
        <v>22331.566800000001</v>
      </c>
    </row>
    <row r="283" spans="1:7" x14ac:dyDescent="0.25">
      <c r="A283">
        <v>54</v>
      </c>
      <c r="B283" t="s">
        <v>10</v>
      </c>
      <c r="C283">
        <v>40.564999999999998</v>
      </c>
      <c r="D283">
        <v>3</v>
      </c>
      <c r="E283" t="s">
        <v>8</v>
      </c>
      <c r="F283" t="s">
        <v>14</v>
      </c>
      <c r="G283">
        <v>48549.178350000002</v>
      </c>
    </row>
    <row r="284" spans="1:7" x14ac:dyDescent="0.25">
      <c r="A284">
        <v>30</v>
      </c>
      <c r="B284" t="s">
        <v>10</v>
      </c>
      <c r="C284">
        <v>27.645</v>
      </c>
      <c r="D284">
        <v>1</v>
      </c>
      <c r="E284" t="s">
        <v>11</v>
      </c>
      <c r="F284" t="s">
        <v>14</v>
      </c>
      <c r="G284">
        <v>4237.12655</v>
      </c>
    </row>
    <row r="285" spans="1:7" x14ac:dyDescent="0.25">
      <c r="A285">
        <v>55</v>
      </c>
      <c r="B285" t="s">
        <v>7</v>
      </c>
      <c r="C285">
        <v>32.395000000000003</v>
      </c>
      <c r="D285">
        <v>1</v>
      </c>
      <c r="E285" t="s">
        <v>11</v>
      </c>
      <c r="F285" t="s">
        <v>14</v>
      </c>
      <c r="G285">
        <v>11879.10405</v>
      </c>
    </row>
    <row r="286" spans="1:7" x14ac:dyDescent="0.25">
      <c r="A286">
        <v>52</v>
      </c>
      <c r="B286" t="s">
        <v>7</v>
      </c>
      <c r="C286">
        <v>31.2</v>
      </c>
      <c r="D286">
        <v>0</v>
      </c>
      <c r="E286" t="s">
        <v>11</v>
      </c>
      <c r="F286" t="s">
        <v>9</v>
      </c>
      <c r="G286">
        <v>9625.92</v>
      </c>
    </row>
    <row r="287" spans="1:7" x14ac:dyDescent="0.25">
      <c r="A287">
        <v>46</v>
      </c>
      <c r="B287" t="s">
        <v>10</v>
      </c>
      <c r="C287">
        <v>26.62</v>
      </c>
      <c r="D287">
        <v>1</v>
      </c>
      <c r="E287" t="s">
        <v>11</v>
      </c>
      <c r="F287" t="s">
        <v>12</v>
      </c>
      <c r="G287">
        <v>7742.1098000000002</v>
      </c>
    </row>
    <row r="288" spans="1:7" x14ac:dyDescent="0.25">
      <c r="A288">
        <v>46</v>
      </c>
      <c r="B288" t="s">
        <v>7</v>
      </c>
      <c r="C288">
        <v>48.07</v>
      </c>
      <c r="D288">
        <v>2</v>
      </c>
      <c r="E288" t="s">
        <v>11</v>
      </c>
      <c r="F288" t="s">
        <v>14</v>
      </c>
      <c r="G288">
        <v>9432.9253000000008</v>
      </c>
    </row>
    <row r="289" spans="1:7" x14ac:dyDescent="0.25">
      <c r="A289">
        <v>63</v>
      </c>
      <c r="B289" t="s">
        <v>7</v>
      </c>
      <c r="C289">
        <v>26.22</v>
      </c>
      <c r="D289">
        <v>0</v>
      </c>
      <c r="E289" t="s">
        <v>11</v>
      </c>
      <c r="F289" t="s">
        <v>13</v>
      </c>
      <c r="G289">
        <v>14256.192800000001</v>
      </c>
    </row>
    <row r="290" spans="1:7" x14ac:dyDescent="0.25">
      <c r="A290">
        <v>59</v>
      </c>
      <c r="B290" t="s">
        <v>7</v>
      </c>
      <c r="C290">
        <v>36.765000000000001</v>
      </c>
      <c r="D290">
        <v>1</v>
      </c>
      <c r="E290" t="s">
        <v>8</v>
      </c>
      <c r="F290" t="s">
        <v>14</v>
      </c>
      <c r="G290">
        <v>47896.79135</v>
      </c>
    </row>
    <row r="291" spans="1:7" x14ac:dyDescent="0.25">
      <c r="A291">
        <v>52</v>
      </c>
      <c r="B291" t="s">
        <v>10</v>
      </c>
      <c r="C291">
        <v>26.4</v>
      </c>
      <c r="D291">
        <v>3</v>
      </c>
      <c r="E291" t="s">
        <v>11</v>
      </c>
      <c r="F291" t="s">
        <v>12</v>
      </c>
      <c r="G291">
        <v>25992.821039999999</v>
      </c>
    </row>
    <row r="292" spans="1:7" x14ac:dyDescent="0.25">
      <c r="A292">
        <v>28</v>
      </c>
      <c r="B292" t="s">
        <v>7</v>
      </c>
      <c r="C292">
        <v>33.4</v>
      </c>
      <c r="D292">
        <v>0</v>
      </c>
      <c r="E292" t="s">
        <v>11</v>
      </c>
      <c r="F292" t="s">
        <v>9</v>
      </c>
      <c r="G292">
        <v>3172.018</v>
      </c>
    </row>
    <row r="293" spans="1:7" x14ac:dyDescent="0.25">
      <c r="A293">
        <v>29</v>
      </c>
      <c r="B293" t="s">
        <v>10</v>
      </c>
      <c r="C293">
        <v>29.64</v>
      </c>
      <c r="D293">
        <v>1</v>
      </c>
      <c r="E293" t="s">
        <v>11</v>
      </c>
      <c r="F293" t="s">
        <v>14</v>
      </c>
      <c r="G293">
        <v>20277.807509999999</v>
      </c>
    </row>
    <row r="294" spans="1:7" x14ac:dyDescent="0.25">
      <c r="A294">
        <v>25</v>
      </c>
      <c r="B294" t="s">
        <v>10</v>
      </c>
      <c r="C294">
        <v>45.54</v>
      </c>
      <c r="D294">
        <v>2</v>
      </c>
      <c r="E294" t="s">
        <v>8</v>
      </c>
      <c r="F294" t="s">
        <v>12</v>
      </c>
      <c r="G294">
        <v>42112.2356</v>
      </c>
    </row>
    <row r="295" spans="1:7" x14ac:dyDescent="0.25">
      <c r="A295">
        <v>22</v>
      </c>
      <c r="B295" t="s">
        <v>7</v>
      </c>
      <c r="C295">
        <v>28.82</v>
      </c>
      <c r="D295">
        <v>0</v>
      </c>
      <c r="E295" t="s">
        <v>11</v>
      </c>
      <c r="F295" t="s">
        <v>12</v>
      </c>
      <c r="G295">
        <v>2156.7518</v>
      </c>
    </row>
    <row r="296" spans="1:7" x14ac:dyDescent="0.25">
      <c r="A296">
        <v>25</v>
      </c>
      <c r="B296" t="s">
        <v>10</v>
      </c>
      <c r="C296">
        <v>26.8</v>
      </c>
      <c r="D296">
        <v>3</v>
      </c>
      <c r="E296" t="s">
        <v>11</v>
      </c>
      <c r="F296" t="s">
        <v>9</v>
      </c>
      <c r="G296">
        <v>3906.127</v>
      </c>
    </row>
    <row r="297" spans="1:7" x14ac:dyDescent="0.25">
      <c r="A297">
        <v>18</v>
      </c>
      <c r="B297" t="s">
        <v>10</v>
      </c>
      <c r="C297">
        <v>22.99</v>
      </c>
      <c r="D297">
        <v>0</v>
      </c>
      <c r="E297" t="s">
        <v>11</v>
      </c>
      <c r="F297" t="s">
        <v>14</v>
      </c>
      <c r="G297">
        <v>1704.5681</v>
      </c>
    </row>
    <row r="298" spans="1:7" x14ac:dyDescent="0.25">
      <c r="A298">
        <v>19</v>
      </c>
      <c r="B298" t="s">
        <v>10</v>
      </c>
      <c r="C298">
        <v>27.7</v>
      </c>
      <c r="D298">
        <v>0</v>
      </c>
      <c r="E298" t="s">
        <v>8</v>
      </c>
      <c r="F298" t="s">
        <v>9</v>
      </c>
      <c r="G298">
        <v>16297.846</v>
      </c>
    </row>
    <row r="299" spans="1:7" x14ac:dyDescent="0.25">
      <c r="A299">
        <v>47</v>
      </c>
      <c r="B299" t="s">
        <v>10</v>
      </c>
      <c r="C299">
        <v>25.41</v>
      </c>
      <c r="D299">
        <v>1</v>
      </c>
      <c r="E299" t="s">
        <v>8</v>
      </c>
      <c r="F299" t="s">
        <v>12</v>
      </c>
      <c r="G299">
        <v>21978.676899999999</v>
      </c>
    </row>
    <row r="300" spans="1:7" x14ac:dyDescent="0.25">
      <c r="A300">
        <v>31</v>
      </c>
      <c r="B300" t="s">
        <v>10</v>
      </c>
      <c r="C300">
        <v>34.39</v>
      </c>
      <c r="D300">
        <v>3</v>
      </c>
      <c r="E300" t="s">
        <v>8</v>
      </c>
      <c r="F300" t="s">
        <v>13</v>
      </c>
      <c r="G300">
        <v>38746.355100000001</v>
      </c>
    </row>
    <row r="301" spans="1:7" x14ac:dyDescent="0.25">
      <c r="A301">
        <v>48</v>
      </c>
      <c r="B301" t="s">
        <v>7</v>
      </c>
      <c r="C301">
        <v>28.88</v>
      </c>
      <c r="D301">
        <v>1</v>
      </c>
      <c r="E301" t="s">
        <v>11</v>
      </c>
      <c r="F301" t="s">
        <v>13</v>
      </c>
      <c r="G301">
        <v>9249.4951999999994</v>
      </c>
    </row>
    <row r="302" spans="1:7" x14ac:dyDescent="0.25">
      <c r="A302">
        <v>36</v>
      </c>
      <c r="B302" t="s">
        <v>10</v>
      </c>
      <c r="C302">
        <v>27.55</v>
      </c>
      <c r="D302">
        <v>3</v>
      </c>
      <c r="E302" t="s">
        <v>11</v>
      </c>
      <c r="F302" t="s">
        <v>14</v>
      </c>
      <c r="G302">
        <v>6746.7425000000003</v>
      </c>
    </row>
    <row r="303" spans="1:7" x14ac:dyDescent="0.25">
      <c r="A303">
        <v>53</v>
      </c>
      <c r="B303" t="s">
        <v>7</v>
      </c>
      <c r="C303">
        <v>22.61</v>
      </c>
      <c r="D303">
        <v>3</v>
      </c>
      <c r="E303" t="s">
        <v>8</v>
      </c>
      <c r="F303" t="s">
        <v>14</v>
      </c>
      <c r="G303">
        <v>24873.384900000001</v>
      </c>
    </row>
    <row r="304" spans="1:7" x14ac:dyDescent="0.25">
      <c r="A304">
        <v>56</v>
      </c>
      <c r="B304" t="s">
        <v>7</v>
      </c>
      <c r="C304">
        <v>37.51</v>
      </c>
      <c r="D304">
        <v>2</v>
      </c>
      <c r="E304" t="s">
        <v>11</v>
      </c>
      <c r="F304" t="s">
        <v>12</v>
      </c>
      <c r="G304">
        <v>12265.5069</v>
      </c>
    </row>
    <row r="305" spans="1:7" x14ac:dyDescent="0.25">
      <c r="A305">
        <v>28</v>
      </c>
      <c r="B305" t="s">
        <v>7</v>
      </c>
      <c r="C305">
        <v>33</v>
      </c>
      <c r="D305">
        <v>2</v>
      </c>
      <c r="E305" t="s">
        <v>11</v>
      </c>
      <c r="F305" t="s">
        <v>12</v>
      </c>
      <c r="G305">
        <v>4349.4620000000004</v>
      </c>
    </row>
    <row r="306" spans="1:7" x14ac:dyDescent="0.25">
      <c r="A306">
        <v>57</v>
      </c>
      <c r="B306" t="s">
        <v>7</v>
      </c>
      <c r="C306">
        <v>38</v>
      </c>
      <c r="D306">
        <v>2</v>
      </c>
      <c r="E306" t="s">
        <v>11</v>
      </c>
      <c r="F306" t="s">
        <v>9</v>
      </c>
      <c r="G306">
        <v>12646.207</v>
      </c>
    </row>
    <row r="307" spans="1:7" x14ac:dyDescent="0.25">
      <c r="A307">
        <v>29</v>
      </c>
      <c r="B307" t="s">
        <v>10</v>
      </c>
      <c r="C307">
        <v>33.344999999999999</v>
      </c>
      <c r="D307">
        <v>2</v>
      </c>
      <c r="E307" t="s">
        <v>11</v>
      </c>
      <c r="F307" t="s">
        <v>13</v>
      </c>
      <c r="G307">
        <v>19442.353500000001</v>
      </c>
    </row>
    <row r="308" spans="1:7" x14ac:dyDescent="0.25">
      <c r="A308">
        <v>28</v>
      </c>
      <c r="B308" t="s">
        <v>7</v>
      </c>
      <c r="C308">
        <v>27.5</v>
      </c>
      <c r="D308">
        <v>2</v>
      </c>
      <c r="E308" t="s">
        <v>11</v>
      </c>
      <c r="F308" t="s">
        <v>9</v>
      </c>
      <c r="G308">
        <v>20177.671129999999</v>
      </c>
    </row>
    <row r="309" spans="1:7" x14ac:dyDescent="0.25">
      <c r="A309">
        <v>30</v>
      </c>
      <c r="B309" t="s">
        <v>7</v>
      </c>
      <c r="C309">
        <v>33.33</v>
      </c>
      <c r="D309">
        <v>1</v>
      </c>
      <c r="E309" t="s">
        <v>11</v>
      </c>
      <c r="F309" t="s">
        <v>12</v>
      </c>
      <c r="G309">
        <v>4151.0286999999998</v>
      </c>
    </row>
    <row r="310" spans="1:7" x14ac:dyDescent="0.25">
      <c r="A310">
        <v>58</v>
      </c>
      <c r="B310" t="s">
        <v>10</v>
      </c>
      <c r="C310">
        <v>34.865000000000002</v>
      </c>
      <c r="D310">
        <v>0</v>
      </c>
      <c r="E310" t="s">
        <v>11</v>
      </c>
      <c r="F310" t="s">
        <v>14</v>
      </c>
      <c r="G310">
        <v>11944.594349999999</v>
      </c>
    </row>
    <row r="311" spans="1:7" x14ac:dyDescent="0.25">
      <c r="A311">
        <v>41</v>
      </c>
      <c r="B311" t="s">
        <v>7</v>
      </c>
      <c r="C311">
        <v>33.06</v>
      </c>
      <c r="D311">
        <v>2</v>
      </c>
      <c r="E311" t="s">
        <v>11</v>
      </c>
      <c r="F311" t="s">
        <v>13</v>
      </c>
      <c r="G311">
        <v>7749.1563999999998</v>
      </c>
    </row>
    <row r="312" spans="1:7" x14ac:dyDescent="0.25">
      <c r="A312">
        <v>50</v>
      </c>
      <c r="B312" t="s">
        <v>10</v>
      </c>
      <c r="C312">
        <v>26.6</v>
      </c>
      <c r="D312">
        <v>0</v>
      </c>
      <c r="E312" t="s">
        <v>11</v>
      </c>
      <c r="F312" t="s">
        <v>9</v>
      </c>
      <c r="G312">
        <v>8444.4740000000002</v>
      </c>
    </row>
    <row r="313" spans="1:7" x14ac:dyDescent="0.25">
      <c r="A313">
        <v>19</v>
      </c>
      <c r="B313" t="s">
        <v>7</v>
      </c>
      <c r="C313">
        <v>24.7</v>
      </c>
      <c r="D313">
        <v>0</v>
      </c>
      <c r="E313" t="s">
        <v>11</v>
      </c>
      <c r="F313" t="s">
        <v>9</v>
      </c>
      <c r="G313">
        <v>1737.376</v>
      </c>
    </row>
    <row r="314" spans="1:7" x14ac:dyDescent="0.25">
      <c r="A314">
        <v>43</v>
      </c>
      <c r="B314" t="s">
        <v>10</v>
      </c>
      <c r="C314">
        <v>35.97</v>
      </c>
      <c r="D314">
        <v>3</v>
      </c>
      <c r="E314" t="s">
        <v>8</v>
      </c>
      <c r="F314" t="s">
        <v>12</v>
      </c>
      <c r="G314">
        <v>42124.515299999999</v>
      </c>
    </row>
    <row r="315" spans="1:7" x14ac:dyDescent="0.25">
      <c r="A315">
        <v>49</v>
      </c>
      <c r="B315" t="s">
        <v>10</v>
      </c>
      <c r="C315">
        <v>35.86</v>
      </c>
      <c r="D315">
        <v>0</v>
      </c>
      <c r="E315" t="s">
        <v>11</v>
      </c>
      <c r="F315" t="s">
        <v>12</v>
      </c>
      <c r="G315">
        <v>8124.4084000000003</v>
      </c>
    </row>
    <row r="316" spans="1:7" x14ac:dyDescent="0.25">
      <c r="A316">
        <v>27</v>
      </c>
      <c r="B316" t="s">
        <v>7</v>
      </c>
      <c r="C316">
        <v>31.4</v>
      </c>
      <c r="D316">
        <v>0</v>
      </c>
      <c r="E316" t="s">
        <v>8</v>
      </c>
      <c r="F316" t="s">
        <v>9</v>
      </c>
      <c r="G316">
        <v>34838.873</v>
      </c>
    </row>
    <row r="317" spans="1:7" x14ac:dyDescent="0.25">
      <c r="A317">
        <v>52</v>
      </c>
      <c r="B317" t="s">
        <v>10</v>
      </c>
      <c r="C317">
        <v>33.25</v>
      </c>
      <c r="D317">
        <v>0</v>
      </c>
      <c r="E317" t="s">
        <v>11</v>
      </c>
      <c r="F317" t="s">
        <v>14</v>
      </c>
      <c r="G317">
        <v>9722.7695000000003</v>
      </c>
    </row>
    <row r="318" spans="1:7" x14ac:dyDescent="0.25">
      <c r="A318">
        <v>50</v>
      </c>
      <c r="B318" t="s">
        <v>10</v>
      </c>
      <c r="C318">
        <v>32.204999999999998</v>
      </c>
      <c r="D318">
        <v>0</v>
      </c>
      <c r="E318" t="s">
        <v>11</v>
      </c>
      <c r="F318" t="s">
        <v>13</v>
      </c>
      <c r="G318">
        <v>8835.2649500000007</v>
      </c>
    </row>
    <row r="319" spans="1:7" x14ac:dyDescent="0.25">
      <c r="A319">
        <v>54</v>
      </c>
      <c r="B319" t="s">
        <v>10</v>
      </c>
      <c r="C319">
        <v>32.774999999999999</v>
      </c>
      <c r="D319">
        <v>0</v>
      </c>
      <c r="E319" t="s">
        <v>11</v>
      </c>
      <c r="F319" t="s">
        <v>14</v>
      </c>
      <c r="G319">
        <v>10435.06525</v>
      </c>
    </row>
    <row r="320" spans="1:7" x14ac:dyDescent="0.25">
      <c r="A320">
        <v>44</v>
      </c>
      <c r="B320" t="s">
        <v>7</v>
      </c>
      <c r="C320">
        <v>27.645</v>
      </c>
      <c r="D320">
        <v>0</v>
      </c>
      <c r="E320" t="s">
        <v>11</v>
      </c>
      <c r="F320" t="s">
        <v>13</v>
      </c>
      <c r="G320">
        <v>7421.1945500000002</v>
      </c>
    </row>
    <row r="321" spans="1:7" x14ac:dyDescent="0.25">
      <c r="A321">
        <v>32</v>
      </c>
      <c r="B321" t="s">
        <v>10</v>
      </c>
      <c r="C321">
        <v>37.335000000000001</v>
      </c>
      <c r="D321">
        <v>1</v>
      </c>
      <c r="E321" t="s">
        <v>11</v>
      </c>
      <c r="F321" t="s">
        <v>14</v>
      </c>
      <c r="G321">
        <v>4667.6076499999999</v>
      </c>
    </row>
    <row r="322" spans="1:7" x14ac:dyDescent="0.25">
      <c r="A322">
        <v>34</v>
      </c>
      <c r="B322" t="s">
        <v>10</v>
      </c>
      <c r="C322">
        <v>25.27</v>
      </c>
      <c r="D322">
        <v>1</v>
      </c>
      <c r="E322" t="s">
        <v>11</v>
      </c>
      <c r="F322" t="s">
        <v>13</v>
      </c>
      <c r="G322">
        <v>4894.7533000000003</v>
      </c>
    </row>
    <row r="323" spans="1:7" x14ac:dyDescent="0.25">
      <c r="A323">
        <v>26</v>
      </c>
      <c r="B323" t="s">
        <v>7</v>
      </c>
      <c r="C323">
        <v>29.64</v>
      </c>
      <c r="D323">
        <v>4</v>
      </c>
      <c r="E323" t="s">
        <v>11</v>
      </c>
      <c r="F323" t="s">
        <v>14</v>
      </c>
      <c r="G323">
        <v>24671.663339999999</v>
      </c>
    </row>
    <row r="324" spans="1:7" x14ac:dyDescent="0.25">
      <c r="A324">
        <v>34</v>
      </c>
      <c r="B324" t="s">
        <v>10</v>
      </c>
      <c r="C324">
        <v>30.8</v>
      </c>
      <c r="D324">
        <v>0</v>
      </c>
      <c r="E324" t="s">
        <v>8</v>
      </c>
      <c r="F324" t="s">
        <v>9</v>
      </c>
      <c r="G324">
        <v>35491.64</v>
      </c>
    </row>
    <row r="325" spans="1:7" x14ac:dyDescent="0.25">
      <c r="A325">
        <v>57</v>
      </c>
      <c r="B325" t="s">
        <v>10</v>
      </c>
      <c r="C325">
        <v>40.945</v>
      </c>
      <c r="D325">
        <v>0</v>
      </c>
      <c r="E325" t="s">
        <v>11</v>
      </c>
      <c r="F325" t="s">
        <v>14</v>
      </c>
      <c r="G325">
        <v>11566.30055</v>
      </c>
    </row>
    <row r="326" spans="1:7" x14ac:dyDescent="0.25">
      <c r="A326">
        <v>29</v>
      </c>
      <c r="B326" t="s">
        <v>10</v>
      </c>
      <c r="C326">
        <v>27.2</v>
      </c>
      <c r="D326">
        <v>0</v>
      </c>
      <c r="E326" t="s">
        <v>11</v>
      </c>
      <c r="F326" t="s">
        <v>9</v>
      </c>
      <c r="G326">
        <v>2866.0909999999999</v>
      </c>
    </row>
    <row r="327" spans="1:7" x14ac:dyDescent="0.25">
      <c r="A327">
        <v>40</v>
      </c>
      <c r="B327" t="s">
        <v>10</v>
      </c>
      <c r="C327">
        <v>34.104999999999997</v>
      </c>
      <c r="D327">
        <v>1</v>
      </c>
      <c r="E327" t="s">
        <v>11</v>
      </c>
      <c r="F327" t="s">
        <v>14</v>
      </c>
      <c r="G327">
        <v>6600.2059499999996</v>
      </c>
    </row>
    <row r="328" spans="1:7" x14ac:dyDescent="0.25">
      <c r="A328">
        <v>27</v>
      </c>
      <c r="B328" t="s">
        <v>7</v>
      </c>
      <c r="C328">
        <v>23.21</v>
      </c>
      <c r="D328">
        <v>1</v>
      </c>
      <c r="E328" t="s">
        <v>11</v>
      </c>
      <c r="F328" t="s">
        <v>12</v>
      </c>
      <c r="G328">
        <v>3561.8888999999999</v>
      </c>
    </row>
    <row r="329" spans="1:7" x14ac:dyDescent="0.25">
      <c r="A329">
        <v>45</v>
      </c>
      <c r="B329" t="s">
        <v>10</v>
      </c>
      <c r="C329">
        <v>36.479999999999997</v>
      </c>
      <c r="D329">
        <v>2</v>
      </c>
      <c r="E329" t="s">
        <v>8</v>
      </c>
      <c r="F329" t="s">
        <v>13</v>
      </c>
      <c r="G329">
        <v>42760.502200000003</v>
      </c>
    </row>
    <row r="330" spans="1:7" x14ac:dyDescent="0.25">
      <c r="A330">
        <v>64</v>
      </c>
      <c r="B330" t="s">
        <v>7</v>
      </c>
      <c r="C330">
        <v>33.799999999999997</v>
      </c>
      <c r="D330">
        <v>1</v>
      </c>
      <c r="E330" t="s">
        <v>8</v>
      </c>
      <c r="F330" t="s">
        <v>9</v>
      </c>
      <c r="G330">
        <v>47928.03</v>
      </c>
    </row>
    <row r="331" spans="1:7" x14ac:dyDescent="0.25">
      <c r="A331">
        <v>52</v>
      </c>
      <c r="B331" t="s">
        <v>10</v>
      </c>
      <c r="C331">
        <v>36.700000000000003</v>
      </c>
      <c r="D331">
        <v>0</v>
      </c>
      <c r="E331" t="s">
        <v>11</v>
      </c>
      <c r="F331" t="s">
        <v>9</v>
      </c>
      <c r="G331">
        <v>9144.5650000000005</v>
      </c>
    </row>
    <row r="332" spans="1:7" x14ac:dyDescent="0.25">
      <c r="A332">
        <v>61</v>
      </c>
      <c r="B332" t="s">
        <v>7</v>
      </c>
      <c r="C332">
        <v>36.384999999999998</v>
      </c>
      <c r="D332">
        <v>1</v>
      </c>
      <c r="E332" t="s">
        <v>8</v>
      </c>
      <c r="F332" t="s">
        <v>14</v>
      </c>
      <c r="G332">
        <v>48517.563150000002</v>
      </c>
    </row>
    <row r="333" spans="1:7" x14ac:dyDescent="0.25">
      <c r="A333">
        <v>52</v>
      </c>
      <c r="B333" t="s">
        <v>10</v>
      </c>
      <c r="C333">
        <v>27.36</v>
      </c>
      <c r="D333">
        <v>0</v>
      </c>
      <c r="E333" t="s">
        <v>8</v>
      </c>
      <c r="F333" t="s">
        <v>13</v>
      </c>
      <c r="G333">
        <v>24393.6224</v>
      </c>
    </row>
    <row r="334" spans="1:7" x14ac:dyDescent="0.25">
      <c r="A334">
        <v>61</v>
      </c>
      <c r="B334" t="s">
        <v>7</v>
      </c>
      <c r="C334">
        <v>31.16</v>
      </c>
      <c r="D334">
        <v>0</v>
      </c>
      <c r="E334" t="s">
        <v>11</v>
      </c>
      <c r="F334" t="s">
        <v>13</v>
      </c>
      <c r="G334">
        <v>13429.035400000001</v>
      </c>
    </row>
    <row r="335" spans="1:7" x14ac:dyDescent="0.25">
      <c r="A335">
        <v>56</v>
      </c>
      <c r="B335" t="s">
        <v>7</v>
      </c>
      <c r="C335">
        <v>28.785</v>
      </c>
      <c r="D335">
        <v>0</v>
      </c>
      <c r="E335" t="s">
        <v>11</v>
      </c>
      <c r="F335" t="s">
        <v>14</v>
      </c>
      <c r="G335">
        <v>11658.379150000001</v>
      </c>
    </row>
    <row r="336" spans="1:7" x14ac:dyDescent="0.25">
      <c r="A336">
        <v>43</v>
      </c>
      <c r="B336" t="s">
        <v>7</v>
      </c>
      <c r="C336">
        <v>35.72</v>
      </c>
      <c r="D336">
        <v>2</v>
      </c>
      <c r="E336" t="s">
        <v>11</v>
      </c>
      <c r="F336" t="s">
        <v>14</v>
      </c>
      <c r="G336">
        <v>19144.576519999999</v>
      </c>
    </row>
    <row r="337" spans="1:7" x14ac:dyDescent="0.25">
      <c r="A337">
        <v>64</v>
      </c>
      <c r="B337" t="s">
        <v>10</v>
      </c>
      <c r="C337">
        <v>34.5</v>
      </c>
      <c r="D337">
        <v>0</v>
      </c>
      <c r="E337" t="s">
        <v>11</v>
      </c>
      <c r="F337" t="s">
        <v>9</v>
      </c>
      <c r="G337">
        <v>13822.803</v>
      </c>
    </row>
    <row r="338" spans="1:7" x14ac:dyDescent="0.25">
      <c r="A338">
        <v>60</v>
      </c>
      <c r="B338" t="s">
        <v>10</v>
      </c>
      <c r="C338">
        <v>25.74</v>
      </c>
      <c r="D338">
        <v>0</v>
      </c>
      <c r="E338" t="s">
        <v>11</v>
      </c>
      <c r="F338" t="s">
        <v>12</v>
      </c>
      <c r="G338">
        <v>12142.578600000001</v>
      </c>
    </row>
    <row r="339" spans="1:7" x14ac:dyDescent="0.25">
      <c r="A339">
        <v>62</v>
      </c>
      <c r="B339" t="s">
        <v>10</v>
      </c>
      <c r="C339">
        <v>27.55</v>
      </c>
      <c r="D339">
        <v>1</v>
      </c>
      <c r="E339" t="s">
        <v>11</v>
      </c>
      <c r="F339" t="s">
        <v>13</v>
      </c>
      <c r="G339">
        <v>13937.666499999999</v>
      </c>
    </row>
    <row r="340" spans="1:7" x14ac:dyDescent="0.25">
      <c r="A340">
        <v>50</v>
      </c>
      <c r="B340" t="s">
        <v>10</v>
      </c>
      <c r="C340">
        <v>32.299999999999997</v>
      </c>
      <c r="D340">
        <v>1</v>
      </c>
      <c r="E340" t="s">
        <v>8</v>
      </c>
      <c r="F340" t="s">
        <v>14</v>
      </c>
      <c r="G340">
        <v>41919.097000000002</v>
      </c>
    </row>
    <row r="341" spans="1:7" x14ac:dyDescent="0.25">
      <c r="A341">
        <v>46</v>
      </c>
      <c r="B341" t="s">
        <v>7</v>
      </c>
      <c r="C341">
        <v>27.72</v>
      </c>
      <c r="D341">
        <v>1</v>
      </c>
      <c r="E341" t="s">
        <v>11</v>
      </c>
      <c r="F341" t="s">
        <v>12</v>
      </c>
      <c r="G341">
        <v>8232.6388000000006</v>
      </c>
    </row>
    <row r="342" spans="1:7" x14ac:dyDescent="0.25">
      <c r="A342">
        <v>24</v>
      </c>
      <c r="B342" t="s">
        <v>7</v>
      </c>
      <c r="C342">
        <v>27.6</v>
      </c>
      <c r="D342">
        <v>0</v>
      </c>
      <c r="E342" t="s">
        <v>11</v>
      </c>
      <c r="F342" t="s">
        <v>9</v>
      </c>
      <c r="G342">
        <v>18955.220170000001</v>
      </c>
    </row>
    <row r="343" spans="1:7" x14ac:dyDescent="0.25">
      <c r="A343">
        <v>62</v>
      </c>
      <c r="B343" t="s">
        <v>10</v>
      </c>
      <c r="C343">
        <v>30.02</v>
      </c>
      <c r="D343">
        <v>0</v>
      </c>
      <c r="E343" t="s">
        <v>11</v>
      </c>
      <c r="F343" t="s">
        <v>13</v>
      </c>
      <c r="G343">
        <v>13352.0998</v>
      </c>
    </row>
    <row r="344" spans="1:7" x14ac:dyDescent="0.25">
      <c r="A344">
        <v>60</v>
      </c>
      <c r="B344" t="s">
        <v>7</v>
      </c>
      <c r="C344">
        <v>27.55</v>
      </c>
      <c r="D344">
        <v>0</v>
      </c>
      <c r="E344" t="s">
        <v>11</v>
      </c>
      <c r="F344" t="s">
        <v>14</v>
      </c>
      <c r="G344">
        <v>13217.094499999999</v>
      </c>
    </row>
    <row r="345" spans="1:7" x14ac:dyDescent="0.25">
      <c r="A345">
        <v>63</v>
      </c>
      <c r="B345" t="s">
        <v>10</v>
      </c>
      <c r="C345">
        <v>36.765000000000001</v>
      </c>
      <c r="D345">
        <v>0</v>
      </c>
      <c r="E345" t="s">
        <v>11</v>
      </c>
      <c r="F345" t="s">
        <v>14</v>
      </c>
      <c r="G345">
        <v>13981.850350000001</v>
      </c>
    </row>
    <row r="346" spans="1:7" x14ac:dyDescent="0.25">
      <c r="A346">
        <v>49</v>
      </c>
      <c r="B346" t="s">
        <v>7</v>
      </c>
      <c r="C346">
        <v>41.47</v>
      </c>
      <c r="D346">
        <v>4</v>
      </c>
      <c r="E346" t="s">
        <v>11</v>
      </c>
      <c r="F346" t="s">
        <v>12</v>
      </c>
      <c r="G346">
        <v>10977.2063</v>
      </c>
    </row>
    <row r="347" spans="1:7" x14ac:dyDescent="0.25">
      <c r="A347">
        <v>34</v>
      </c>
      <c r="B347" t="s">
        <v>7</v>
      </c>
      <c r="C347">
        <v>29.26</v>
      </c>
      <c r="D347">
        <v>3</v>
      </c>
      <c r="E347" t="s">
        <v>11</v>
      </c>
      <c r="F347" t="s">
        <v>12</v>
      </c>
      <c r="G347">
        <v>6184.2993999999999</v>
      </c>
    </row>
    <row r="348" spans="1:7" x14ac:dyDescent="0.25">
      <c r="A348">
        <v>33</v>
      </c>
      <c r="B348" t="s">
        <v>10</v>
      </c>
      <c r="C348">
        <v>35.75</v>
      </c>
      <c r="D348">
        <v>2</v>
      </c>
      <c r="E348" t="s">
        <v>11</v>
      </c>
      <c r="F348" t="s">
        <v>12</v>
      </c>
      <c r="G348">
        <v>4889.9994999999999</v>
      </c>
    </row>
    <row r="349" spans="1:7" x14ac:dyDescent="0.25">
      <c r="A349">
        <v>46</v>
      </c>
      <c r="B349" t="s">
        <v>10</v>
      </c>
      <c r="C349">
        <v>33.344999999999999</v>
      </c>
      <c r="D349">
        <v>1</v>
      </c>
      <c r="E349" t="s">
        <v>11</v>
      </c>
      <c r="F349" t="s">
        <v>14</v>
      </c>
      <c r="G349">
        <v>8334.4575499999992</v>
      </c>
    </row>
    <row r="350" spans="1:7" x14ac:dyDescent="0.25">
      <c r="A350">
        <v>36</v>
      </c>
      <c r="B350" t="s">
        <v>7</v>
      </c>
      <c r="C350">
        <v>29.92</v>
      </c>
      <c r="D350">
        <v>1</v>
      </c>
      <c r="E350" t="s">
        <v>11</v>
      </c>
      <c r="F350" t="s">
        <v>12</v>
      </c>
      <c r="G350">
        <v>5478.0367999999999</v>
      </c>
    </row>
    <row r="351" spans="1:7" x14ac:dyDescent="0.25">
      <c r="A351">
        <v>19</v>
      </c>
      <c r="B351" t="s">
        <v>10</v>
      </c>
      <c r="C351">
        <v>27.835000000000001</v>
      </c>
      <c r="D351">
        <v>0</v>
      </c>
      <c r="E351" t="s">
        <v>11</v>
      </c>
      <c r="F351" t="s">
        <v>13</v>
      </c>
      <c r="G351">
        <v>1635.7336499999999</v>
      </c>
    </row>
    <row r="352" spans="1:7" x14ac:dyDescent="0.25">
      <c r="A352">
        <v>57</v>
      </c>
      <c r="B352" t="s">
        <v>7</v>
      </c>
      <c r="C352">
        <v>23.18</v>
      </c>
      <c r="D352">
        <v>0</v>
      </c>
      <c r="E352" t="s">
        <v>11</v>
      </c>
      <c r="F352" t="s">
        <v>13</v>
      </c>
      <c r="G352">
        <v>11830.6072</v>
      </c>
    </row>
    <row r="353" spans="1:7" x14ac:dyDescent="0.25">
      <c r="A353">
        <v>50</v>
      </c>
      <c r="B353" t="s">
        <v>7</v>
      </c>
      <c r="C353">
        <v>25.6</v>
      </c>
      <c r="D353">
        <v>0</v>
      </c>
      <c r="E353" t="s">
        <v>11</v>
      </c>
      <c r="F353" t="s">
        <v>9</v>
      </c>
      <c r="G353">
        <v>8932.0840000000007</v>
      </c>
    </row>
    <row r="354" spans="1:7" x14ac:dyDescent="0.25">
      <c r="A354">
        <v>30</v>
      </c>
      <c r="B354" t="s">
        <v>7</v>
      </c>
      <c r="C354">
        <v>27.7</v>
      </c>
      <c r="D354">
        <v>0</v>
      </c>
      <c r="E354" t="s">
        <v>11</v>
      </c>
      <c r="F354" t="s">
        <v>9</v>
      </c>
      <c r="G354">
        <v>3554.203</v>
      </c>
    </row>
    <row r="355" spans="1:7" x14ac:dyDescent="0.25">
      <c r="A355">
        <v>33</v>
      </c>
      <c r="B355" t="s">
        <v>10</v>
      </c>
      <c r="C355">
        <v>35.244999999999997</v>
      </c>
      <c r="D355">
        <v>0</v>
      </c>
      <c r="E355" t="s">
        <v>11</v>
      </c>
      <c r="F355" t="s">
        <v>14</v>
      </c>
      <c r="G355">
        <v>12404.8791</v>
      </c>
    </row>
    <row r="356" spans="1:7" x14ac:dyDescent="0.25">
      <c r="A356">
        <v>18</v>
      </c>
      <c r="B356" t="s">
        <v>7</v>
      </c>
      <c r="C356">
        <v>38.28</v>
      </c>
      <c r="D356">
        <v>0</v>
      </c>
      <c r="E356" t="s">
        <v>11</v>
      </c>
      <c r="F356" t="s">
        <v>12</v>
      </c>
      <c r="G356">
        <v>14133.03775</v>
      </c>
    </row>
    <row r="357" spans="1:7" x14ac:dyDescent="0.25">
      <c r="A357">
        <v>46</v>
      </c>
      <c r="B357" t="s">
        <v>10</v>
      </c>
      <c r="C357">
        <v>27.6</v>
      </c>
      <c r="D357">
        <v>0</v>
      </c>
      <c r="E357" t="s">
        <v>11</v>
      </c>
      <c r="F357" t="s">
        <v>9</v>
      </c>
      <c r="G357">
        <v>24603.04837</v>
      </c>
    </row>
    <row r="358" spans="1:7" x14ac:dyDescent="0.25">
      <c r="A358">
        <v>46</v>
      </c>
      <c r="B358" t="s">
        <v>10</v>
      </c>
      <c r="C358">
        <v>43.89</v>
      </c>
      <c r="D358">
        <v>3</v>
      </c>
      <c r="E358" t="s">
        <v>11</v>
      </c>
      <c r="F358" t="s">
        <v>12</v>
      </c>
      <c r="G358">
        <v>8944.1151000000009</v>
      </c>
    </row>
    <row r="359" spans="1:7" x14ac:dyDescent="0.25">
      <c r="A359">
        <v>47</v>
      </c>
      <c r="B359" t="s">
        <v>10</v>
      </c>
      <c r="C359">
        <v>29.83</v>
      </c>
      <c r="D359">
        <v>3</v>
      </c>
      <c r="E359" t="s">
        <v>11</v>
      </c>
      <c r="F359" t="s">
        <v>13</v>
      </c>
      <c r="G359">
        <v>9620.3307000000004</v>
      </c>
    </row>
    <row r="360" spans="1:7" x14ac:dyDescent="0.25">
      <c r="A360">
        <v>23</v>
      </c>
      <c r="B360" t="s">
        <v>10</v>
      </c>
      <c r="C360">
        <v>41.91</v>
      </c>
      <c r="D360">
        <v>0</v>
      </c>
      <c r="E360" t="s">
        <v>11</v>
      </c>
      <c r="F360" t="s">
        <v>12</v>
      </c>
      <c r="G360">
        <v>1837.2819</v>
      </c>
    </row>
    <row r="361" spans="1:7" x14ac:dyDescent="0.25">
      <c r="A361">
        <v>18</v>
      </c>
      <c r="B361" t="s">
        <v>7</v>
      </c>
      <c r="C361">
        <v>20.79</v>
      </c>
      <c r="D361">
        <v>0</v>
      </c>
      <c r="E361" t="s">
        <v>11</v>
      </c>
      <c r="F361" t="s">
        <v>12</v>
      </c>
      <c r="G361">
        <v>1607.5101</v>
      </c>
    </row>
    <row r="362" spans="1:7" x14ac:dyDescent="0.25">
      <c r="A362">
        <v>48</v>
      </c>
      <c r="B362" t="s">
        <v>7</v>
      </c>
      <c r="C362">
        <v>32.299999999999997</v>
      </c>
      <c r="D362">
        <v>2</v>
      </c>
      <c r="E362" t="s">
        <v>11</v>
      </c>
      <c r="F362" t="s">
        <v>14</v>
      </c>
      <c r="G362">
        <v>10043.249</v>
      </c>
    </row>
    <row r="363" spans="1:7" x14ac:dyDescent="0.25">
      <c r="A363">
        <v>35</v>
      </c>
      <c r="B363" t="s">
        <v>10</v>
      </c>
      <c r="C363">
        <v>30.5</v>
      </c>
      <c r="D363">
        <v>1</v>
      </c>
      <c r="E363" t="s">
        <v>11</v>
      </c>
      <c r="F363" t="s">
        <v>9</v>
      </c>
      <c r="G363">
        <v>4751.07</v>
      </c>
    </row>
    <row r="364" spans="1:7" x14ac:dyDescent="0.25">
      <c r="A364">
        <v>19</v>
      </c>
      <c r="B364" t="s">
        <v>7</v>
      </c>
      <c r="C364">
        <v>21.7</v>
      </c>
      <c r="D364">
        <v>0</v>
      </c>
      <c r="E364" t="s">
        <v>8</v>
      </c>
      <c r="F364" t="s">
        <v>9</v>
      </c>
      <c r="G364">
        <v>13844.505999999999</v>
      </c>
    </row>
    <row r="365" spans="1:7" x14ac:dyDescent="0.25">
      <c r="A365">
        <v>21</v>
      </c>
      <c r="B365" t="s">
        <v>7</v>
      </c>
      <c r="C365">
        <v>26.4</v>
      </c>
      <c r="D365">
        <v>1</v>
      </c>
      <c r="E365" t="s">
        <v>11</v>
      </c>
      <c r="F365" t="s">
        <v>9</v>
      </c>
      <c r="G365">
        <v>2597.779</v>
      </c>
    </row>
    <row r="366" spans="1:7" x14ac:dyDescent="0.25">
      <c r="A366">
        <v>21</v>
      </c>
      <c r="B366" t="s">
        <v>7</v>
      </c>
      <c r="C366">
        <v>21.89</v>
      </c>
      <c r="D366">
        <v>2</v>
      </c>
      <c r="E366" t="s">
        <v>11</v>
      </c>
      <c r="F366" t="s">
        <v>12</v>
      </c>
      <c r="G366">
        <v>3180.5101</v>
      </c>
    </row>
    <row r="367" spans="1:7" x14ac:dyDescent="0.25">
      <c r="A367">
        <v>49</v>
      </c>
      <c r="B367" t="s">
        <v>7</v>
      </c>
      <c r="C367">
        <v>30.78</v>
      </c>
      <c r="D367">
        <v>1</v>
      </c>
      <c r="E367" t="s">
        <v>11</v>
      </c>
      <c r="F367" t="s">
        <v>14</v>
      </c>
      <c r="G367">
        <v>9778.3472000000002</v>
      </c>
    </row>
    <row r="368" spans="1:7" x14ac:dyDescent="0.25">
      <c r="A368">
        <v>56</v>
      </c>
      <c r="B368" t="s">
        <v>7</v>
      </c>
      <c r="C368">
        <v>32.299999999999997</v>
      </c>
      <c r="D368">
        <v>3</v>
      </c>
      <c r="E368" t="s">
        <v>11</v>
      </c>
      <c r="F368" t="s">
        <v>14</v>
      </c>
      <c r="G368">
        <v>13430.264999999999</v>
      </c>
    </row>
    <row r="369" spans="1:7" x14ac:dyDescent="0.25">
      <c r="A369">
        <v>42</v>
      </c>
      <c r="B369" t="s">
        <v>7</v>
      </c>
      <c r="C369">
        <v>24.984999999999999</v>
      </c>
      <c r="D369">
        <v>2</v>
      </c>
      <c r="E369" t="s">
        <v>11</v>
      </c>
      <c r="F369" t="s">
        <v>13</v>
      </c>
      <c r="G369">
        <v>8017.0611500000005</v>
      </c>
    </row>
    <row r="370" spans="1:7" x14ac:dyDescent="0.25">
      <c r="A370">
        <v>44</v>
      </c>
      <c r="B370" t="s">
        <v>10</v>
      </c>
      <c r="C370">
        <v>32.015000000000001</v>
      </c>
      <c r="D370">
        <v>2</v>
      </c>
      <c r="E370" t="s">
        <v>11</v>
      </c>
      <c r="F370" t="s">
        <v>13</v>
      </c>
      <c r="G370">
        <v>8116.2688500000004</v>
      </c>
    </row>
    <row r="371" spans="1:7" x14ac:dyDescent="0.25">
      <c r="A371">
        <v>18</v>
      </c>
      <c r="B371" t="s">
        <v>10</v>
      </c>
      <c r="C371">
        <v>30.4</v>
      </c>
      <c r="D371">
        <v>3</v>
      </c>
      <c r="E371" t="s">
        <v>11</v>
      </c>
      <c r="F371" t="s">
        <v>14</v>
      </c>
      <c r="G371">
        <v>3481.8679999999999</v>
      </c>
    </row>
    <row r="372" spans="1:7" x14ac:dyDescent="0.25">
      <c r="A372">
        <v>61</v>
      </c>
      <c r="B372" t="s">
        <v>7</v>
      </c>
      <c r="C372">
        <v>21.09</v>
      </c>
      <c r="D372">
        <v>0</v>
      </c>
      <c r="E372" t="s">
        <v>11</v>
      </c>
      <c r="F372" t="s">
        <v>13</v>
      </c>
      <c r="G372">
        <v>13415.0381</v>
      </c>
    </row>
    <row r="373" spans="1:7" x14ac:dyDescent="0.25">
      <c r="A373">
        <v>57</v>
      </c>
      <c r="B373" t="s">
        <v>7</v>
      </c>
      <c r="C373">
        <v>22.23</v>
      </c>
      <c r="D373">
        <v>0</v>
      </c>
      <c r="E373" t="s">
        <v>11</v>
      </c>
      <c r="F373" t="s">
        <v>14</v>
      </c>
      <c r="G373">
        <v>12029.286700000001</v>
      </c>
    </row>
    <row r="374" spans="1:7" x14ac:dyDescent="0.25">
      <c r="A374">
        <v>42</v>
      </c>
      <c r="B374" t="s">
        <v>7</v>
      </c>
      <c r="C374">
        <v>33.155000000000001</v>
      </c>
      <c r="D374">
        <v>1</v>
      </c>
      <c r="E374" t="s">
        <v>11</v>
      </c>
      <c r="F374" t="s">
        <v>14</v>
      </c>
      <c r="G374">
        <v>7639.4174499999999</v>
      </c>
    </row>
    <row r="375" spans="1:7" x14ac:dyDescent="0.25">
      <c r="A375">
        <v>26</v>
      </c>
      <c r="B375" t="s">
        <v>10</v>
      </c>
      <c r="C375">
        <v>32.9</v>
      </c>
      <c r="D375">
        <v>2</v>
      </c>
      <c r="E375" t="s">
        <v>8</v>
      </c>
      <c r="F375" t="s">
        <v>9</v>
      </c>
      <c r="G375">
        <v>36085.218999999997</v>
      </c>
    </row>
    <row r="376" spans="1:7" x14ac:dyDescent="0.25">
      <c r="A376">
        <v>20</v>
      </c>
      <c r="B376" t="s">
        <v>10</v>
      </c>
      <c r="C376">
        <v>33.33</v>
      </c>
      <c r="D376">
        <v>0</v>
      </c>
      <c r="E376" t="s">
        <v>11</v>
      </c>
      <c r="F376" t="s">
        <v>12</v>
      </c>
      <c r="G376">
        <v>1391.5287000000001</v>
      </c>
    </row>
    <row r="377" spans="1:7" x14ac:dyDescent="0.25">
      <c r="A377">
        <v>23</v>
      </c>
      <c r="B377" t="s">
        <v>7</v>
      </c>
      <c r="C377">
        <v>28.31</v>
      </c>
      <c r="D377">
        <v>0</v>
      </c>
      <c r="E377" t="s">
        <v>8</v>
      </c>
      <c r="F377" t="s">
        <v>13</v>
      </c>
      <c r="G377">
        <v>18033.9679</v>
      </c>
    </row>
    <row r="378" spans="1:7" x14ac:dyDescent="0.25">
      <c r="A378">
        <v>39</v>
      </c>
      <c r="B378" t="s">
        <v>7</v>
      </c>
      <c r="C378">
        <v>24.89</v>
      </c>
      <c r="D378">
        <v>3</v>
      </c>
      <c r="E378" t="s">
        <v>8</v>
      </c>
      <c r="F378" t="s">
        <v>14</v>
      </c>
      <c r="G378">
        <v>21659.930100000001</v>
      </c>
    </row>
    <row r="379" spans="1:7" x14ac:dyDescent="0.25">
      <c r="A379">
        <v>24</v>
      </c>
      <c r="B379" t="s">
        <v>10</v>
      </c>
      <c r="C379">
        <v>40.15</v>
      </c>
      <c r="D379">
        <v>0</v>
      </c>
      <c r="E379" t="s">
        <v>8</v>
      </c>
      <c r="F379" t="s">
        <v>12</v>
      </c>
      <c r="G379">
        <v>38126.246500000001</v>
      </c>
    </row>
    <row r="380" spans="1:7" x14ac:dyDescent="0.25">
      <c r="A380">
        <v>64</v>
      </c>
      <c r="B380" t="s">
        <v>7</v>
      </c>
      <c r="C380">
        <v>30.114999999999998</v>
      </c>
      <c r="D380">
        <v>3</v>
      </c>
      <c r="E380" t="s">
        <v>11</v>
      </c>
      <c r="F380" t="s">
        <v>13</v>
      </c>
      <c r="G380">
        <v>16455.707849999999</v>
      </c>
    </row>
    <row r="381" spans="1:7" x14ac:dyDescent="0.25">
      <c r="A381">
        <v>62</v>
      </c>
      <c r="B381" t="s">
        <v>10</v>
      </c>
      <c r="C381">
        <v>31.46</v>
      </c>
      <c r="D381">
        <v>1</v>
      </c>
      <c r="E381" t="s">
        <v>11</v>
      </c>
      <c r="F381" t="s">
        <v>12</v>
      </c>
      <c r="G381">
        <v>27000.98473</v>
      </c>
    </row>
    <row r="382" spans="1:7" x14ac:dyDescent="0.25">
      <c r="A382">
        <v>27</v>
      </c>
      <c r="B382" t="s">
        <v>7</v>
      </c>
      <c r="C382">
        <v>17.954999999999998</v>
      </c>
      <c r="D382">
        <v>2</v>
      </c>
      <c r="E382" t="s">
        <v>8</v>
      </c>
      <c r="F382" t="s">
        <v>14</v>
      </c>
      <c r="G382">
        <v>15006.579449999999</v>
      </c>
    </row>
    <row r="383" spans="1:7" x14ac:dyDescent="0.25">
      <c r="A383">
        <v>55</v>
      </c>
      <c r="B383" t="s">
        <v>10</v>
      </c>
      <c r="C383">
        <v>30.684999999999999</v>
      </c>
      <c r="D383">
        <v>0</v>
      </c>
      <c r="E383" t="s">
        <v>8</v>
      </c>
      <c r="F383" t="s">
        <v>14</v>
      </c>
      <c r="G383">
        <v>42303.692150000003</v>
      </c>
    </row>
    <row r="384" spans="1:7" x14ac:dyDescent="0.25">
      <c r="A384">
        <v>55</v>
      </c>
      <c r="B384" t="s">
        <v>10</v>
      </c>
      <c r="C384">
        <v>33</v>
      </c>
      <c r="D384">
        <v>0</v>
      </c>
      <c r="E384" t="s">
        <v>11</v>
      </c>
      <c r="F384" t="s">
        <v>12</v>
      </c>
      <c r="G384">
        <v>20781.48892</v>
      </c>
    </row>
    <row r="385" spans="1:7" x14ac:dyDescent="0.25">
      <c r="A385">
        <v>35</v>
      </c>
      <c r="B385" t="s">
        <v>7</v>
      </c>
      <c r="C385">
        <v>43.34</v>
      </c>
      <c r="D385">
        <v>2</v>
      </c>
      <c r="E385" t="s">
        <v>11</v>
      </c>
      <c r="F385" t="s">
        <v>12</v>
      </c>
      <c r="G385">
        <v>5846.9175999999998</v>
      </c>
    </row>
    <row r="386" spans="1:7" x14ac:dyDescent="0.25">
      <c r="A386">
        <v>44</v>
      </c>
      <c r="B386" t="s">
        <v>10</v>
      </c>
      <c r="C386">
        <v>22.135000000000002</v>
      </c>
      <c r="D386">
        <v>2</v>
      </c>
      <c r="E386" t="s">
        <v>11</v>
      </c>
      <c r="F386" t="s">
        <v>14</v>
      </c>
      <c r="G386">
        <v>8302.5356499999998</v>
      </c>
    </row>
    <row r="387" spans="1:7" x14ac:dyDescent="0.25">
      <c r="A387">
        <v>19</v>
      </c>
      <c r="B387" t="s">
        <v>10</v>
      </c>
      <c r="C387">
        <v>34.4</v>
      </c>
      <c r="D387">
        <v>0</v>
      </c>
      <c r="E387" t="s">
        <v>11</v>
      </c>
      <c r="F387" t="s">
        <v>9</v>
      </c>
      <c r="G387">
        <v>1261.8589999999999</v>
      </c>
    </row>
    <row r="388" spans="1:7" x14ac:dyDescent="0.25">
      <c r="A388">
        <v>58</v>
      </c>
      <c r="B388" t="s">
        <v>7</v>
      </c>
      <c r="C388">
        <v>39.049999999999997</v>
      </c>
      <c r="D388">
        <v>0</v>
      </c>
      <c r="E388" t="s">
        <v>11</v>
      </c>
      <c r="F388" t="s">
        <v>12</v>
      </c>
      <c r="G388">
        <v>11856.4115</v>
      </c>
    </row>
    <row r="389" spans="1:7" x14ac:dyDescent="0.25">
      <c r="A389">
        <v>50</v>
      </c>
      <c r="B389" t="s">
        <v>10</v>
      </c>
      <c r="C389">
        <v>25.364999999999998</v>
      </c>
      <c r="D389">
        <v>2</v>
      </c>
      <c r="E389" t="s">
        <v>11</v>
      </c>
      <c r="F389" t="s">
        <v>13</v>
      </c>
      <c r="G389">
        <v>30284.642940000002</v>
      </c>
    </row>
    <row r="390" spans="1:7" x14ac:dyDescent="0.25">
      <c r="A390">
        <v>26</v>
      </c>
      <c r="B390" t="s">
        <v>7</v>
      </c>
      <c r="C390">
        <v>22.61</v>
      </c>
      <c r="D390">
        <v>0</v>
      </c>
      <c r="E390" t="s">
        <v>11</v>
      </c>
      <c r="F390" t="s">
        <v>13</v>
      </c>
      <c r="G390">
        <v>3176.8159000000001</v>
      </c>
    </row>
    <row r="391" spans="1:7" x14ac:dyDescent="0.25">
      <c r="A391">
        <v>24</v>
      </c>
      <c r="B391" t="s">
        <v>7</v>
      </c>
      <c r="C391">
        <v>30.21</v>
      </c>
      <c r="D391">
        <v>3</v>
      </c>
      <c r="E391" t="s">
        <v>11</v>
      </c>
      <c r="F391" t="s">
        <v>13</v>
      </c>
      <c r="G391">
        <v>4618.0798999999997</v>
      </c>
    </row>
    <row r="392" spans="1:7" x14ac:dyDescent="0.25">
      <c r="A392">
        <v>48</v>
      </c>
      <c r="B392" t="s">
        <v>10</v>
      </c>
      <c r="C392">
        <v>35.625</v>
      </c>
      <c r="D392">
        <v>4</v>
      </c>
      <c r="E392" t="s">
        <v>11</v>
      </c>
      <c r="F392" t="s">
        <v>14</v>
      </c>
      <c r="G392">
        <v>10736.87075</v>
      </c>
    </row>
    <row r="393" spans="1:7" x14ac:dyDescent="0.25">
      <c r="A393">
        <v>19</v>
      </c>
      <c r="B393" t="s">
        <v>7</v>
      </c>
      <c r="C393">
        <v>37.43</v>
      </c>
      <c r="D393">
        <v>0</v>
      </c>
      <c r="E393" t="s">
        <v>11</v>
      </c>
      <c r="F393" t="s">
        <v>13</v>
      </c>
      <c r="G393">
        <v>2138.0707000000002</v>
      </c>
    </row>
    <row r="394" spans="1:7" x14ac:dyDescent="0.25">
      <c r="A394">
        <v>48</v>
      </c>
      <c r="B394" t="s">
        <v>10</v>
      </c>
      <c r="C394">
        <v>31.445</v>
      </c>
      <c r="D394">
        <v>1</v>
      </c>
      <c r="E394" t="s">
        <v>11</v>
      </c>
      <c r="F394" t="s">
        <v>14</v>
      </c>
      <c r="G394">
        <v>8964.0605500000001</v>
      </c>
    </row>
    <row r="395" spans="1:7" x14ac:dyDescent="0.25">
      <c r="A395">
        <v>49</v>
      </c>
      <c r="B395" t="s">
        <v>10</v>
      </c>
      <c r="C395">
        <v>31.35</v>
      </c>
      <c r="D395">
        <v>1</v>
      </c>
      <c r="E395" t="s">
        <v>11</v>
      </c>
      <c r="F395" t="s">
        <v>14</v>
      </c>
      <c r="G395">
        <v>9290.1394999999993</v>
      </c>
    </row>
    <row r="396" spans="1:7" x14ac:dyDescent="0.25">
      <c r="A396">
        <v>46</v>
      </c>
      <c r="B396" t="s">
        <v>7</v>
      </c>
      <c r="C396">
        <v>32.299999999999997</v>
      </c>
      <c r="D396">
        <v>2</v>
      </c>
      <c r="E396" t="s">
        <v>11</v>
      </c>
      <c r="F396" t="s">
        <v>14</v>
      </c>
      <c r="G396">
        <v>9411.0049999999992</v>
      </c>
    </row>
    <row r="397" spans="1:7" x14ac:dyDescent="0.25">
      <c r="A397">
        <v>46</v>
      </c>
      <c r="B397" t="s">
        <v>10</v>
      </c>
      <c r="C397">
        <v>19.855</v>
      </c>
      <c r="D397">
        <v>0</v>
      </c>
      <c r="E397" t="s">
        <v>11</v>
      </c>
      <c r="F397" t="s">
        <v>13</v>
      </c>
      <c r="G397">
        <v>7526.7064499999997</v>
      </c>
    </row>
    <row r="398" spans="1:7" x14ac:dyDescent="0.25">
      <c r="A398">
        <v>43</v>
      </c>
      <c r="B398" t="s">
        <v>7</v>
      </c>
      <c r="C398">
        <v>34.4</v>
      </c>
      <c r="D398">
        <v>3</v>
      </c>
      <c r="E398" t="s">
        <v>11</v>
      </c>
      <c r="F398" t="s">
        <v>9</v>
      </c>
      <c r="G398">
        <v>8522.0030000000006</v>
      </c>
    </row>
    <row r="399" spans="1:7" x14ac:dyDescent="0.25">
      <c r="A399">
        <v>21</v>
      </c>
      <c r="B399" t="s">
        <v>10</v>
      </c>
      <c r="C399">
        <v>31.02</v>
      </c>
      <c r="D399">
        <v>0</v>
      </c>
      <c r="E399" t="s">
        <v>11</v>
      </c>
      <c r="F399" t="s">
        <v>12</v>
      </c>
      <c r="G399">
        <v>16586.49771</v>
      </c>
    </row>
    <row r="400" spans="1:7" x14ac:dyDescent="0.25">
      <c r="A400">
        <v>64</v>
      </c>
      <c r="B400" t="s">
        <v>10</v>
      </c>
      <c r="C400">
        <v>25.6</v>
      </c>
      <c r="D400">
        <v>2</v>
      </c>
      <c r="E400" t="s">
        <v>11</v>
      </c>
      <c r="F400" t="s">
        <v>9</v>
      </c>
      <c r="G400">
        <v>14988.432000000001</v>
      </c>
    </row>
    <row r="401" spans="1:7" x14ac:dyDescent="0.25">
      <c r="A401">
        <v>18</v>
      </c>
      <c r="B401" t="s">
        <v>7</v>
      </c>
      <c r="C401">
        <v>38.17</v>
      </c>
      <c r="D401">
        <v>0</v>
      </c>
      <c r="E401" t="s">
        <v>11</v>
      </c>
      <c r="F401" t="s">
        <v>12</v>
      </c>
      <c r="G401">
        <v>1631.6683</v>
      </c>
    </row>
    <row r="402" spans="1:7" x14ac:dyDescent="0.25">
      <c r="A402">
        <v>51</v>
      </c>
      <c r="B402" t="s">
        <v>7</v>
      </c>
      <c r="C402">
        <v>20.6</v>
      </c>
      <c r="D402">
        <v>0</v>
      </c>
      <c r="E402" t="s">
        <v>11</v>
      </c>
      <c r="F402" t="s">
        <v>9</v>
      </c>
      <c r="G402">
        <v>9264.7970000000005</v>
      </c>
    </row>
    <row r="403" spans="1:7" x14ac:dyDescent="0.25">
      <c r="A403">
        <v>47</v>
      </c>
      <c r="B403" t="s">
        <v>10</v>
      </c>
      <c r="C403">
        <v>47.52</v>
      </c>
      <c r="D403">
        <v>1</v>
      </c>
      <c r="E403" t="s">
        <v>11</v>
      </c>
      <c r="F403" t="s">
        <v>12</v>
      </c>
      <c r="G403">
        <v>8083.9197999999997</v>
      </c>
    </row>
    <row r="404" spans="1:7" x14ac:dyDescent="0.25">
      <c r="A404">
        <v>64</v>
      </c>
      <c r="B404" t="s">
        <v>7</v>
      </c>
      <c r="C404">
        <v>32.965000000000003</v>
      </c>
      <c r="D404">
        <v>0</v>
      </c>
      <c r="E404" t="s">
        <v>11</v>
      </c>
      <c r="F404" t="s">
        <v>13</v>
      </c>
      <c r="G404">
        <v>14692.66935</v>
      </c>
    </row>
    <row r="405" spans="1:7" x14ac:dyDescent="0.25">
      <c r="A405">
        <v>49</v>
      </c>
      <c r="B405" t="s">
        <v>10</v>
      </c>
      <c r="C405">
        <v>32.299999999999997</v>
      </c>
      <c r="D405">
        <v>3</v>
      </c>
      <c r="E405" t="s">
        <v>11</v>
      </c>
      <c r="F405" t="s">
        <v>13</v>
      </c>
      <c r="G405">
        <v>10269.459999999999</v>
      </c>
    </row>
    <row r="406" spans="1:7" x14ac:dyDescent="0.25">
      <c r="A406">
        <v>31</v>
      </c>
      <c r="B406" t="s">
        <v>10</v>
      </c>
      <c r="C406">
        <v>20.399999999999999</v>
      </c>
      <c r="D406">
        <v>0</v>
      </c>
      <c r="E406" t="s">
        <v>11</v>
      </c>
      <c r="F406" t="s">
        <v>9</v>
      </c>
      <c r="G406">
        <v>3260.1990000000001</v>
      </c>
    </row>
    <row r="407" spans="1:7" x14ac:dyDescent="0.25">
      <c r="A407">
        <v>52</v>
      </c>
      <c r="B407" t="s">
        <v>7</v>
      </c>
      <c r="C407">
        <v>38.380000000000003</v>
      </c>
      <c r="D407">
        <v>2</v>
      </c>
      <c r="E407" t="s">
        <v>11</v>
      </c>
      <c r="F407" t="s">
        <v>14</v>
      </c>
      <c r="G407">
        <v>11396.9002</v>
      </c>
    </row>
    <row r="408" spans="1:7" x14ac:dyDescent="0.25">
      <c r="A408">
        <v>33</v>
      </c>
      <c r="B408" t="s">
        <v>7</v>
      </c>
      <c r="C408">
        <v>24.31</v>
      </c>
      <c r="D408">
        <v>0</v>
      </c>
      <c r="E408" t="s">
        <v>11</v>
      </c>
      <c r="F408" t="s">
        <v>12</v>
      </c>
      <c r="G408">
        <v>4185.0978999999998</v>
      </c>
    </row>
    <row r="409" spans="1:7" x14ac:dyDescent="0.25">
      <c r="A409">
        <v>47</v>
      </c>
      <c r="B409" t="s">
        <v>7</v>
      </c>
      <c r="C409">
        <v>23.6</v>
      </c>
      <c r="D409">
        <v>1</v>
      </c>
      <c r="E409" t="s">
        <v>11</v>
      </c>
      <c r="F409" t="s">
        <v>9</v>
      </c>
      <c r="G409">
        <v>8539.6710000000003</v>
      </c>
    </row>
    <row r="410" spans="1:7" x14ac:dyDescent="0.25">
      <c r="A410">
        <v>38</v>
      </c>
      <c r="B410" t="s">
        <v>10</v>
      </c>
      <c r="C410">
        <v>21.12</v>
      </c>
      <c r="D410">
        <v>3</v>
      </c>
      <c r="E410" t="s">
        <v>11</v>
      </c>
      <c r="F410" t="s">
        <v>12</v>
      </c>
      <c r="G410">
        <v>6652.5288</v>
      </c>
    </row>
    <row r="411" spans="1:7" x14ac:dyDescent="0.25">
      <c r="A411">
        <v>32</v>
      </c>
      <c r="B411" t="s">
        <v>10</v>
      </c>
      <c r="C411">
        <v>30.03</v>
      </c>
      <c r="D411">
        <v>1</v>
      </c>
      <c r="E411" t="s">
        <v>11</v>
      </c>
      <c r="F411" t="s">
        <v>12</v>
      </c>
      <c r="G411">
        <v>4074.4537</v>
      </c>
    </row>
    <row r="412" spans="1:7" x14ac:dyDescent="0.25">
      <c r="A412">
        <v>19</v>
      </c>
      <c r="B412" t="s">
        <v>10</v>
      </c>
      <c r="C412">
        <v>17.48</v>
      </c>
      <c r="D412">
        <v>0</v>
      </c>
      <c r="E412" t="s">
        <v>11</v>
      </c>
      <c r="F412" t="s">
        <v>13</v>
      </c>
      <c r="G412">
        <v>1621.3402000000001</v>
      </c>
    </row>
    <row r="413" spans="1:7" x14ac:dyDescent="0.25">
      <c r="A413">
        <v>44</v>
      </c>
      <c r="B413" t="s">
        <v>7</v>
      </c>
      <c r="C413">
        <v>20.234999999999999</v>
      </c>
      <c r="D413">
        <v>1</v>
      </c>
      <c r="E413" t="s">
        <v>8</v>
      </c>
      <c r="F413" t="s">
        <v>14</v>
      </c>
      <c r="G413">
        <v>19594.809649999999</v>
      </c>
    </row>
    <row r="414" spans="1:7" x14ac:dyDescent="0.25">
      <c r="A414">
        <v>26</v>
      </c>
      <c r="B414" t="s">
        <v>7</v>
      </c>
      <c r="C414">
        <v>17.195</v>
      </c>
      <c r="D414">
        <v>2</v>
      </c>
      <c r="E414" t="s">
        <v>8</v>
      </c>
      <c r="F414" t="s">
        <v>14</v>
      </c>
      <c r="G414">
        <v>14455.644050000001</v>
      </c>
    </row>
    <row r="415" spans="1:7" x14ac:dyDescent="0.25">
      <c r="A415">
        <v>25</v>
      </c>
      <c r="B415" t="s">
        <v>10</v>
      </c>
      <c r="C415">
        <v>23.9</v>
      </c>
      <c r="D415">
        <v>5</v>
      </c>
      <c r="E415" t="s">
        <v>11</v>
      </c>
      <c r="F415" t="s">
        <v>9</v>
      </c>
      <c r="G415">
        <v>5080.0959999999995</v>
      </c>
    </row>
    <row r="416" spans="1:7" x14ac:dyDescent="0.25">
      <c r="A416">
        <v>19</v>
      </c>
      <c r="B416" t="s">
        <v>7</v>
      </c>
      <c r="C416">
        <v>35.15</v>
      </c>
      <c r="D416">
        <v>0</v>
      </c>
      <c r="E416" t="s">
        <v>11</v>
      </c>
      <c r="F416" t="s">
        <v>13</v>
      </c>
      <c r="G416">
        <v>2134.9014999999999</v>
      </c>
    </row>
    <row r="417" spans="1:7" x14ac:dyDescent="0.25">
      <c r="A417">
        <v>43</v>
      </c>
      <c r="B417" t="s">
        <v>7</v>
      </c>
      <c r="C417">
        <v>35.64</v>
      </c>
      <c r="D417">
        <v>1</v>
      </c>
      <c r="E417" t="s">
        <v>11</v>
      </c>
      <c r="F417" t="s">
        <v>12</v>
      </c>
      <c r="G417">
        <v>7345.7266</v>
      </c>
    </row>
    <row r="418" spans="1:7" x14ac:dyDescent="0.25">
      <c r="A418">
        <v>52</v>
      </c>
      <c r="B418" t="s">
        <v>10</v>
      </c>
      <c r="C418">
        <v>34.1</v>
      </c>
      <c r="D418">
        <v>0</v>
      </c>
      <c r="E418" t="s">
        <v>11</v>
      </c>
      <c r="F418" t="s">
        <v>12</v>
      </c>
      <c r="G418">
        <v>9140.9509999999991</v>
      </c>
    </row>
    <row r="419" spans="1:7" x14ac:dyDescent="0.25">
      <c r="A419">
        <v>36</v>
      </c>
      <c r="B419" t="s">
        <v>7</v>
      </c>
      <c r="C419">
        <v>22.6</v>
      </c>
      <c r="D419">
        <v>2</v>
      </c>
      <c r="E419" t="s">
        <v>8</v>
      </c>
      <c r="F419" t="s">
        <v>9</v>
      </c>
      <c r="G419">
        <v>18608.261999999999</v>
      </c>
    </row>
    <row r="420" spans="1:7" x14ac:dyDescent="0.25">
      <c r="A420">
        <v>64</v>
      </c>
      <c r="B420" t="s">
        <v>10</v>
      </c>
      <c r="C420">
        <v>39.159999999999997</v>
      </c>
      <c r="D420">
        <v>1</v>
      </c>
      <c r="E420" t="s">
        <v>11</v>
      </c>
      <c r="F420" t="s">
        <v>12</v>
      </c>
      <c r="G420">
        <v>14418.2804</v>
      </c>
    </row>
    <row r="421" spans="1:7" x14ac:dyDescent="0.25">
      <c r="A421">
        <v>63</v>
      </c>
      <c r="B421" t="s">
        <v>7</v>
      </c>
      <c r="C421">
        <v>26.98</v>
      </c>
      <c r="D421">
        <v>0</v>
      </c>
      <c r="E421" t="s">
        <v>8</v>
      </c>
      <c r="F421" t="s">
        <v>13</v>
      </c>
      <c r="G421">
        <v>28950.4692</v>
      </c>
    </row>
    <row r="422" spans="1:7" x14ac:dyDescent="0.25">
      <c r="A422">
        <v>64</v>
      </c>
      <c r="B422" t="s">
        <v>10</v>
      </c>
      <c r="C422">
        <v>33.880000000000003</v>
      </c>
      <c r="D422">
        <v>0</v>
      </c>
      <c r="E422" t="s">
        <v>8</v>
      </c>
      <c r="F422" t="s">
        <v>12</v>
      </c>
      <c r="G422">
        <v>46889.261200000001</v>
      </c>
    </row>
    <row r="423" spans="1:7" x14ac:dyDescent="0.25">
      <c r="A423">
        <v>61</v>
      </c>
      <c r="B423" t="s">
        <v>10</v>
      </c>
      <c r="C423">
        <v>35.86</v>
      </c>
      <c r="D423">
        <v>0</v>
      </c>
      <c r="E423" t="s">
        <v>8</v>
      </c>
      <c r="F423" t="s">
        <v>12</v>
      </c>
      <c r="G423">
        <v>46599.108399999997</v>
      </c>
    </row>
    <row r="424" spans="1:7" x14ac:dyDescent="0.25">
      <c r="A424">
        <v>40</v>
      </c>
      <c r="B424" t="s">
        <v>10</v>
      </c>
      <c r="C424">
        <v>32.774999999999999</v>
      </c>
      <c r="D424">
        <v>1</v>
      </c>
      <c r="E424" t="s">
        <v>8</v>
      </c>
      <c r="F424" t="s">
        <v>14</v>
      </c>
      <c r="G424">
        <v>39125.332249999999</v>
      </c>
    </row>
    <row r="425" spans="1:7" x14ac:dyDescent="0.25">
      <c r="A425">
        <v>25</v>
      </c>
      <c r="B425" t="s">
        <v>10</v>
      </c>
      <c r="C425">
        <v>30.59</v>
      </c>
      <c r="D425">
        <v>0</v>
      </c>
      <c r="E425" t="s">
        <v>11</v>
      </c>
      <c r="F425" t="s">
        <v>14</v>
      </c>
      <c r="G425">
        <v>2727.3951000000002</v>
      </c>
    </row>
    <row r="426" spans="1:7" x14ac:dyDescent="0.25">
      <c r="A426">
        <v>48</v>
      </c>
      <c r="B426" t="s">
        <v>10</v>
      </c>
      <c r="C426">
        <v>30.2</v>
      </c>
      <c r="D426">
        <v>2</v>
      </c>
      <c r="E426" t="s">
        <v>11</v>
      </c>
      <c r="F426" t="s">
        <v>9</v>
      </c>
      <c r="G426">
        <v>8968.33</v>
      </c>
    </row>
    <row r="427" spans="1:7" x14ac:dyDescent="0.25">
      <c r="A427">
        <v>45</v>
      </c>
      <c r="B427" t="s">
        <v>10</v>
      </c>
      <c r="C427">
        <v>24.31</v>
      </c>
      <c r="D427">
        <v>5</v>
      </c>
      <c r="E427" t="s">
        <v>11</v>
      </c>
      <c r="F427" t="s">
        <v>12</v>
      </c>
      <c r="G427">
        <v>9788.8659000000007</v>
      </c>
    </row>
    <row r="428" spans="1:7" x14ac:dyDescent="0.25">
      <c r="A428">
        <v>38</v>
      </c>
      <c r="B428" t="s">
        <v>7</v>
      </c>
      <c r="C428">
        <v>27.265000000000001</v>
      </c>
      <c r="D428">
        <v>1</v>
      </c>
      <c r="E428" t="s">
        <v>11</v>
      </c>
      <c r="F428" t="s">
        <v>14</v>
      </c>
      <c r="G428">
        <v>6555.07035</v>
      </c>
    </row>
    <row r="429" spans="1:7" x14ac:dyDescent="0.25">
      <c r="A429">
        <v>18</v>
      </c>
      <c r="B429" t="s">
        <v>7</v>
      </c>
      <c r="C429">
        <v>29.164999999999999</v>
      </c>
      <c r="D429">
        <v>0</v>
      </c>
      <c r="E429" t="s">
        <v>11</v>
      </c>
      <c r="F429" t="s">
        <v>14</v>
      </c>
      <c r="G429">
        <v>7323.7348190000002</v>
      </c>
    </row>
    <row r="430" spans="1:7" x14ac:dyDescent="0.25">
      <c r="A430">
        <v>21</v>
      </c>
      <c r="B430" t="s">
        <v>7</v>
      </c>
      <c r="C430">
        <v>16.815000000000001</v>
      </c>
      <c r="D430">
        <v>1</v>
      </c>
      <c r="E430" t="s">
        <v>11</v>
      </c>
      <c r="F430" t="s">
        <v>14</v>
      </c>
      <c r="G430">
        <v>3167.4558499999998</v>
      </c>
    </row>
    <row r="431" spans="1:7" x14ac:dyDescent="0.25">
      <c r="A431">
        <v>27</v>
      </c>
      <c r="B431" t="s">
        <v>7</v>
      </c>
      <c r="C431">
        <v>30.4</v>
      </c>
      <c r="D431">
        <v>3</v>
      </c>
      <c r="E431" t="s">
        <v>11</v>
      </c>
      <c r="F431" t="s">
        <v>13</v>
      </c>
      <c r="G431">
        <v>18804.752400000001</v>
      </c>
    </row>
    <row r="432" spans="1:7" x14ac:dyDescent="0.25">
      <c r="A432">
        <v>19</v>
      </c>
      <c r="B432" t="s">
        <v>10</v>
      </c>
      <c r="C432">
        <v>33.1</v>
      </c>
      <c r="D432">
        <v>0</v>
      </c>
      <c r="E432" t="s">
        <v>11</v>
      </c>
      <c r="F432" t="s">
        <v>9</v>
      </c>
      <c r="G432">
        <v>23082.955330000001</v>
      </c>
    </row>
    <row r="433" spans="1:7" x14ac:dyDescent="0.25">
      <c r="A433">
        <v>29</v>
      </c>
      <c r="B433" t="s">
        <v>7</v>
      </c>
      <c r="C433">
        <v>20.234999999999999</v>
      </c>
      <c r="D433">
        <v>2</v>
      </c>
      <c r="E433" t="s">
        <v>11</v>
      </c>
      <c r="F433" t="s">
        <v>13</v>
      </c>
      <c r="G433">
        <v>4906.4096499999996</v>
      </c>
    </row>
    <row r="434" spans="1:7" x14ac:dyDescent="0.25">
      <c r="A434">
        <v>42</v>
      </c>
      <c r="B434" t="s">
        <v>10</v>
      </c>
      <c r="C434">
        <v>26.9</v>
      </c>
      <c r="D434">
        <v>0</v>
      </c>
      <c r="E434" t="s">
        <v>11</v>
      </c>
      <c r="F434" t="s">
        <v>9</v>
      </c>
      <c r="G434">
        <v>5969.723</v>
      </c>
    </row>
    <row r="435" spans="1:7" x14ac:dyDescent="0.25">
      <c r="A435">
        <v>60</v>
      </c>
      <c r="B435" t="s">
        <v>7</v>
      </c>
      <c r="C435">
        <v>30.5</v>
      </c>
      <c r="D435">
        <v>0</v>
      </c>
      <c r="E435" t="s">
        <v>11</v>
      </c>
      <c r="F435" t="s">
        <v>9</v>
      </c>
      <c r="G435">
        <v>12638.195</v>
      </c>
    </row>
    <row r="436" spans="1:7" x14ac:dyDescent="0.25">
      <c r="A436">
        <v>31</v>
      </c>
      <c r="B436" t="s">
        <v>10</v>
      </c>
      <c r="C436">
        <v>28.594999999999999</v>
      </c>
      <c r="D436">
        <v>1</v>
      </c>
      <c r="E436" t="s">
        <v>11</v>
      </c>
      <c r="F436" t="s">
        <v>13</v>
      </c>
      <c r="G436">
        <v>4243.5900499999998</v>
      </c>
    </row>
    <row r="437" spans="1:7" x14ac:dyDescent="0.25">
      <c r="A437">
        <v>60</v>
      </c>
      <c r="B437" t="s">
        <v>10</v>
      </c>
      <c r="C437">
        <v>33.11</v>
      </c>
      <c r="D437">
        <v>3</v>
      </c>
      <c r="E437" t="s">
        <v>11</v>
      </c>
      <c r="F437" t="s">
        <v>12</v>
      </c>
      <c r="G437">
        <v>13919.822899999999</v>
      </c>
    </row>
    <row r="438" spans="1:7" x14ac:dyDescent="0.25">
      <c r="A438">
        <v>22</v>
      </c>
      <c r="B438" t="s">
        <v>10</v>
      </c>
      <c r="C438">
        <v>31.73</v>
      </c>
      <c r="D438">
        <v>0</v>
      </c>
      <c r="E438" t="s">
        <v>11</v>
      </c>
      <c r="F438" t="s">
        <v>14</v>
      </c>
      <c r="G438">
        <v>2254.7966999999999</v>
      </c>
    </row>
    <row r="439" spans="1:7" x14ac:dyDescent="0.25">
      <c r="A439">
        <v>35</v>
      </c>
      <c r="B439" t="s">
        <v>10</v>
      </c>
      <c r="C439">
        <v>28.9</v>
      </c>
      <c r="D439">
        <v>3</v>
      </c>
      <c r="E439" t="s">
        <v>11</v>
      </c>
      <c r="F439" t="s">
        <v>9</v>
      </c>
      <c r="G439">
        <v>5926.8459999999995</v>
      </c>
    </row>
    <row r="440" spans="1:7" x14ac:dyDescent="0.25">
      <c r="A440">
        <v>52</v>
      </c>
      <c r="B440" t="s">
        <v>7</v>
      </c>
      <c r="C440">
        <v>46.75</v>
      </c>
      <c r="D440">
        <v>5</v>
      </c>
      <c r="E440" t="s">
        <v>11</v>
      </c>
      <c r="F440" t="s">
        <v>12</v>
      </c>
      <c r="G440">
        <v>12592.5345</v>
      </c>
    </row>
    <row r="441" spans="1:7" x14ac:dyDescent="0.25">
      <c r="A441">
        <v>26</v>
      </c>
      <c r="B441" t="s">
        <v>10</v>
      </c>
      <c r="C441">
        <v>29.45</v>
      </c>
      <c r="D441">
        <v>0</v>
      </c>
      <c r="E441" t="s">
        <v>11</v>
      </c>
      <c r="F441" t="s">
        <v>14</v>
      </c>
      <c r="G441">
        <v>2897.3235</v>
      </c>
    </row>
    <row r="442" spans="1:7" x14ac:dyDescent="0.25">
      <c r="A442">
        <v>31</v>
      </c>
      <c r="B442" t="s">
        <v>7</v>
      </c>
      <c r="C442">
        <v>32.68</v>
      </c>
      <c r="D442">
        <v>1</v>
      </c>
      <c r="E442" t="s">
        <v>11</v>
      </c>
      <c r="F442" t="s">
        <v>13</v>
      </c>
      <c r="G442">
        <v>4738.2682000000004</v>
      </c>
    </row>
    <row r="443" spans="1:7" x14ac:dyDescent="0.25">
      <c r="A443">
        <v>33</v>
      </c>
      <c r="B443" t="s">
        <v>7</v>
      </c>
      <c r="C443">
        <v>33.5</v>
      </c>
      <c r="D443">
        <v>0</v>
      </c>
      <c r="E443" t="s">
        <v>8</v>
      </c>
      <c r="F443" t="s">
        <v>9</v>
      </c>
      <c r="G443">
        <v>37079.372000000003</v>
      </c>
    </row>
    <row r="444" spans="1:7" x14ac:dyDescent="0.25">
      <c r="A444">
        <v>18</v>
      </c>
      <c r="B444" t="s">
        <v>10</v>
      </c>
      <c r="C444">
        <v>43.01</v>
      </c>
      <c r="D444">
        <v>0</v>
      </c>
      <c r="E444" t="s">
        <v>11</v>
      </c>
      <c r="F444" t="s">
        <v>12</v>
      </c>
      <c r="G444">
        <v>1149.3959</v>
      </c>
    </row>
    <row r="445" spans="1:7" x14ac:dyDescent="0.25">
      <c r="A445">
        <v>59</v>
      </c>
      <c r="B445" t="s">
        <v>7</v>
      </c>
      <c r="C445">
        <v>36.520000000000003</v>
      </c>
      <c r="D445">
        <v>1</v>
      </c>
      <c r="E445" t="s">
        <v>11</v>
      </c>
      <c r="F445" t="s">
        <v>12</v>
      </c>
      <c r="G445">
        <v>28287.897659999999</v>
      </c>
    </row>
    <row r="446" spans="1:7" x14ac:dyDescent="0.25">
      <c r="A446">
        <v>56</v>
      </c>
      <c r="B446" t="s">
        <v>10</v>
      </c>
      <c r="C446">
        <v>26.695</v>
      </c>
      <c r="D446">
        <v>1</v>
      </c>
      <c r="E446" t="s">
        <v>8</v>
      </c>
      <c r="F446" t="s">
        <v>13</v>
      </c>
      <c r="G446">
        <v>26109.32905</v>
      </c>
    </row>
    <row r="447" spans="1:7" x14ac:dyDescent="0.25">
      <c r="A447">
        <v>45</v>
      </c>
      <c r="B447" t="s">
        <v>7</v>
      </c>
      <c r="C447">
        <v>33.1</v>
      </c>
      <c r="D447">
        <v>0</v>
      </c>
      <c r="E447" t="s">
        <v>11</v>
      </c>
      <c r="F447" t="s">
        <v>9</v>
      </c>
      <c r="G447">
        <v>7345.0839999999998</v>
      </c>
    </row>
    <row r="448" spans="1:7" x14ac:dyDescent="0.25">
      <c r="A448">
        <v>60</v>
      </c>
      <c r="B448" t="s">
        <v>10</v>
      </c>
      <c r="C448">
        <v>29.64</v>
      </c>
      <c r="D448">
        <v>0</v>
      </c>
      <c r="E448" t="s">
        <v>11</v>
      </c>
      <c r="F448" t="s">
        <v>14</v>
      </c>
      <c r="G448">
        <v>12730.999599999999</v>
      </c>
    </row>
    <row r="449" spans="1:7" x14ac:dyDescent="0.25">
      <c r="A449">
        <v>56</v>
      </c>
      <c r="B449" t="s">
        <v>7</v>
      </c>
      <c r="C449">
        <v>25.65</v>
      </c>
      <c r="D449">
        <v>0</v>
      </c>
      <c r="E449" t="s">
        <v>11</v>
      </c>
      <c r="F449" t="s">
        <v>13</v>
      </c>
      <c r="G449">
        <v>11454.021500000001</v>
      </c>
    </row>
    <row r="450" spans="1:7" x14ac:dyDescent="0.25">
      <c r="A450">
        <v>40</v>
      </c>
      <c r="B450" t="s">
        <v>7</v>
      </c>
      <c r="C450">
        <v>29.6</v>
      </c>
      <c r="D450">
        <v>0</v>
      </c>
      <c r="E450" t="s">
        <v>11</v>
      </c>
      <c r="F450" t="s">
        <v>9</v>
      </c>
      <c r="G450">
        <v>5910.9440000000004</v>
      </c>
    </row>
    <row r="451" spans="1:7" x14ac:dyDescent="0.25">
      <c r="A451">
        <v>35</v>
      </c>
      <c r="B451" t="s">
        <v>10</v>
      </c>
      <c r="C451">
        <v>38.6</v>
      </c>
      <c r="D451">
        <v>1</v>
      </c>
      <c r="E451" t="s">
        <v>11</v>
      </c>
      <c r="F451" t="s">
        <v>9</v>
      </c>
      <c r="G451">
        <v>4762.3289999999997</v>
      </c>
    </row>
    <row r="452" spans="1:7" x14ac:dyDescent="0.25">
      <c r="A452">
        <v>39</v>
      </c>
      <c r="B452" t="s">
        <v>10</v>
      </c>
      <c r="C452">
        <v>29.6</v>
      </c>
      <c r="D452">
        <v>4</v>
      </c>
      <c r="E452" t="s">
        <v>11</v>
      </c>
      <c r="F452" t="s">
        <v>9</v>
      </c>
      <c r="G452">
        <v>7512.2669999999998</v>
      </c>
    </row>
    <row r="453" spans="1:7" x14ac:dyDescent="0.25">
      <c r="A453">
        <v>30</v>
      </c>
      <c r="B453" t="s">
        <v>10</v>
      </c>
      <c r="C453">
        <v>24.13</v>
      </c>
      <c r="D453">
        <v>1</v>
      </c>
      <c r="E453" t="s">
        <v>11</v>
      </c>
      <c r="F453" t="s">
        <v>13</v>
      </c>
      <c r="G453">
        <v>4032.2406999999998</v>
      </c>
    </row>
    <row r="454" spans="1:7" x14ac:dyDescent="0.25">
      <c r="A454">
        <v>24</v>
      </c>
      <c r="B454" t="s">
        <v>10</v>
      </c>
      <c r="C454">
        <v>23.4</v>
      </c>
      <c r="D454">
        <v>0</v>
      </c>
      <c r="E454" t="s">
        <v>11</v>
      </c>
      <c r="F454" t="s">
        <v>9</v>
      </c>
      <c r="G454">
        <v>1969.614</v>
      </c>
    </row>
    <row r="455" spans="1:7" x14ac:dyDescent="0.25">
      <c r="A455">
        <v>20</v>
      </c>
      <c r="B455" t="s">
        <v>10</v>
      </c>
      <c r="C455">
        <v>29.734999999999999</v>
      </c>
      <c r="D455">
        <v>0</v>
      </c>
      <c r="E455" t="s">
        <v>11</v>
      </c>
      <c r="F455" t="s">
        <v>13</v>
      </c>
      <c r="G455">
        <v>1769.5316499999999</v>
      </c>
    </row>
    <row r="456" spans="1:7" x14ac:dyDescent="0.25">
      <c r="A456">
        <v>32</v>
      </c>
      <c r="B456" t="s">
        <v>10</v>
      </c>
      <c r="C456">
        <v>46.53</v>
      </c>
      <c r="D456">
        <v>2</v>
      </c>
      <c r="E456" t="s">
        <v>11</v>
      </c>
      <c r="F456" t="s">
        <v>12</v>
      </c>
      <c r="G456">
        <v>4686.3887000000004</v>
      </c>
    </row>
    <row r="457" spans="1:7" x14ac:dyDescent="0.25">
      <c r="A457">
        <v>59</v>
      </c>
      <c r="B457" t="s">
        <v>10</v>
      </c>
      <c r="C457">
        <v>37.4</v>
      </c>
      <c r="D457">
        <v>0</v>
      </c>
      <c r="E457" t="s">
        <v>11</v>
      </c>
      <c r="F457" t="s">
        <v>9</v>
      </c>
      <c r="G457">
        <v>21797.000400000001</v>
      </c>
    </row>
    <row r="458" spans="1:7" x14ac:dyDescent="0.25">
      <c r="A458">
        <v>55</v>
      </c>
      <c r="B458" t="s">
        <v>7</v>
      </c>
      <c r="C458">
        <v>30.14</v>
      </c>
      <c r="D458">
        <v>2</v>
      </c>
      <c r="E458" t="s">
        <v>11</v>
      </c>
      <c r="F458" t="s">
        <v>12</v>
      </c>
      <c r="G458">
        <v>11881.9696</v>
      </c>
    </row>
    <row r="459" spans="1:7" x14ac:dyDescent="0.25">
      <c r="A459">
        <v>57</v>
      </c>
      <c r="B459" t="s">
        <v>7</v>
      </c>
      <c r="C459">
        <v>30.495000000000001</v>
      </c>
      <c r="D459">
        <v>0</v>
      </c>
      <c r="E459" t="s">
        <v>11</v>
      </c>
      <c r="F459" t="s">
        <v>13</v>
      </c>
      <c r="G459">
        <v>11840.77505</v>
      </c>
    </row>
    <row r="460" spans="1:7" x14ac:dyDescent="0.25">
      <c r="A460">
        <v>56</v>
      </c>
      <c r="B460" t="s">
        <v>10</v>
      </c>
      <c r="C460">
        <v>39.6</v>
      </c>
      <c r="D460">
        <v>0</v>
      </c>
      <c r="E460" t="s">
        <v>11</v>
      </c>
      <c r="F460" t="s">
        <v>9</v>
      </c>
      <c r="G460">
        <v>10601.412</v>
      </c>
    </row>
    <row r="461" spans="1:7" x14ac:dyDescent="0.25">
      <c r="A461">
        <v>40</v>
      </c>
      <c r="B461" t="s">
        <v>7</v>
      </c>
      <c r="C461">
        <v>33</v>
      </c>
      <c r="D461">
        <v>3</v>
      </c>
      <c r="E461" t="s">
        <v>11</v>
      </c>
      <c r="F461" t="s">
        <v>12</v>
      </c>
      <c r="G461">
        <v>7682.67</v>
      </c>
    </row>
    <row r="462" spans="1:7" x14ac:dyDescent="0.25">
      <c r="A462">
        <v>49</v>
      </c>
      <c r="B462" t="s">
        <v>7</v>
      </c>
      <c r="C462">
        <v>36.630000000000003</v>
      </c>
      <c r="D462">
        <v>3</v>
      </c>
      <c r="E462" t="s">
        <v>11</v>
      </c>
      <c r="F462" t="s">
        <v>12</v>
      </c>
      <c r="G462">
        <v>10381.4787</v>
      </c>
    </row>
    <row r="463" spans="1:7" x14ac:dyDescent="0.25">
      <c r="A463">
        <v>42</v>
      </c>
      <c r="B463" t="s">
        <v>10</v>
      </c>
      <c r="C463">
        <v>30</v>
      </c>
      <c r="D463">
        <v>0</v>
      </c>
      <c r="E463" t="s">
        <v>8</v>
      </c>
      <c r="F463" t="s">
        <v>9</v>
      </c>
      <c r="G463">
        <v>22144.031999999999</v>
      </c>
    </row>
    <row r="464" spans="1:7" x14ac:dyDescent="0.25">
      <c r="A464">
        <v>62</v>
      </c>
      <c r="B464" t="s">
        <v>7</v>
      </c>
      <c r="C464">
        <v>38.094999999999999</v>
      </c>
      <c r="D464">
        <v>2</v>
      </c>
      <c r="E464" t="s">
        <v>11</v>
      </c>
      <c r="F464" t="s">
        <v>14</v>
      </c>
      <c r="G464">
        <v>15230.324049999999</v>
      </c>
    </row>
    <row r="465" spans="1:7" x14ac:dyDescent="0.25">
      <c r="A465">
        <v>56</v>
      </c>
      <c r="B465" t="s">
        <v>10</v>
      </c>
      <c r="C465">
        <v>25.934999999999999</v>
      </c>
      <c r="D465">
        <v>0</v>
      </c>
      <c r="E465" t="s">
        <v>11</v>
      </c>
      <c r="F465" t="s">
        <v>14</v>
      </c>
      <c r="G465">
        <v>11165.417649999999</v>
      </c>
    </row>
    <row r="466" spans="1:7" x14ac:dyDescent="0.25">
      <c r="A466">
        <v>19</v>
      </c>
      <c r="B466" t="s">
        <v>10</v>
      </c>
      <c r="C466">
        <v>25.175000000000001</v>
      </c>
      <c r="D466">
        <v>0</v>
      </c>
      <c r="E466" t="s">
        <v>11</v>
      </c>
      <c r="F466" t="s">
        <v>13</v>
      </c>
      <c r="G466">
        <v>1632.0362500000001</v>
      </c>
    </row>
    <row r="467" spans="1:7" x14ac:dyDescent="0.25">
      <c r="A467">
        <v>30</v>
      </c>
      <c r="B467" t="s">
        <v>7</v>
      </c>
      <c r="C467">
        <v>28.38</v>
      </c>
      <c r="D467">
        <v>1</v>
      </c>
      <c r="E467" t="s">
        <v>8</v>
      </c>
      <c r="F467" t="s">
        <v>12</v>
      </c>
      <c r="G467">
        <v>19521.968199999999</v>
      </c>
    </row>
    <row r="468" spans="1:7" x14ac:dyDescent="0.25">
      <c r="A468">
        <v>60</v>
      </c>
      <c r="B468" t="s">
        <v>7</v>
      </c>
      <c r="C468">
        <v>28.7</v>
      </c>
      <c r="D468">
        <v>1</v>
      </c>
      <c r="E468" t="s">
        <v>11</v>
      </c>
      <c r="F468" t="s">
        <v>9</v>
      </c>
      <c r="G468">
        <v>13224.692999999999</v>
      </c>
    </row>
    <row r="469" spans="1:7" x14ac:dyDescent="0.25">
      <c r="A469">
        <v>56</v>
      </c>
      <c r="B469" t="s">
        <v>7</v>
      </c>
      <c r="C469">
        <v>33.82</v>
      </c>
      <c r="D469">
        <v>2</v>
      </c>
      <c r="E469" t="s">
        <v>11</v>
      </c>
      <c r="F469" t="s">
        <v>13</v>
      </c>
      <c r="G469">
        <v>12643.3778</v>
      </c>
    </row>
    <row r="470" spans="1:7" x14ac:dyDescent="0.25">
      <c r="A470">
        <v>28</v>
      </c>
      <c r="B470" t="s">
        <v>7</v>
      </c>
      <c r="C470">
        <v>24.32</v>
      </c>
      <c r="D470">
        <v>1</v>
      </c>
      <c r="E470" t="s">
        <v>11</v>
      </c>
      <c r="F470" t="s">
        <v>14</v>
      </c>
      <c r="G470">
        <v>23288.928400000001</v>
      </c>
    </row>
    <row r="471" spans="1:7" x14ac:dyDescent="0.25">
      <c r="A471">
        <v>18</v>
      </c>
      <c r="B471" t="s">
        <v>7</v>
      </c>
      <c r="C471">
        <v>24.09</v>
      </c>
      <c r="D471">
        <v>1</v>
      </c>
      <c r="E471" t="s">
        <v>11</v>
      </c>
      <c r="F471" t="s">
        <v>12</v>
      </c>
      <c r="G471">
        <v>2201.0971</v>
      </c>
    </row>
    <row r="472" spans="1:7" x14ac:dyDescent="0.25">
      <c r="A472">
        <v>27</v>
      </c>
      <c r="B472" t="s">
        <v>10</v>
      </c>
      <c r="C472">
        <v>32.67</v>
      </c>
      <c r="D472">
        <v>0</v>
      </c>
      <c r="E472" t="s">
        <v>11</v>
      </c>
      <c r="F472" t="s">
        <v>12</v>
      </c>
      <c r="G472">
        <v>2497.0383000000002</v>
      </c>
    </row>
    <row r="473" spans="1:7" x14ac:dyDescent="0.25">
      <c r="A473">
        <v>18</v>
      </c>
      <c r="B473" t="s">
        <v>7</v>
      </c>
      <c r="C473">
        <v>30.114999999999998</v>
      </c>
      <c r="D473">
        <v>0</v>
      </c>
      <c r="E473" t="s">
        <v>11</v>
      </c>
      <c r="F473" t="s">
        <v>14</v>
      </c>
      <c r="G473">
        <v>2203.4718499999999</v>
      </c>
    </row>
    <row r="474" spans="1:7" x14ac:dyDescent="0.25">
      <c r="A474">
        <v>19</v>
      </c>
      <c r="B474" t="s">
        <v>7</v>
      </c>
      <c r="C474">
        <v>29.8</v>
      </c>
      <c r="D474">
        <v>0</v>
      </c>
      <c r="E474" t="s">
        <v>11</v>
      </c>
      <c r="F474" t="s">
        <v>9</v>
      </c>
      <c r="G474">
        <v>1744.4649999999999</v>
      </c>
    </row>
    <row r="475" spans="1:7" x14ac:dyDescent="0.25">
      <c r="A475">
        <v>47</v>
      </c>
      <c r="B475" t="s">
        <v>7</v>
      </c>
      <c r="C475">
        <v>33.344999999999999</v>
      </c>
      <c r="D475">
        <v>0</v>
      </c>
      <c r="E475" t="s">
        <v>11</v>
      </c>
      <c r="F475" t="s">
        <v>14</v>
      </c>
      <c r="G475">
        <v>20878.78443</v>
      </c>
    </row>
    <row r="476" spans="1:7" x14ac:dyDescent="0.25">
      <c r="A476">
        <v>54</v>
      </c>
      <c r="B476" t="s">
        <v>10</v>
      </c>
      <c r="C476">
        <v>25.1</v>
      </c>
      <c r="D476">
        <v>3</v>
      </c>
      <c r="E476" t="s">
        <v>8</v>
      </c>
      <c r="F476" t="s">
        <v>9</v>
      </c>
      <c r="G476">
        <v>25382.296999999999</v>
      </c>
    </row>
    <row r="477" spans="1:7" x14ac:dyDescent="0.25">
      <c r="A477">
        <v>61</v>
      </c>
      <c r="B477" t="s">
        <v>10</v>
      </c>
      <c r="C477">
        <v>28.31</v>
      </c>
      <c r="D477">
        <v>1</v>
      </c>
      <c r="E477" t="s">
        <v>8</v>
      </c>
      <c r="F477" t="s">
        <v>13</v>
      </c>
      <c r="G477">
        <v>28868.6639</v>
      </c>
    </row>
    <row r="478" spans="1:7" x14ac:dyDescent="0.25">
      <c r="A478">
        <v>24</v>
      </c>
      <c r="B478" t="s">
        <v>10</v>
      </c>
      <c r="C478">
        <v>28.5</v>
      </c>
      <c r="D478">
        <v>0</v>
      </c>
      <c r="E478" t="s">
        <v>8</v>
      </c>
      <c r="F478" t="s">
        <v>14</v>
      </c>
      <c r="G478">
        <v>35147.528480000001</v>
      </c>
    </row>
    <row r="479" spans="1:7" x14ac:dyDescent="0.25">
      <c r="A479">
        <v>25</v>
      </c>
      <c r="B479" t="s">
        <v>10</v>
      </c>
      <c r="C479">
        <v>35.625</v>
      </c>
      <c r="D479">
        <v>0</v>
      </c>
      <c r="E479" t="s">
        <v>11</v>
      </c>
      <c r="F479" t="s">
        <v>13</v>
      </c>
      <c r="G479">
        <v>2534.3937500000002</v>
      </c>
    </row>
    <row r="480" spans="1:7" x14ac:dyDescent="0.25">
      <c r="A480">
        <v>21</v>
      </c>
      <c r="B480" t="s">
        <v>10</v>
      </c>
      <c r="C480">
        <v>36.85</v>
      </c>
      <c r="D480">
        <v>0</v>
      </c>
      <c r="E480" t="s">
        <v>11</v>
      </c>
      <c r="F480" t="s">
        <v>12</v>
      </c>
      <c r="G480">
        <v>1534.3045</v>
      </c>
    </row>
    <row r="481" spans="1:7" x14ac:dyDescent="0.25">
      <c r="A481">
        <v>23</v>
      </c>
      <c r="B481" t="s">
        <v>10</v>
      </c>
      <c r="C481">
        <v>32.56</v>
      </c>
      <c r="D481">
        <v>0</v>
      </c>
      <c r="E481" t="s">
        <v>11</v>
      </c>
      <c r="F481" t="s">
        <v>12</v>
      </c>
      <c r="G481">
        <v>1824.2854</v>
      </c>
    </row>
    <row r="482" spans="1:7" x14ac:dyDescent="0.25">
      <c r="A482">
        <v>63</v>
      </c>
      <c r="B482" t="s">
        <v>10</v>
      </c>
      <c r="C482">
        <v>41.325000000000003</v>
      </c>
      <c r="D482">
        <v>3</v>
      </c>
      <c r="E482" t="s">
        <v>11</v>
      </c>
      <c r="F482" t="s">
        <v>13</v>
      </c>
      <c r="G482">
        <v>15555.188749999999</v>
      </c>
    </row>
    <row r="483" spans="1:7" x14ac:dyDescent="0.25">
      <c r="A483">
        <v>49</v>
      </c>
      <c r="B483" t="s">
        <v>10</v>
      </c>
      <c r="C483">
        <v>37.51</v>
      </c>
      <c r="D483">
        <v>2</v>
      </c>
      <c r="E483" t="s">
        <v>11</v>
      </c>
      <c r="F483" t="s">
        <v>12</v>
      </c>
      <c r="G483">
        <v>9304.7019</v>
      </c>
    </row>
    <row r="484" spans="1:7" x14ac:dyDescent="0.25">
      <c r="A484">
        <v>18</v>
      </c>
      <c r="B484" t="s">
        <v>7</v>
      </c>
      <c r="C484">
        <v>31.35</v>
      </c>
      <c r="D484">
        <v>0</v>
      </c>
      <c r="E484" t="s">
        <v>11</v>
      </c>
      <c r="F484" t="s">
        <v>12</v>
      </c>
      <c r="G484">
        <v>1622.1885</v>
      </c>
    </row>
    <row r="485" spans="1:7" x14ac:dyDescent="0.25">
      <c r="A485">
        <v>51</v>
      </c>
      <c r="B485" t="s">
        <v>7</v>
      </c>
      <c r="C485">
        <v>39.5</v>
      </c>
      <c r="D485">
        <v>1</v>
      </c>
      <c r="E485" t="s">
        <v>11</v>
      </c>
      <c r="F485" t="s">
        <v>9</v>
      </c>
      <c r="G485">
        <v>9880.0679999999993</v>
      </c>
    </row>
    <row r="486" spans="1:7" x14ac:dyDescent="0.25">
      <c r="A486">
        <v>48</v>
      </c>
      <c r="B486" t="s">
        <v>10</v>
      </c>
      <c r="C486">
        <v>34.299999999999997</v>
      </c>
      <c r="D486">
        <v>3</v>
      </c>
      <c r="E486" t="s">
        <v>11</v>
      </c>
      <c r="F486" t="s">
        <v>9</v>
      </c>
      <c r="G486">
        <v>9563.0290000000005</v>
      </c>
    </row>
    <row r="487" spans="1:7" x14ac:dyDescent="0.25">
      <c r="A487">
        <v>31</v>
      </c>
      <c r="B487" t="s">
        <v>7</v>
      </c>
      <c r="C487">
        <v>31.065000000000001</v>
      </c>
      <c r="D487">
        <v>0</v>
      </c>
      <c r="E487" t="s">
        <v>11</v>
      </c>
      <c r="F487" t="s">
        <v>14</v>
      </c>
      <c r="G487">
        <v>4347.0233500000004</v>
      </c>
    </row>
    <row r="488" spans="1:7" x14ac:dyDescent="0.25">
      <c r="A488">
        <v>54</v>
      </c>
      <c r="B488" t="s">
        <v>7</v>
      </c>
      <c r="C488">
        <v>21.47</v>
      </c>
      <c r="D488">
        <v>3</v>
      </c>
      <c r="E488" t="s">
        <v>11</v>
      </c>
      <c r="F488" t="s">
        <v>13</v>
      </c>
      <c r="G488">
        <v>12475.3513</v>
      </c>
    </row>
    <row r="489" spans="1:7" x14ac:dyDescent="0.25">
      <c r="A489">
        <v>19</v>
      </c>
      <c r="B489" t="s">
        <v>10</v>
      </c>
      <c r="C489">
        <v>28.7</v>
      </c>
      <c r="D489">
        <v>0</v>
      </c>
      <c r="E489" t="s">
        <v>11</v>
      </c>
      <c r="F489" t="s">
        <v>9</v>
      </c>
      <c r="G489">
        <v>1253.9359999999999</v>
      </c>
    </row>
    <row r="490" spans="1:7" x14ac:dyDescent="0.25">
      <c r="A490">
        <v>44</v>
      </c>
      <c r="B490" t="s">
        <v>7</v>
      </c>
      <c r="C490">
        <v>38.06</v>
      </c>
      <c r="D490">
        <v>0</v>
      </c>
      <c r="E490" t="s">
        <v>8</v>
      </c>
      <c r="F490" t="s">
        <v>12</v>
      </c>
      <c r="G490">
        <v>48885.135609999998</v>
      </c>
    </row>
    <row r="491" spans="1:7" x14ac:dyDescent="0.25">
      <c r="A491">
        <v>53</v>
      </c>
      <c r="B491" t="s">
        <v>10</v>
      </c>
      <c r="C491">
        <v>31.16</v>
      </c>
      <c r="D491">
        <v>1</v>
      </c>
      <c r="E491" t="s">
        <v>11</v>
      </c>
      <c r="F491" t="s">
        <v>13</v>
      </c>
      <c r="G491">
        <v>10461.9794</v>
      </c>
    </row>
    <row r="492" spans="1:7" x14ac:dyDescent="0.25">
      <c r="A492">
        <v>19</v>
      </c>
      <c r="B492" t="s">
        <v>7</v>
      </c>
      <c r="C492">
        <v>32.9</v>
      </c>
      <c r="D492">
        <v>0</v>
      </c>
      <c r="E492" t="s">
        <v>11</v>
      </c>
      <c r="F492" t="s">
        <v>9</v>
      </c>
      <c r="G492">
        <v>1748.7739999999999</v>
      </c>
    </row>
    <row r="493" spans="1:7" x14ac:dyDescent="0.25">
      <c r="A493">
        <v>61</v>
      </c>
      <c r="B493" t="s">
        <v>7</v>
      </c>
      <c r="C493">
        <v>25.08</v>
      </c>
      <c r="D493">
        <v>0</v>
      </c>
      <c r="E493" t="s">
        <v>11</v>
      </c>
      <c r="F493" t="s">
        <v>12</v>
      </c>
      <c r="G493">
        <v>24513.091260000001</v>
      </c>
    </row>
    <row r="494" spans="1:7" x14ac:dyDescent="0.25">
      <c r="A494">
        <v>18</v>
      </c>
      <c r="B494" t="s">
        <v>7</v>
      </c>
      <c r="C494">
        <v>25.08</v>
      </c>
      <c r="D494">
        <v>0</v>
      </c>
      <c r="E494" t="s">
        <v>11</v>
      </c>
      <c r="F494" t="s">
        <v>14</v>
      </c>
      <c r="G494">
        <v>2196.4731999999999</v>
      </c>
    </row>
    <row r="495" spans="1:7" x14ac:dyDescent="0.25">
      <c r="A495">
        <v>61</v>
      </c>
      <c r="B495" t="s">
        <v>10</v>
      </c>
      <c r="C495">
        <v>43.4</v>
      </c>
      <c r="D495">
        <v>0</v>
      </c>
      <c r="E495" t="s">
        <v>11</v>
      </c>
      <c r="F495" t="s">
        <v>9</v>
      </c>
      <c r="G495">
        <v>12574.049000000001</v>
      </c>
    </row>
    <row r="496" spans="1:7" x14ac:dyDescent="0.25">
      <c r="A496">
        <v>21</v>
      </c>
      <c r="B496" t="s">
        <v>10</v>
      </c>
      <c r="C496">
        <v>25.7</v>
      </c>
      <c r="D496">
        <v>4</v>
      </c>
      <c r="E496" t="s">
        <v>8</v>
      </c>
      <c r="F496" t="s">
        <v>9</v>
      </c>
      <c r="G496">
        <v>17942.106</v>
      </c>
    </row>
    <row r="497" spans="1:7" x14ac:dyDescent="0.25">
      <c r="A497">
        <v>20</v>
      </c>
      <c r="B497" t="s">
        <v>10</v>
      </c>
      <c r="C497">
        <v>27.93</v>
      </c>
      <c r="D497">
        <v>0</v>
      </c>
      <c r="E497" t="s">
        <v>11</v>
      </c>
      <c r="F497" t="s">
        <v>14</v>
      </c>
      <c r="G497">
        <v>1967.0227</v>
      </c>
    </row>
    <row r="498" spans="1:7" x14ac:dyDescent="0.25">
      <c r="A498">
        <v>31</v>
      </c>
      <c r="B498" t="s">
        <v>7</v>
      </c>
      <c r="C498">
        <v>23.6</v>
      </c>
      <c r="D498">
        <v>2</v>
      </c>
      <c r="E498" t="s">
        <v>11</v>
      </c>
      <c r="F498" t="s">
        <v>9</v>
      </c>
      <c r="G498">
        <v>4931.6469999999999</v>
      </c>
    </row>
    <row r="499" spans="1:7" x14ac:dyDescent="0.25">
      <c r="A499">
        <v>45</v>
      </c>
      <c r="B499" t="s">
        <v>10</v>
      </c>
      <c r="C499">
        <v>28.7</v>
      </c>
      <c r="D499">
        <v>2</v>
      </c>
      <c r="E499" t="s">
        <v>11</v>
      </c>
      <c r="F499" t="s">
        <v>9</v>
      </c>
      <c r="G499">
        <v>8027.9679999999998</v>
      </c>
    </row>
    <row r="500" spans="1:7" x14ac:dyDescent="0.25">
      <c r="A500">
        <v>44</v>
      </c>
      <c r="B500" t="s">
        <v>7</v>
      </c>
      <c r="C500">
        <v>23.98</v>
      </c>
      <c r="D500">
        <v>2</v>
      </c>
      <c r="E500" t="s">
        <v>11</v>
      </c>
      <c r="F500" t="s">
        <v>12</v>
      </c>
      <c r="G500">
        <v>8211.1002000000008</v>
      </c>
    </row>
    <row r="501" spans="1:7" x14ac:dyDescent="0.25">
      <c r="A501">
        <v>62</v>
      </c>
      <c r="B501" t="s">
        <v>7</v>
      </c>
      <c r="C501">
        <v>39.200000000000003</v>
      </c>
      <c r="D501">
        <v>0</v>
      </c>
      <c r="E501" t="s">
        <v>11</v>
      </c>
      <c r="F501" t="s">
        <v>9</v>
      </c>
      <c r="G501">
        <v>13470.86</v>
      </c>
    </row>
    <row r="502" spans="1:7" x14ac:dyDescent="0.25">
      <c r="A502">
        <v>29</v>
      </c>
      <c r="B502" t="s">
        <v>10</v>
      </c>
      <c r="C502">
        <v>34.4</v>
      </c>
      <c r="D502">
        <v>0</v>
      </c>
      <c r="E502" t="s">
        <v>8</v>
      </c>
      <c r="F502" t="s">
        <v>9</v>
      </c>
      <c r="G502">
        <v>36197.699000000001</v>
      </c>
    </row>
    <row r="503" spans="1:7" x14ac:dyDescent="0.25">
      <c r="A503">
        <v>43</v>
      </c>
      <c r="B503" t="s">
        <v>10</v>
      </c>
      <c r="C503">
        <v>26.03</v>
      </c>
      <c r="D503">
        <v>0</v>
      </c>
      <c r="E503" t="s">
        <v>11</v>
      </c>
      <c r="F503" t="s">
        <v>14</v>
      </c>
      <c r="G503">
        <v>6837.3687</v>
      </c>
    </row>
    <row r="504" spans="1:7" x14ac:dyDescent="0.25">
      <c r="A504">
        <v>51</v>
      </c>
      <c r="B504" t="s">
        <v>10</v>
      </c>
      <c r="C504">
        <v>23.21</v>
      </c>
      <c r="D504">
        <v>1</v>
      </c>
      <c r="E504" t="s">
        <v>8</v>
      </c>
      <c r="F504" t="s">
        <v>12</v>
      </c>
      <c r="G504">
        <v>22218.1149</v>
      </c>
    </row>
    <row r="505" spans="1:7" x14ac:dyDescent="0.25">
      <c r="A505">
        <v>19</v>
      </c>
      <c r="B505" t="s">
        <v>10</v>
      </c>
      <c r="C505">
        <v>30.25</v>
      </c>
      <c r="D505">
        <v>0</v>
      </c>
      <c r="E505" t="s">
        <v>8</v>
      </c>
      <c r="F505" t="s">
        <v>12</v>
      </c>
      <c r="G505">
        <v>32548.340499999998</v>
      </c>
    </row>
    <row r="506" spans="1:7" x14ac:dyDescent="0.25">
      <c r="A506">
        <v>38</v>
      </c>
      <c r="B506" t="s">
        <v>7</v>
      </c>
      <c r="C506">
        <v>28.93</v>
      </c>
      <c r="D506">
        <v>1</v>
      </c>
      <c r="E506" t="s">
        <v>11</v>
      </c>
      <c r="F506" t="s">
        <v>12</v>
      </c>
      <c r="G506">
        <v>5974.3846999999996</v>
      </c>
    </row>
    <row r="507" spans="1:7" x14ac:dyDescent="0.25">
      <c r="A507">
        <v>37</v>
      </c>
      <c r="B507" t="s">
        <v>10</v>
      </c>
      <c r="C507">
        <v>30.875</v>
      </c>
      <c r="D507">
        <v>3</v>
      </c>
      <c r="E507" t="s">
        <v>11</v>
      </c>
      <c r="F507" t="s">
        <v>13</v>
      </c>
      <c r="G507">
        <v>6796.8632500000003</v>
      </c>
    </row>
    <row r="508" spans="1:7" x14ac:dyDescent="0.25">
      <c r="A508">
        <v>22</v>
      </c>
      <c r="B508" t="s">
        <v>10</v>
      </c>
      <c r="C508">
        <v>31.35</v>
      </c>
      <c r="D508">
        <v>1</v>
      </c>
      <c r="E508" t="s">
        <v>11</v>
      </c>
      <c r="F508" t="s">
        <v>13</v>
      </c>
      <c r="G508">
        <v>2643.2685000000001</v>
      </c>
    </row>
    <row r="509" spans="1:7" x14ac:dyDescent="0.25">
      <c r="A509">
        <v>21</v>
      </c>
      <c r="B509" t="s">
        <v>10</v>
      </c>
      <c r="C509">
        <v>23.75</v>
      </c>
      <c r="D509">
        <v>2</v>
      </c>
      <c r="E509" t="s">
        <v>11</v>
      </c>
      <c r="F509" t="s">
        <v>13</v>
      </c>
      <c r="G509">
        <v>3077.0954999999999</v>
      </c>
    </row>
    <row r="510" spans="1:7" x14ac:dyDescent="0.25">
      <c r="A510">
        <v>24</v>
      </c>
      <c r="B510" t="s">
        <v>7</v>
      </c>
      <c r="C510">
        <v>25.27</v>
      </c>
      <c r="D510">
        <v>0</v>
      </c>
      <c r="E510" t="s">
        <v>11</v>
      </c>
      <c r="F510" t="s">
        <v>14</v>
      </c>
      <c r="G510">
        <v>3044.2132999999999</v>
      </c>
    </row>
    <row r="511" spans="1:7" x14ac:dyDescent="0.25">
      <c r="A511">
        <v>57</v>
      </c>
      <c r="B511" t="s">
        <v>7</v>
      </c>
      <c r="C511">
        <v>28.7</v>
      </c>
      <c r="D511">
        <v>0</v>
      </c>
      <c r="E511" t="s">
        <v>11</v>
      </c>
      <c r="F511" t="s">
        <v>9</v>
      </c>
      <c r="G511">
        <v>11455.28</v>
      </c>
    </row>
    <row r="512" spans="1:7" x14ac:dyDescent="0.25">
      <c r="A512">
        <v>56</v>
      </c>
      <c r="B512" t="s">
        <v>10</v>
      </c>
      <c r="C512">
        <v>32.11</v>
      </c>
      <c r="D512">
        <v>1</v>
      </c>
      <c r="E512" t="s">
        <v>11</v>
      </c>
      <c r="F512" t="s">
        <v>14</v>
      </c>
      <c r="G512">
        <v>11763.000899999999</v>
      </c>
    </row>
    <row r="513" spans="1:7" x14ac:dyDescent="0.25">
      <c r="A513">
        <v>27</v>
      </c>
      <c r="B513" t="s">
        <v>10</v>
      </c>
      <c r="C513">
        <v>33.659999999999997</v>
      </c>
      <c r="D513">
        <v>0</v>
      </c>
      <c r="E513" t="s">
        <v>11</v>
      </c>
      <c r="F513" t="s">
        <v>12</v>
      </c>
      <c r="G513">
        <v>2498.4144000000001</v>
      </c>
    </row>
    <row r="514" spans="1:7" x14ac:dyDescent="0.25">
      <c r="A514">
        <v>51</v>
      </c>
      <c r="B514" t="s">
        <v>10</v>
      </c>
      <c r="C514">
        <v>22.42</v>
      </c>
      <c r="D514">
        <v>0</v>
      </c>
      <c r="E514" t="s">
        <v>11</v>
      </c>
      <c r="F514" t="s">
        <v>14</v>
      </c>
      <c r="G514">
        <v>9361.3268000000007</v>
      </c>
    </row>
    <row r="515" spans="1:7" x14ac:dyDescent="0.25">
      <c r="A515">
        <v>19</v>
      </c>
      <c r="B515" t="s">
        <v>10</v>
      </c>
      <c r="C515">
        <v>30.4</v>
      </c>
      <c r="D515">
        <v>0</v>
      </c>
      <c r="E515" t="s">
        <v>11</v>
      </c>
      <c r="F515" t="s">
        <v>9</v>
      </c>
      <c r="G515">
        <v>1256.299</v>
      </c>
    </row>
    <row r="516" spans="1:7" x14ac:dyDescent="0.25">
      <c r="A516">
        <v>39</v>
      </c>
      <c r="B516" t="s">
        <v>10</v>
      </c>
      <c r="C516">
        <v>28.3</v>
      </c>
      <c r="D516">
        <v>1</v>
      </c>
      <c r="E516" t="s">
        <v>8</v>
      </c>
      <c r="F516" t="s">
        <v>9</v>
      </c>
      <c r="G516">
        <v>21082.16</v>
      </c>
    </row>
    <row r="517" spans="1:7" x14ac:dyDescent="0.25">
      <c r="A517">
        <v>58</v>
      </c>
      <c r="B517" t="s">
        <v>10</v>
      </c>
      <c r="C517">
        <v>35.700000000000003</v>
      </c>
      <c r="D517">
        <v>0</v>
      </c>
      <c r="E517" t="s">
        <v>11</v>
      </c>
      <c r="F517" t="s">
        <v>9</v>
      </c>
      <c r="G517">
        <v>11362.754999999999</v>
      </c>
    </row>
    <row r="518" spans="1:7" x14ac:dyDescent="0.25">
      <c r="A518">
        <v>20</v>
      </c>
      <c r="B518" t="s">
        <v>10</v>
      </c>
      <c r="C518">
        <v>35.31</v>
      </c>
      <c r="D518">
        <v>1</v>
      </c>
      <c r="E518" t="s">
        <v>11</v>
      </c>
      <c r="F518" t="s">
        <v>12</v>
      </c>
      <c r="G518">
        <v>27724.28875</v>
      </c>
    </row>
    <row r="519" spans="1:7" x14ac:dyDescent="0.25">
      <c r="A519">
        <v>45</v>
      </c>
      <c r="B519" t="s">
        <v>10</v>
      </c>
      <c r="C519">
        <v>30.495000000000001</v>
      </c>
      <c r="D519">
        <v>2</v>
      </c>
      <c r="E519" t="s">
        <v>11</v>
      </c>
      <c r="F519" t="s">
        <v>13</v>
      </c>
      <c r="G519">
        <v>8413.4630500000003</v>
      </c>
    </row>
    <row r="520" spans="1:7" x14ac:dyDescent="0.25">
      <c r="A520">
        <v>35</v>
      </c>
      <c r="B520" t="s">
        <v>7</v>
      </c>
      <c r="C520">
        <v>31</v>
      </c>
      <c r="D520">
        <v>1</v>
      </c>
      <c r="E520" t="s">
        <v>11</v>
      </c>
      <c r="F520" t="s">
        <v>9</v>
      </c>
      <c r="G520">
        <v>5240.7650000000003</v>
      </c>
    </row>
    <row r="521" spans="1:7" x14ac:dyDescent="0.25">
      <c r="A521">
        <v>31</v>
      </c>
      <c r="B521" t="s">
        <v>10</v>
      </c>
      <c r="C521">
        <v>30.875</v>
      </c>
      <c r="D521">
        <v>0</v>
      </c>
      <c r="E521" t="s">
        <v>11</v>
      </c>
      <c r="F521" t="s">
        <v>14</v>
      </c>
      <c r="G521">
        <v>3857.7592500000001</v>
      </c>
    </row>
    <row r="522" spans="1:7" x14ac:dyDescent="0.25">
      <c r="A522">
        <v>50</v>
      </c>
      <c r="B522" t="s">
        <v>7</v>
      </c>
      <c r="C522">
        <v>27.36</v>
      </c>
      <c r="D522">
        <v>0</v>
      </c>
      <c r="E522" t="s">
        <v>11</v>
      </c>
      <c r="F522" t="s">
        <v>14</v>
      </c>
      <c r="G522">
        <v>25656.575260000001</v>
      </c>
    </row>
    <row r="523" spans="1:7" x14ac:dyDescent="0.25">
      <c r="A523">
        <v>32</v>
      </c>
      <c r="B523" t="s">
        <v>7</v>
      </c>
      <c r="C523">
        <v>44.22</v>
      </c>
      <c r="D523">
        <v>0</v>
      </c>
      <c r="E523" t="s">
        <v>11</v>
      </c>
      <c r="F523" t="s">
        <v>12</v>
      </c>
      <c r="G523">
        <v>3994.1777999999999</v>
      </c>
    </row>
    <row r="524" spans="1:7" x14ac:dyDescent="0.25">
      <c r="A524">
        <v>51</v>
      </c>
      <c r="B524" t="s">
        <v>7</v>
      </c>
      <c r="C524">
        <v>33.914999999999999</v>
      </c>
      <c r="D524">
        <v>0</v>
      </c>
      <c r="E524" t="s">
        <v>11</v>
      </c>
      <c r="F524" t="s">
        <v>14</v>
      </c>
      <c r="G524">
        <v>9866.3048500000004</v>
      </c>
    </row>
    <row r="525" spans="1:7" x14ac:dyDescent="0.25">
      <c r="A525">
        <v>38</v>
      </c>
      <c r="B525" t="s">
        <v>7</v>
      </c>
      <c r="C525">
        <v>37.729999999999997</v>
      </c>
      <c r="D525">
        <v>0</v>
      </c>
      <c r="E525" t="s">
        <v>11</v>
      </c>
      <c r="F525" t="s">
        <v>12</v>
      </c>
      <c r="G525">
        <v>5397.6166999999996</v>
      </c>
    </row>
    <row r="526" spans="1:7" x14ac:dyDescent="0.25">
      <c r="A526">
        <v>42</v>
      </c>
      <c r="B526" t="s">
        <v>10</v>
      </c>
      <c r="C526">
        <v>26.07</v>
      </c>
      <c r="D526">
        <v>1</v>
      </c>
      <c r="E526" t="s">
        <v>8</v>
      </c>
      <c r="F526" t="s">
        <v>12</v>
      </c>
      <c r="G526">
        <v>38245.593269999998</v>
      </c>
    </row>
    <row r="527" spans="1:7" x14ac:dyDescent="0.25">
      <c r="A527">
        <v>18</v>
      </c>
      <c r="B527" t="s">
        <v>7</v>
      </c>
      <c r="C527">
        <v>33.880000000000003</v>
      </c>
      <c r="D527">
        <v>0</v>
      </c>
      <c r="E527" t="s">
        <v>11</v>
      </c>
      <c r="F527" t="s">
        <v>12</v>
      </c>
      <c r="G527">
        <v>11482.63485</v>
      </c>
    </row>
    <row r="528" spans="1:7" x14ac:dyDescent="0.25">
      <c r="A528">
        <v>19</v>
      </c>
      <c r="B528" t="s">
        <v>7</v>
      </c>
      <c r="C528">
        <v>30.59</v>
      </c>
      <c r="D528">
        <v>2</v>
      </c>
      <c r="E528" t="s">
        <v>11</v>
      </c>
      <c r="F528" t="s">
        <v>13</v>
      </c>
      <c r="G528">
        <v>24059.680189999999</v>
      </c>
    </row>
    <row r="529" spans="1:7" x14ac:dyDescent="0.25">
      <c r="A529">
        <v>51</v>
      </c>
      <c r="B529" t="s">
        <v>7</v>
      </c>
      <c r="C529">
        <v>25.8</v>
      </c>
      <c r="D529">
        <v>1</v>
      </c>
      <c r="E529" t="s">
        <v>11</v>
      </c>
      <c r="F529" t="s">
        <v>9</v>
      </c>
      <c r="G529">
        <v>9861.0249999999996</v>
      </c>
    </row>
    <row r="530" spans="1:7" x14ac:dyDescent="0.25">
      <c r="A530">
        <v>46</v>
      </c>
      <c r="B530" t="s">
        <v>10</v>
      </c>
      <c r="C530">
        <v>39.424999999999997</v>
      </c>
      <c r="D530">
        <v>1</v>
      </c>
      <c r="E530" t="s">
        <v>11</v>
      </c>
      <c r="F530" t="s">
        <v>14</v>
      </c>
      <c r="G530">
        <v>8342.9087500000005</v>
      </c>
    </row>
    <row r="531" spans="1:7" x14ac:dyDescent="0.25">
      <c r="A531">
        <v>18</v>
      </c>
      <c r="B531" t="s">
        <v>10</v>
      </c>
      <c r="C531">
        <v>25.46</v>
      </c>
      <c r="D531">
        <v>0</v>
      </c>
      <c r="E531" t="s">
        <v>11</v>
      </c>
      <c r="F531" t="s">
        <v>14</v>
      </c>
      <c r="G531">
        <v>1708.0014000000001</v>
      </c>
    </row>
    <row r="532" spans="1:7" x14ac:dyDescent="0.25">
      <c r="A532">
        <v>57</v>
      </c>
      <c r="B532" t="s">
        <v>10</v>
      </c>
      <c r="C532">
        <v>42.13</v>
      </c>
      <c r="D532">
        <v>1</v>
      </c>
      <c r="E532" t="s">
        <v>8</v>
      </c>
      <c r="F532" t="s">
        <v>12</v>
      </c>
      <c r="G532">
        <v>48675.517699999997</v>
      </c>
    </row>
    <row r="533" spans="1:7" x14ac:dyDescent="0.25">
      <c r="A533">
        <v>62</v>
      </c>
      <c r="B533" t="s">
        <v>7</v>
      </c>
      <c r="C533">
        <v>31.73</v>
      </c>
      <c r="D533">
        <v>0</v>
      </c>
      <c r="E533" t="s">
        <v>11</v>
      </c>
      <c r="F533" t="s">
        <v>14</v>
      </c>
      <c r="G533">
        <v>14043.476699999999</v>
      </c>
    </row>
    <row r="534" spans="1:7" x14ac:dyDescent="0.25">
      <c r="A534">
        <v>59</v>
      </c>
      <c r="B534" t="s">
        <v>10</v>
      </c>
      <c r="C534">
        <v>29.7</v>
      </c>
      <c r="D534">
        <v>2</v>
      </c>
      <c r="E534" t="s">
        <v>11</v>
      </c>
      <c r="F534" t="s">
        <v>12</v>
      </c>
      <c r="G534">
        <v>12925.886</v>
      </c>
    </row>
    <row r="535" spans="1:7" x14ac:dyDescent="0.25">
      <c r="A535">
        <v>37</v>
      </c>
      <c r="B535" t="s">
        <v>10</v>
      </c>
      <c r="C535">
        <v>36.19</v>
      </c>
      <c r="D535">
        <v>0</v>
      </c>
      <c r="E535" t="s">
        <v>11</v>
      </c>
      <c r="F535" t="s">
        <v>12</v>
      </c>
      <c r="G535">
        <v>19214.705529999999</v>
      </c>
    </row>
    <row r="536" spans="1:7" x14ac:dyDescent="0.25">
      <c r="A536">
        <v>64</v>
      </c>
      <c r="B536" t="s">
        <v>10</v>
      </c>
      <c r="C536">
        <v>40.479999999999997</v>
      </c>
      <c r="D536">
        <v>0</v>
      </c>
      <c r="E536" t="s">
        <v>11</v>
      </c>
      <c r="F536" t="s">
        <v>12</v>
      </c>
      <c r="G536">
        <v>13831.1152</v>
      </c>
    </row>
    <row r="537" spans="1:7" x14ac:dyDescent="0.25">
      <c r="A537">
        <v>38</v>
      </c>
      <c r="B537" t="s">
        <v>10</v>
      </c>
      <c r="C537">
        <v>28.024999999999999</v>
      </c>
      <c r="D537">
        <v>1</v>
      </c>
      <c r="E537" t="s">
        <v>11</v>
      </c>
      <c r="F537" t="s">
        <v>14</v>
      </c>
      <c r="G537">
        <v>6067.1267500000004</v>
      </c>
    </row>
    <row r="538" spans="1:7" x14ac:dyDescent="0.25">
      <c r="A538">
        <v>33</v>
      </c>
      <c r="B538" t="s">
        <v>7</v>
      </c>
      <c r="C538">
        <v>38.9</v>
      </c>
      <c r="D538">
        <v>3</v>
      </c>
      <c r="E538" t="s">
        <v>11</v>
      </c>
      <c r="F538" t="s">
        <v>9</v>
      </c>
      <c r="G538">
        <v>5972.3779999999997</v>
      </c>
    </row>
    <row r="539" spans="1:7" x14ac:dyDescent="0.25">
      <c r="A539">
        <v>46</v>
      </c>
      <c r="B539" t="s">
        <v>7</v>
      </c>
      <c r="C539">
        <v>30.2</v>
      </c>
      <c r="D539">
        <v>2</v>
      </c>
      <c r="E539" t="s">
        <v>11</v>
      </c>
      <c r="F539" t="s">
        <v>9</v>
      </c>
      <c r="G539">
        <v>8825.0859999999993</v>
      </c>
    </row>
    <row r="540" spans="1:7" x14ac:dyDescent="0.25">
      <c r="A540">
        <v>46</v>
      </c>
      <c r="B540" t="s">
        <v>7</v>
      </c>
      <c r="C540">
        <v>28.05</v>
      </c>
      <c r="D540">
        <v>1</v>
      </c>
      <c r="E540" t="s">
        <v>11</v>
      </c>
      <c r="F540" t="s">
        <v>12</v>
      </c>
      <c r="G540">
        <v>8233.0974999999999</v>
      </c>
    </row>
    <row r="541" spans="1:7" x14ac:dyDescent="0.25">
      <c r="A541">
        <v>53</v>
      </c>
      <c r="B541" t="s">
        <v>10</v>
      </c>
      <c r="C541">
        <v>31.35</v>
      </c>
      <c r="D541">
        <v>0</v>
      </c>
      <c r="E541" t="s">
        <v>11</v>
      </c>
      <c r="F541" t="s">
        <v>12</v>
      </c>
      <c r="G541">
        <v>27346.04207</v>
      </c>
    </row>
    <row r="542" spans="1:7" x14ac:dyDescent="0.25">
      <c r="A542">
        <v>34</v>
      </c>
      <c r="B542" t="s">
        <v>7</v>
      </c>
      <c r="C542">
        <v>38</v>
      </c>
      <c r="D542">
        <v>3</v>
      </c>
      <c r="E542" t="s">
        <v>11</v>
      </c>
      <c r="F542" t="s">
        <v>9</v>
      </c>
      <c r="G542">
        <v>6196.4480000000003</v>
      </c>
    </row>
    <row r="543" spans="1:7" x14ac:dyDescent="0.25">
      <c r="A543">
        <v>20</v>
      </c>
      <c r="B543" t="s">
        <v>7</v>
      </c>
      <c r="C543">
        <v>31.79</v>
      </c>
      <c r="D543">
        <v>2</v>
      </c>
      <c r="E543" t="s">
        <v>11</v>
      </c>
      <c r="F543" t="s">
        <v>12</v>
      </c>
      <c r="G543">
        <v>3056.3881000000001</v>
      </c>
    </row>
    <row r="544" spans="1:7" x14ac:dyDescent="0.25">
      <c r="A544">
        <v>63</v>
      </c>
      <c r="B544" t="s">
        <v>7</v>
      </c>
      <c r="C544">
        <v>36.299999999999997</v>
      </c>
      <c r="D544">
        <v>0</v>
      </c>
      <c r="E544" t="s">
        <v>11</v>
      </c>
      <c r="F544" t="s">
        <v>12</v>
      </c>
      <c r="G544">
        <v>13887.204</v>
      </c>
    </row>
    <row r="545" spans="1:7" x14ac:dyDescent="0.25">
      <c r="A545">
        <v>54</v>
      </c>
      <c r="B545" t="s">
        <v>7</v>
      </c>
      <c r="C545">
        <v>47.41</v>
      </c>
      <c r="D545">
        <v>0</v>
      </c>
      <c r="E545" t="s">
        <v>8</v>
      </c>
      <c r="F545" t="s">
        <v>12</v>
      </c>
      <c r="G545">
        <v>63770.428010000003</v>
      </c>
    </row>
    <row r="546" spans="1:7" x14ac:dyDescent="0.25">
      <c r="A546">
        <v>54</v>
      </c>
      <c r="B546" t="s">
        <v>10</v>
      </c>
      <c r="C546">
        <v>30.21</v>
      </c>
      <c r="D546">
        <v>0</v>
      </c>
      <c r="E546" t="s">
        <v>11</v>
      </c>
      <c r="F546" t="s">
        <v>13</v>
      </c>
      <c r="G546">
        <v>10231.499900000001</v>
      </c>
    </row>
    <row r="547" spans="1:7" x14ac:dyDescent="0.25">
      <c r="A547">
        <v>49</v>
      </c>
      <c r="B547" t="s">
        <v>10</v>
      </c>
      <c r="C547">
        <v>25.84</v>
      </c>
      <c r="D547">
        <v>2</v>
      </c>
      <c r="E547" t="s">
        <v>8</v>
      </c>
      <c r="F547" t="s">
        <v>13</v>
      </c>
      <c r="G547">
        <v>23807.240600000001</v>
      </c>
    </row>
    <row r="548" spans="1:7" x14ac:dyDescent="0.25">
      <c r="A548">
        <v>28</v>
      </c>
      <c r="B548" t="s">
        <v>10</v>
      </c>
      <c r="C548">
        <v>35.435000000000002</v>
      </c>
      <c r="D548">
        <v>0</v>
      </c>
      <c r="E548" t="s">
        <v>11</v>
      </c>
      <c r="F548" t="s">
        <v>14</v>
      </c>
      <c r="G548">
        <v>3268.84665</v>
      </c>
    </row>
    <row r="549" spans="1:7" x14ac:dyDescent="0.25">
      <c r="A549">
        <v>54</v>
      </c>
      <c r="B549" t="s">
        <v>7</v>
      </c>
      <c r="C549">
        <v>46.7</v>
      </c>
      <c r="D549">
        <v>2</v>
      </c>
      <c r="E549" t="s">
        <v>11</v>
      </c>
      <c r="F549" t="s">
        <v>9</v>
      </c>
      <c r="G549">
        <v>11538.421</v>
      </c>
    </row>
    <row r="550" spans="1:7" x14ac:dyDescent="0.25">
      <c r="A550">
        <v>25</v>
      </c>
      <c r="B550" t="s">
        <v>7</v>
      </c>
      <c r="C550">
        <v>28.594999999999999</v>
      </c>
      <c r="D550">
        <v>0</v>
      </c>
      <c r="E550" t="s">
        <v>11</v>
      </c>
      <c r="F550" t="s">
        <v>14</v>
      </c>
      <c r="G550">
        <v>3213.6220499999999</v>
      </c>
    </row>
    <row r="551" spans="1:7" x14ac:dyDescent="0.25">
      <c r="A551">
        <v>43</v>
      </c>
      <c r="B551" t="s">
        <v>7</v>
      </c>
      <c r="C551">
        <v>46.2</v>
      </c>
      <c r="D551">
        <v>0</v>
      </c>
      <c r="E551" t="s">
        <v>8</v>
      </c>
      <c r="F551" t="s">
        <v>12</v>
      </c>
      <c r="G551">
        <v>45863.205000000002</v>
      </c>
    </row>
    <row r="552" spans="1:7" x14ac:dyDescent="0.25">
      <c r="A552">
        <v>63</v>
      </c>
      <c r="B552" t="s">
        <v>10</v>
      </c>
      <c r="C552">
        <v>30.8</v>
      </c>
      <c r="D552">
        <v>0</v>
      </c>
      <c r="E552" t="s">
        <v>11</v>
      </c>
      <c r="F552" t="s">
        <v>9</v>
      </c>
      <c r="G552">
        <v>13390.558999999999</v>
      </c>
    </row>
    <row r="553" spans="1:7" x14ac:dyDescent="0.25">
      <c r="A553">
        <v>32</v>
      </c>
      <c r="B553" t="s">
        <v>7</v>
      </c>
      <c r="C553">
        <v>28.93</v>
      </c>
      <c r="D553">
        <v>0</v>
      </c>
      <c r="E553" t="s">
        <v>11</v>
      </c>
      <c r="F553" t="s">
        <v>12</v>
      </c>
      <c r="G553">
        <v>3972.9247</v>
      </c>
    </row>
    <row r="554" spans="1:7" x14ac:dyDescent="0.25">
      <c r="A554">
        <v>62</v>
      </c>
      <c r="B554" t="s">
        <v>10</v>
      </c>
      <c r="C554">
        <v>21.4</v>
      </c>
      <c r="D554">
        <v>0</v>
      </c>
      <c r="E554" t="s">
        <v>11</v>
      </c>
      <c r="F554" t="s">
        <v>9</v>
      </c>
      <c r="G554">
        <v>12957.118</v>
      </c>
    </row>
    <row r="555" spans="1:7" x14ac:dyDescent="0.25">
      <c r="A555">
        <v>52</v>
      </c>
      <c r="B555" t="s">
        <v>7</v>
      </c>
      <c r="C555">
        <v>31.73</v>
      </c>
      <c r="D555">
        <v>2</v>
      </c>
      <c r="E555" t="s">
        <v>11</v>
      </c>
      <c r="F555" t="s">
        <v>13</v>
      </c>
      <c r="G555">
        <v>11187.6567</v>
      </c>
    </row>
    <row r="556" spans="1:7" x14ac:dyDescent="0.25">
      <c r="A556">
        <v>25</v>
      </c>
      <c r="B556" t="s">
        <v>7</v>
      </c>
      <c r="C556">
        <v>41.325000000000003</v>
      </c>
      <c r="D556">
        <v>0</v>
      </c>
      <c r="E556" t="s">
        <v>11</v>
      </c>
      <c r="F556" t="s">
        <v>14</v>
      </c>
      <c r="G556">
        <v>17878.900679999999</v>
      </c>
    </row>
    <row r="557" spans="1:7" x14ac:dyDescent="0.25">
      <c r="A557">
        <v>28</v>
      </c>
      <c r="B557" t="s">
        <v>10</v>
      </c>
      <c r="C557">
        <v>23.8</v>
      </c>
      <c r="D557">
        <v>2</v>
      </c>
      <c r="E557" t="s">
        <v>11</v>
      </c>
      <c r="F557" t="s">
        <v>9</v>
      </c>
      <c r="G557">
        <v>3847.674</v>
      </c>
    </row>
    <row r="558" spans="1:7" x14ac:dyDescent="0.25">
      <c r="A558">
        <v>46</v>
      </c>
      <c r="B558" t="s">
        <v>10</v>
      </c>
      <c r="C558">
        <v>33.44</v>
      </c>
      <c r="D558">
        <v>1</v>
      </c>
      <c r="E558" t="s">
        <v>11</v>
      </c>
      <c r="F558" t="s">
        <v>14</v>
      </c>
      <c r="G558">
        <v>8334.5895999999993</v>
      </c>
    </row>
    <row r="559" spans="1:7" x14ac:dyDescent="0.25">
      <c r="A559">
        <v>34</v>
      </c>
      <c r="B559" t="s">
        <v>10</v>
      </c>
      <c r="C559">
        <v>34.21</v>
      </c>
      <c r="D559">
        <v>0</v>
      </c>
      <c r="E559" t="s">
        <v>11</v>
      </c>
      <c r="F559" t="s">
        <v>12</v>
      </c>
      <c r="G559">
        <v>3935.1799000000001</v>
      </c>
    </row>
    <row r="560" spans="1:7" x14ac:dyDescent="0.25">
      <c r="A560">
        <v>35</v>
      </c>
      <c r="B560" t="s">
        <v>7</v>
      </c>
      <c r="C560">
        <v>34.104999999999997</v>
      </c>
      <c r="D560">
        <v>3</v>
      </c>
      <c r="E560" t="s">
        <v>8</v>
      </c>
      <c r="F560" t="s">
        <v>13</v>
      </c>
      <c r="G560">
        <v>39983.425949999997</v>
      </c>
    </row>
    <row r="561" spans="1:7" x14ac:dyDescent="0.25">
      <c r="A561">
        <v>19</v>
      </c>
      <c r="B561" t="s">
        <v>10</v>
      </c>
      <c r="C561">
        <v>35.53</v>
      </c>
      <c r="D561">
        <v>0</v>
      </c>
      <c r="E561" t="s">
        <v>11</v>
      </c>
      <c r="F561" t="s">
        <v>13</v>
      </c>
      <c r="G561">
        <v>1646.4296999999999</v>
      </c>
    </row>
    <row r="562" spans="1:7" x14ac:dyDescent="0.25">
      <c r="A562">
        <v>46</v>
      </c>
      <c r="B562" t="s">
        <v>7</v>
      </c>
      <c r="C562">
        <v>19.95</v>
      </c>
      <c r="D562">
        <v>2</v>
      </c>
      <c r="E562" t="s">
        <v>11</v>
      </c>
      <c r="F562" t="s">
        <v>13</v>
      </c>
      <c r="G562">
        <v>9193.8384999999998</v>
      </c>
    </row>
    <row r="563" spans="1:7" x14ac:dyDescent="0.25">
      <c r="A563">
        <v>54</v>
      </c>
      <c r="B563" t="s">
        <v>7</v>
      </c>
      <c r="C563">
        <v>32.68</v>
      </c>
      <c r="D563">
        <v>0</v>
      </c>
      <c r="E563" t="s">
        <v>11</v>
      </c>
      <c r="F563" t="s">
        <v>14</v>
      </c>
      <c r="G563">
        <v>10923.933199999999</v>
      </c>
    </row>
    <row r="564" spans="1:7" x14ac:dyDescent="0.25">
      <c r="A564">
        <v>27</v>
      </c>
      <c r="B564" t="s">
        <v>10</v>
      </c>
      <c r="C564">
        <v>30.5</v>
      </c>
      <c r="D564">
        <v>0</v>
      </c>
      <c r="E564" t="s">
        <v>11</v>
      </c>
      <c r="F564" t="s">
        <v>9</v>
      </c>
      <c r="G564">
        <v>2494.0219999999999</v>
      </c>
    </row>
    <row r="565" spans="1:7" x14ac:dyDescent="0.25">
      <c r="A565">
        <v>50</v>
      </c>
      <c r="B565" t="s">
        <v>10</v>
      </c>
      <c r="C565">
        <v>44.77</v>
      </c>
      <c r="D565">
        <v>1</v>
      </c>
      <c r="E565" t="s">
        <v>11</v>
      </c>
      <c r="F565" t="s">
        <v>12</v>
      </c>
      <c r="G565">
        <v>9058.7302999999993</v>
      </c>
    </row>
    <row r="566" spans="1:7" x14ac:dyDescent="0.25">
      <c r="A566">
        <v>18</v>
      </c>
      <c r="B566" t="s">
        <v>7</v>
      </c>
      <c r="C566">
        <v>32.119999999999997</v>
      </c>
      <c r="D566">
        <v>2</v>
      </c>
      <c r="E566" t="s">
        <v>11</v>
      </c>
      <c r="F566" t="s">
        <v>12</v>
      </c>
      <c r="G566">
        <v>2801.2588000000001</v>
      </c>
    </row>
    <row r="567" spans="1:7" x14ac:dyDescent="0.25">
      <c r="A567">
        <v>19</v>
      </c>
      <c r="B567" t="s">
        <v>7</v>
      </c>
      <c r="C567">
        <v>30.495000000000001</v>
      </c>
      <c r="D567">
        <v>0</v>
      </c>
      <c r="E567" t="s">
        <v>11</v>
      </c>
      <c r="F567" t="s">
        <v>13</v>
      </c>
      <c r="G567">
        <v>2128.4310500000001</v>
      </c>
    </row>
    <row r="568" spans="1:7" x14ac:dyDescent="0.25">
      <c r="A568">
        <v>38</v>
      </c>
      <c r="B568" t="s">
        <v>7</v>
      </c>
      <c r="C568">
        <v>40.564999999999998</v>
      </c>
      <c r="D568">
        <v>1</v>
      </c>
      <c r="E568" t="s">
        <v>11</v>
      </c>
      <c r="F568" t="s">
        <v>13</v>
      </c>
      <c r="G568">
        <v>6373.55735</v>
      </c>
    </row>
    <row r="569" spans="1:7" x14ac:dyDescent="0.25">
      <c r="A569">
        <v>41</v>
      </c>
      <c r="B569" t="s">
        <v>10</v>
      </c>
      <c r="C569">
        <v>30.59</v>
      </c>
      <c r="D569">
        <v>2</v>
      </c>
      <c r="E569" t="s">
        <v>11</v>
      </c>
      <c r="F569" t="s">
        <v>13</v>
      </c>
      <c r="G569">
        <v>7256.7231000000002</v>
      </c>
    </row>
    <row r="570" spans="1:7" x14ac:dyDescent="0.25">
      <c r="A570">
        <v>49</v>
      </c>
      <c r="B570" t="s">
        <v>7</v>
      </c>
      <c r="C570">
        <v>31.9</v>
      </c>
      <c r="D570">
        <v>5</v>
      </c>
      <c r="E570" t="s">
        <v>11</v>
      </c>
      <c r="F570" t="s">
        <v>9</v>
      </c>
      <c r="G570">
        <v>11552.904</v>
      </c>
    </row>
    <row r="571" spans="1:7" x14ac:dyDescent="0.25">
      <c r="A571">
        <v>48</v>
      </c>
      <c r="B571" t="s">
        <v>10</v>
      </c>
      <c r="C571">
        <v>40.564999999999998</v>
      </c>
      <c r="D571">
        <v>2</v>
      </c>
      <c r="E571" t="s">
        <v>8</v>
      </c>
      <c r="F571" t="s">
        <v>13</v>
      </c>
      <c r="G571">
        <v>45702.022349999999</v>
      </c>
    </row>
    <row r="572" spans="1:7" x14ac:dyDescent="0.25">
      <c r="A572">
        <v>31</v>
      </c>
      <c r="B572" t="s">
        <v>7</v>
      </c>
      <c r="C572">
        <v>29.1</v>
      </c>
      <c r="D572">
        <v>0</v>
      </c>
      <c r="E572" t="s">
        <v>11</v>
      </c>
      <c r="F572" t="s">
        <v>9</v>
      </c>
      <c r="G572">
        <v>3761.2919999999999</v>
      </c>
    </row>
    <row r="573" spans="1:7" x14ac:dyDescent="0.25">
      <c r="A573">
        <v>18</v>
      </c>
      <c r="B573" t="s">
        <v>7</v>
      </c>
      <c r="C573">
        <v>37.29</v>
      </c>
      <c r="D573">
        <v>1</v>
      </c>
      <c r="E573" t="s">
        <v>11</v>
      </c>
      <c r="F573" t="s">
        <v>12</v>
      </c>
      <c r="G573">
        <v>2219.4450999999999</v>
      </c>
    </row>
    <row r="574" spans="1:7" x14ac:dyDescent="0.25">
      <c r="A574">
        <v>30</v>
      </c>
      <c r="B574" t="s">
        <v>7</v>
      </c>
      <c r="C574">
        <v>43.12</v>
      </c>
      <c r="D574">
        <v>2</v>
      </c>
      <c r="E574" t="s">
        <v>11</v>
      </c>
      <c r="F574" t="s">
        <v>12</v>
      </c>
      <c r="G574">
        <v>4753.6368000000002</v>
      </c>
    </row>
    <row r="575" spans="1:7" x14ac:dyDescent="0.25">
      <c r="A575">
        <v>62</v>
      </c>
      <c r="B575" t="s">
        <v>7</v>
      </c>
      <c r="C575">
        <v>36.86</v>
      </c>
      <c r="D575">
        <v>1</v>
      </c>
      <c r="E575" t="s">
        <v>11</v>
      </c>
      <c r="F575" t="s">
        <v>14</v>
      </c>
      <c r="G575">
        <v>31620.001059999999</v>
      </c>
    </row>
    <row r="576" spans="1:7" x14ac:dyDescent="0.25">
      <c r="A576">
        <v>57</v>
      </c>
      <c r="B576" t="s">
        <v>7</v>
      </c>
      <c r="C576">
        <v>34.295000000000002</v>
      </c>
      <c r="D576">
        <v>2</v>
      </c>
      <c r="E576" t="s">
        <v>11</v>
      </c>
      <c r="F576" t="s">
        <v>14</v>
      </c>
      <c r="G576">
        <v>13224.057049999999</v>
      </c>
    </row>
    <row r="577" spans="1:7" x14ac:dyDescent="0.25">
      <c r="A577">
        <v>58</v>
      </c>
      <c r="B577" t="s">
        <v>7</v>
      </c>
      <c r="C577">
        <v>27.17</v>
      </c>
      <c r="D577">
        <v>0</v>
      </c>
      <c r="E577" t="s">
        <v>11</v>
      </c>
      <c r="F577" t="s">
        <v>13</v>
      </c>
      <c r="G577">
        <v>12222.898300000001</v>
      </c>
    </row>
    <row r="578" spans="1:7" x14ac:dyDescent="0.25">
      <c r="A578">
        <v>22</v>
      </c>
      <c r="B578" t="s">
        <v>10</v>
      </c>
      <c r="C578">
        <v>26.84</v>
      </c>
      <c r="D578">
        <v>0</v>
      </c>
      <c r="E578" t="s">
        <v>11</v>
      </c>
      <c r="F578" t="s">
        <v>12</v>
      </c>
      <c r="G578">
        <v>1664.9996000000001</v>
      </c>
    </row>
    <row r="579" spans="1:7" x14ac:dyDescent="0.25">
      <c r="A579">
        <v>31</v>
      </c>
      <c r="B579" t="s">
        <v>7</v>
      </c>
      <c r="C579">
        <v>38.094999999999999</v>
      </c>
      <c r="D579">
        <v>1</v>
      </c>
      <c r="E579" t="s">
        <v>8</v>
      </c>
      <c r="F579" t="s">
        <v>14</v>
      </c>
      <c r="G579">
        <v>58571.074480000003</v>
      </c>
    </row>
    <row r="580" spans="1:7" x14ac:dyDescent="0.25">
      <c r="A580">
        <v>52</v>
      </c>
      <c r="B580" t="s">
        <v>10</v>
      </c>
      <c r="C580">
        <v>30.2</v>
      </c>
      <c r="D580">
        <v>1</v>
      </c>
      <c r="E580" t="s">
        <v>11</v>
      </c>
      <c r="F580" t="s">
        <v>9</v>
      </c>
      <c r="G580">
        <v>9724.5300000000007</v>
      </c>
    </row>
    <row r="581" spans="1:7" x14ac:dyDescent="0.25">
      <c r="A581">
        <v>25</v>
      </c>
      <c r="B581" t="s">
        <v>7</v>
      </c>
      <c r="C581">
        <v>23.465</v>
      </c>
      <c r="D581">
        <v>0</v>
      </c>
      <c r="E581" t="s">
        <v>11</v>
      </c>
      <c r="F581" t="s">
        <v>14</v>
      </c>
      <c r="G581">
        <v>3206.4913499999998</v>
      </c>
    </row>
    <row r="582" spans="1:7" x14ac:dyDescent="0.25">
      <c r="A582">
        <v>59</v>
      </c>
      <c r="B582" t="s">
        <v>10</v>
      </c>
      <c r="C582">
        <v>25.46</v>
      </c>
      <c r="D582">
        <v>1</v>
      </c>
      <c r="E582" t="s">
        <v>11</v>
      </c>
      <c r="F582" t="s">
        <v>14</v>
      </c>
      <c r="G582">
        <v>12913.992399999999</v>
      </c>
    </row>
    <row r="583" spans="1:7" x14ac:dyDescent="0.25">
      <c r="A583">
        <v>19</v>
      </c>
      <c r="B583" t="s">
        <v>10</v>
      </c>
      <c r="C583">
        <v>30.59</v>
      </c>
      <c r="D583">
        <v>0</v>
      </c>
      <c r="E583" t="s">
        <v>11</v>
      </c>
      <c r="F583" t="s">
        <v>13</v>
      </c>
      <c r="G583">
        <v>1639.5631000000001</v>
      </c>
    </row>
    <row r="584" spans="1:7" x14ac:dyDescent="0.25">
      <c r="A584">
        <v>39</v>
      </c>
      <c r="B584" t="s">
        <v>10</v>
      </c>
      <c r="C584">
        <v>45.43</v>
      </c>
      <c r="D584">
        <v>2</v>
      </c>
      <c r="E584" t="s">
        <v>11</v>
      </c>
      <c r="F584" t="s">
        <v>12</v>
      </c>
      <c r="G584">
        <v>6356.2707</v>
      </c>
    </row>
    <row r="585" spans="1:7" x14ac:dyDescent="0.25">
      <c r="A585">
        <v>32</v>
      </c>
      <c r="B585" t="s">
        <v>7</v>
      </c>
      <c r="C585">
        <v>23.65</v>
      </c>
      <c r="D585">
        <v>1</v>
      </c>
      <c r="E585" t="s">
        <v>11</v>
      </c>
      <c r="F585" t="s">
        <v>12</v>
      </c>
      <c r="G585">
        <v>17626.239509999999</v>
      </c>
    </row>
    <row r="586" spans="1:7" x14ac:dyDescent="0.25">
      <c r="A586">
        <v>19</v>
      </c>
      <c r="B586" t="s">
        <v>10</v>
      </c>
      <c r="C586">
        <v>20.7</v>
      </c>
      <c r="D586">
        <v>0</v>
      </c>
      <c r="E586" t="s">
        <v>11</v>
      </c>
      <c r="F586" t="s">
        <v>9</v>
      </c>
      <c r="G586">
        <v>1242.816</v>
      </c>
    </row>
    <row r="587" spans="1:7" x14ac:dyDescent="0.25">
      <c r="A587">
        <v>33</v>
      </c>
      <c r="B587" t="s">
        <v>7</v>
      </c>
      <c r="C587">
        <v>28.27</v>
      </c>
      <c r="D587">
        <v>1</v>
      </c>
      <c r="E587" t="s">
        <v>11</v>
      </c>
      <c r="F587" t="s">
        <v>12</v>
      </c>
      <c r="G587">
        <v>4779.6022999999996</v>
      </c>
    </row>
    <row r="588" spans="1:7" x14ac:dyDescent="0.25">
      <c r="A588">
        <v>21</v>
      </c>
      <c r="B588" t="s">
        <v>10</v>
      </c>
      <c r="C588">
        <v>20.234999999999999</v>
      </c>
      <c r="D588">
        <v>3</v>
      </c>
      <c r="E588" t="s">
        <v>11</v>
      </c>
      <c r="F588" t="s">
        <v>14</v>
      </c>
      <c r="G588">
        <v>3861.2096499999998</v>
      </c>
    </row>
    <row r="589" spans="1:7" x14ac:dyDescent="0.25">
      <c r="A589">
        <v>34</v>
      </c>
      <c r="B589" t="s">
        <v>7</v>
      </c>
      <c r="C589">
        <v>30.21</v>
      </c>
      <c r="D589">
        <v>1</v>
      </c>
      <c r="E589" t="s">
        <v>8</v>
      </c>
      <c r="F589" t="s">
        <v>13</v>
      </c>
      <c r="G589">
        <v>43943.876100000001</v>
      </c>
    </row>
    <row r="590" spans="1:7" x14ac:dyDescent="0.25">
      <c r="A590">
        <v>61</v>
      </c>
      <c r="B590" t="s">
        <v>7</v>
      </c>
      <c r="C590">
        <v>35.909999999999997</v>
      </c>
      <c r="D590">
        <v>0</v>
      </c>
      <c r="E590" t="s">
        <v>11</v>
      </c>
      <c r="F590" t="s">
        <v>14</v>
      </c>
      <c r="G590">
        <v>13635.6379</v>
      </c>
    </row>
    <row r="591" spans="1:7" x14ac:dyDescent="0.25">
      <c r="A591">
        <v>38</v>
      </c>
      <c r="B591" t="s">
        <v>7</v>
      </c>
      <c r="C591">
        <v>30.69</v>
      </c>
      <c r="D591">
        <v>1</v>
      </c>
      <c r="E591" t="s">
        <v>11</v>
      </c>
      <c r="F591" t="s">
        <v>12</v>
      </c>
      <c r="G591">
        <v>5976.8311000000003</v>
      </c>
    </row>
    <row r="592" spans="1:7" x14ac:dyDescent="0.25">
      <c r="A592">
        <v>58</v>
      </c>
      <c r="B592" t="s">
        <v>7</v>
      </c>
      <c r="C592">
        <v>29</v>
      </c>
      <c r="D592">
        <v>0</v>
      </c>
      <c r="E592" t="s">
        <v>11</v>
      </c>
      <c r="F592" t="s">
        <v>9</v>
      </c>
      <c r="G592">
        <v>11842.441999999999</v>
      </c>
    </row>
    <row r="593" spans="1:7" x14ac:dyDescent="0.25">
      <c r="A593">
        <v>47</v>
      </c>
      <c r="B593" t="s">
        <v>10</v>
      </c>
      <c r="C593">
        <v>19.57</v>
      </c>
      <c r="D593">
        <v>1</v>
      </c>
      <c r="E593" t="s">
        <v>11</v>
      </c>
      <c r="F593" t="s">
        <v>13</v>
      </c>
      <c r="G593">
        <v>8428.0692999999992</v>
      </c>
    </row>
    <row r="594" spans="1:7" x14ac:dyDescent="0.25">
      <c r="A594">
        <v>20</v>
      </c>
      <c r="B594" t="s">
        <v>10</v>
      </c>
      <c r="C594">
        <v>31.13</v>
      </c>
      <c r="D594">
        <v>2</v>
      </c>
      <c r="E594" t="s">
        <v>11</v>
      </c>
      <c r="F594" t="s">
        <v>12</v>
      </c>
      <c r="G594">
        <v>2566.4706999999999</v>
      </c>
    </row>
    <row r="595" spans="1:7" x14ac:dyDescent="0.25">
      <c r="A595">
        <v>21</v>
      </c>
      <c r="B595" t="s">
        <v>7</v>
      </c>
      <c r="C595">
        <v>21.85</v>
      </c>
      <c r="D595">
        <v>1</v>
      </c>
      <c r="E595" t="s">
        <v>8</v>
      </c>
      <c r="F595" t="s">
        <v>14</v>
      </c>
      <c r="G595">
        <v>15359.104499999999</v>
      </c>
    </row>
    <row r="596" spans="1:7" x14ac:dyDescent="0.25">
      <c r="A596">
        <v>41</v>
      </c>
      <c r="B596" t="s">
        <v>10</v>
      </c>
      <c r="C596">
        <v>40.26</v>
      </c>
      <c r="D596">
        <v>0</v>
      </c>
      <c r="E596" t="s">
        <v>11</v>
      </c>
      <c r="F596" t="s">
        <v>12</v>
      </c>
      <c r="G596">
        <v>5709.1643999999997</v>
      </c>
    </row>
    <row r="597" spans="1:7" x14ac:dyDescent="0.25">
      <c r="A597">
        <v>46</v>
      </c>
      <c r="B597" t="s">
        <v>7</v>
      </c>
      <c r="C597">
        <v>33.725000000000001</v>
      </c>
      <c r="D597">
        <v>1</v>
      </c>
      <c r="E597" t="s">
        <v>11</v>
      </c>
      <c r="F597" t="s">
        <v>14</v>
      </c>
      <c r="G597">
        <v>8823.9857499999998</v>
      </c>
    </row>
    <row r="598" spans="1:7" x14ac:dyDescent="0.25">
      <c r="A598">
        <v>42</v>
      </c>
      <c r="B598" t="s">
        <v>7</v>
      </c>
      <c r="C598">
        <v>29.48</v>
      </c>
      <c r="D598">
        <v>2</v>
      </c>
      <c r="E598" t="s">
        <v>11</v>
      </c>
      <c r="F598" t="s">
        <v>12</v>
      </c>
      <c r="G598">
        <v>7640.3091999999997</v>
      </c>
    </row>
    <row r="599" spans="1:7" x14ac:dyDescent="0.25">
      <c r="A599">
        <v>34</v>
      </c>
      <c r="B599" t="s">
        <v>7</v>
      </c>
      <c r="C599">
        <v>33.25</v>
      </c>
      <c r="D599">
        <v>1</v>
      </c>
      <c r="E599" t="s">
        <v>11</v>
      </c>
      <c r="F599" t="s">
        <v>14</v>
      </c>
      <c r="G599">
        <v>5594.8455000000004</v>
      </c>
    </row>
    <row r="600" spans="1:7" x14ac:dyDescent="0.25">
      <c r="A600">
        <v>43</v>
      </c>
      <c r="B600" t="s">
        <v>10</v>
      </c>
      <c r="C600">
        <v>32.6</v>
      </c>
      <c r="D600">
        <v>2</v>
      </c>
      <c r="E600" t="s">
        <v>11</v>
      </c>
      <c r="F600" t="s">
        <v>9</v>
      </c>
      <c r="G600">
        <v>7441.5010000000002</v>
      </c>
    </row>
    <row r="601" spans="1:7" x14ac:dyDescent="0.25">
      <c r="A601">
        <v>52</v>
      </c>
      <c r="B601" t="s">
        <v>7</v>
      </c>
      <c r="C601">
        <v>37.524999999999999</v>
      </c>
      <c r="D601">
        <v>2</v>
      </c>
      <c r="E601" t="s">
        <v>11</v>
      </c>
      <c r="F601" t="s">
        <v>13</v>
      </c>
      <c r="G601">
        <v>33471.971890000001</v>
      </c>
    </row>
    <row r="602" spans="1:7" x14ac:dyDescent="0.25">
      <c r="A602">
        <v>18</v>
      </c>
      <c r="B602" t="s">
        <v>7</v>
      </c>
      <c r="C602">
        <v>39.159999999999997</v>
      </c>
      <c r="D602">
        <v>0</v>
      </c>
      <c r="E602" t="s">
        <v>11</v>
      </c>
      <c r="F602" t="s">
        <v>12</v>
      </c>
      <c r="G602">
        <v>1633.0444</v>
      </c>
    </row>
    <row r="603" spans="1:7" x14ac:dyDescent="0.25">
      <c r="A603">
        <v>51</v>
      </c>
      <c r="B603" t="s">
        <v>10</v>
      </c>
      <c r="C603">
        <v>31.635000000000002</v>
      </c>
      <c r="D603">
        <v>0</v>
      </c>
      <c r="E603" t="s">
        <v>11</v>
      </c>
      <c r="F603" t="s">
        <v>13</v>
      </c>
      <c r="G603">
        <v>9174.1356500000002</v>
      </c>
    </row>
    <row r="604" spans="1:7" x14ac:dyDescent="0.25">
      <c r="A604">
        <v>56</v>
      </c>
      <c r="B604" t="s">
        <v>7</v>
      </c>
      <c r="C604">
        <v>25.3</v>
      </c>
      <c r="D604">
        <v>0</v>
      </c>
      <c r="E604" t="s">
        <v>11</v>
      </c>
      <c r="F604" t="s">
        <v>9</v>
      </c>
      <c r="G604">
        <v>11070.535</v>
      </c>
    </row>
    <row r="605" spans="1:7" x14ac:dyDescent="0.25">
      <c r="A605">
        <v>64</v>
      </c>
      <c r="B605" t="s">
        <v>7</v>
      </c>
      <c r="C605">
        <v>39.049999999999997</v>
      </c>
      <c r="D605">
        <v>3</v>
      </c>
      <c r="E605" t="s">
        <v>11</v>
      </c>
      <c r="F605" t="s">
        <v>12</v>
      </c>
      <c r="G605">
        <v>16085.127500000001</v>
      </c>
    </row>
    <row r="606" spans="1:7" x14ac:dyDescent="0.25">
      <c r="A606">
        <v>19</v>
      </c>
      <c r="B606" t="s">
        <v>7</v>
      </c>
      <c r="C606">
        <v>28.31</v>
      </c>
      <c r="D606">
        <v>0</v>
      </c>
      <c r="E606" t="s">
        <v>8</v>
      </c>
      <c r="F606" t="s">
        <v>13</v>
      </c>
      <c r="G606">
        <v>17468.983899999999</v>
      </c>
    </row>
    <row r="607" spans="1:7" x14ac:dyDescent="0.25">
      <c r="A607">
        <v>51</v>
      </c>
      <c r="B607" t="s">
        <v>7</v>
      </c>
      <c r="C607">
        <v>34.1</v>
      </c>
      <c r="D607">
        <v>0</v>
      </c>
      <c r="E607" t="s">
        <v>11</v>
      </c>
      <c r="F607" t="s">
        <v>12</v>
      </c>
      <c r="G607">
        <v>9283.5619999999999</v>
      </c>
    </row>
    <row r="608" spans="1:7" x14ac:dyDescent="0.25">
      <c r="A608">
        <v>27</v>
      </c>
      <c r="B608" t="s">
        <v>7</v>
      </c>
      <c r="C608">
        <v>25.175000000000001</v>
      </c>
      <c r="D608">
        <v>0</v>
      </c>
      <c r="E608" t="s">
        <v>11</v>
      </c>
      <c r="F608" t="s">
        <v>14</v>
      </c>
      <c r="G608">
        <v>3558.6202499999999</v>
      </c>
    </row>
    <row r="609" spans="1:7" x14ac:dyDescent="0.25">
      <c r="A609">
        <v>59</v>
      </c>
      <c r="B609" t="s">
        <v>7</v>
      </c>
      <c r="C609">
        <v>23.655000000000001</v>
      </c>
      <c r="D609">
        <v>0</v>
      </c>
      <c r="E609" t="s">
        <v>8</v>
      </c>
      <c r="F609" t="s">
        <v>13</v>
      </c>
      <c r="G609">
        <v>25678.778450000002</v>
      </c>
    </row>
    <row r="610" spans="1:7" x14ac:dyDescent="0.25">
      <c r="A610">
        <v>28</v>
      </c>
      <c r="B610" t="s">
        <v>10</v>
      </c>
      <c r="C610">
        <v>26.98</v>
      </c>
      <c r="D610">
        <v>2</v>
      </c>
      <c r="E610" t="s">
        <v>11</v>
      </c>
      <c r="F610" t="s">
        <v>14</v>
      </c>
      <c r="G610">
        <v>4435.0941999999995</v>
      </c>
    </row>
    <row r="611" spans="1:7" x14ac:dyDescent="0.25">
      <c r="A611">
        <v>30</v>
      </c>
      <c r="B611" t="s">
        <v>10</v>
      </c>
      <c r="C611">
        <v>37.799999999999997</v>
      </c>
      <c r="D611">
        <v>2</v>
      </c>
      <c r="E611" t="s">
        <v>8</v>
      </c>
      <c r="F611" t="s">
        <v>9</v>
      </c>
      <c r="G611">
        <v>39241.442000000003</v>
      </c>
    </row>
    <row r="612" spans="1:7" x14ac:dyDescent="0.25">
      <c r="A612">
        <v>47</v>
      </c>
      <c r="B612" t="s">
        <v>7</v>
      </c>
      <c r="C612">
        <v>29.37</v>
      </c>
      <c r="D612">
        <v>1</v>
      </c>
      <c r="E612" t="s">
        <v>11</v>
      </c>
      <c r="F612" t="s">
        <v>12</v>
      </c>
      <c r="G612">
        <v>8547.6913000000004</v>
      </c>
    </row>
    <row r="613" spans="1:7" x14ac:dyDescent="0.25">
      <c r="A613">
        <v>38</v>
      </c>
      <c r="B613" t="s">
        <v>7</v>
      </c>
      <c r="C613">
        <v>34.799999999999997</v>
      </c>
      <c r="D613">
        <v>2</v>
      </c>
      <c r="E613" t="s">
        <v>11</v>
      </c>
      <c r="F613" t="s">
        <v>9</v>
      </c>
      <c r="G613">
        <v>6571.5439999999999</v>
      </c>
    </row>
    <row r="614" spans="1:7" x14ac:dyDescent="0.25">
      <c r="A614">
        <v>18</v>
      </c>
      <c r="B614" t="s">
        <v>7</v>
      </c>
      <c r="C614">
        <v>33.155000000000001</v>
      </c>
      <c r="D614">
        <v>0</v>
      </c>
      <c r="E614" t="s">
        <v>11</v>
      </c>
      <c r="F614" t="s">
        <v>14</v>
      </c>
      <c r="G614">
        <v>2207.6974500000001</v>
      </c>
    </row>
    <row r="615" spans="1:7" x14ac:dyDescent="0.25">
      <c r="A615">
        <v>34</v>
      </c>
      <c r="B615" t="s">
        <v>7</v>
      </c>
      <c r="C615">
        <v>19</v>
      </c>
      <c r="D615">
        <v>3</v>
      </c>
      <c r="E615" t="s">
        <v>11</v>
      </c>
      <c r="F615" t="s">
        <v>14</v>
      </c>
      <c r="G615">
        <v>6753.0379999999996</v>
      </c>
    </row>
    <row r="616" spans="1:7" x14ac:dyDescent="0.25">
      <c r="A616">
        <v>20</v>
      </c>
      <c r="B616" t="s">
        <v>7</v>
      </c>
      <c r="C616">
        <v>33</v>
      </c>
      <c r="D616">
        <v>0</v>
      </c>
      <c r="E616" t="s">
        <v>11</v>
      </c>
      <c r="F616" t="s">
        <v>12</v>
      </c>
      <c r="G616">
        <v>1880.07</v>
      </c>
    </row>
    <row r="617" spans="1:7" x14ac:dyDescent="0.25">
      <c r="A617">
        <v>47</v>
      </c>
      <c r="B617" t="s">
        <v>7</v>
      </c>
      <c r="C617">
        <v>36.630000000000003</v>
      </c>
      <c r="D617">
        <v>1</v>
      </c>
      <c r="E617" t="s">
        <v>8</v>
      </c>
      <c r="F617" t="s">
        <v>12</v>
      </c>
      <c r="G617">
        <v>42969.852700000003</v>
      </c>
    </row>
    <row r="618" spans="1:7" x14ac:dyDescent="0.25">
      <c r="A618">
        <v>56</v>
      </c>
      <c r="B618" t="s">
        <v>7</v>
      </c>
      <c r="C618">
        <v>28.594999999999999</v>
      </c>
      <c r="D618">
        <v>0</v>
      </c>
      <c r="E618" t="s">
        <v>11</v>
      </c>
      <c r="F618" t="s">
        <v>14</v>
      </c>
      <c r="G618">
        <v>11658.11505</v>
      </c>
    </row>
    <row r="619" spans="1:7" x14ac:dyDescent="0.25">
      <c r="A619">
        <v>49</v>
      </c>
      <c r="B619" t="s">
        <v>10</v>
      </c>
      <c r="C619">
        <v>25.6</v>
      </c>
      <c r="D619">
        <v>2</v>
      </c>
      <c r="E619" t="s">
        <v>8</v>
      </c>
      <c r="F619" t="s">
        <v>9</v>
      </c>
      <c r="G619">
        <v>23306.546999999999</v>
      </c>
    </row>
    <row r="620" spans="1:7" x14ac:dyDescent="0.25">
      <c r="A620">
        <v>19</v>
      </c>
      <c r="B620" t="s">
        <v>7</v>
      </c>
      <c r="C620">
        <v>33.11</v>
      </c>
      <c r="D620">
        <v>0</v>
      </c>
      <c r="E620" t="s">
        <v>8</v>
      </c>
      <c r="F620" t="s">
        <v>12</v>
      </c>
      <c r="G620">
        <v>34439.855900000002</v>
      </c>
    </row>
    <row r="621" spans="1:7" x14ac:dyDescent="0.25">
      <c r="A621">
        <v>55</v>
      </c>
      <c r="B621" t="s">
        <v>7</v>
      </c>
      <c r="C621">
        <v>37.1</v>
      </c>
      <c r="D621">
        <v>0</v>
      </c>
      <c r="E621" t="s">
        <v>11</v>
      </c>
      <c r="F621" t="s">
        <v>9</v>
      </c>
      <c r="G621">
        <v>10713.644</v>
      </c>
    </row>
    <row r="622" spans="1:7" x14ac:dyDescent="0.25">
      <c r="A622">
        <v>30</v>
      </c>
      <c r="B622" t="s">
        <v>10</v>
      </c>
      <c r="C622">
        <v>31.4</v>
      </c>
      <c r="D622">
        <v>1</v>
      </c>
      <c r="E622" t="s">
        <v>11</v>
      </c>
      <c r="F622" t="s">
        <v>9</v>
      </c>
      <c r="G622">
        <v>3659.346</v>
      </c>
    </row>
    <row r="623" spans="1:7" x14ac:dyDescent="0.25">
      <c r="A623">
        <v>37</v>
      </c>
      <c r="B623" t="s">
        <v>10</v>
      </c>
      <c r="C623">
        <v>34.1</v>
      </c>
      <c r="D623">
        <v>4</v>
      </c>
      <c r="E623" t="s">
        <v>8</v>
      </c>
      <c r="F623" t="s">
        <v>9</v>
      </c>
      <c r="G623">
        <v>40182.245999999999</v>
      </c>
    </row>
    <row r="624" spans="1:7" x14ac:dyDescent="0.25">
      <c r="A624">
        <v>49</v>
      </c>
      <c r="B624" t="s">
        <v>7</v>
      </c>
      <c r="C624">
        <v>21.3</v>
      </c>
      <c r="D624">
        <v>1</v>
      </c>
      <c r="E624" t="s">
        <v>11</v>
      </c>
      <c r="F624" t="s">
        <v>9</v>
      </c>
      <c r="G624">
        <v>9182.17</v>
      </c>
    </row>
    <row r="625" spans="1:7" x14ac:dyDescent="0.25">
      <c r="A625">
        <v>18</v>
      </c>
      <c r="B625" t="s">
        <v>10</v>
      </c>
      <c r="C625">
        <v>33.534999999999997</v>
      </c>
      <c r="D625">
        <v>0</v>
      </c>
      <c r="E625" t="s">
        <v>8</v>
      </c>
      <c r="F625" t="s">
        <v>14</v>
      </c>
      <c r="G625">
        <v>34617.840649999998</v>
      </c>
    </row>
    <row r="626" spans="1:7" x14ac:dyDescent="0.25">
      <c r="A626">
        <v>59</v>
      </c>
      <c r="B626" t="s">
        <v>10</v>
      </c>
      <c r="C626">
        <v>28.785</v>
      </c>
      <c r="D626">
        <v>0</v>
      </c>
      <c r="E626" t="s">
        <v>11</v>
      </c>
      <c r="F626" t="s">
        <v>13</v>
      </c>
      <c r="G626">
        <v>12129.614149999999</v>
      </c>
    </row>
    <row r="627" spans="1:7" x14ac:dyDescent="0.25">
      <c r="A627">
        <v>29</v>
      </c>
      <c r="B627" t="s">
        <v>7</v>
      </c>
      <c r="C627">
        <v>26.03</v>
      </c>
      <c r="D627">
        <v>0</v>
      </c>
      <c r="E627" t="s">
        <v>11</v>
      </c>
      <c r="F627" t="s">
        <v>13</v>
      </c>
      <c r="G627">
        <v>3736.4647</v>
      </c>
    </row>
    <row r="628" spans="1:7" x14ac:dyDescent="0.25">
      <c r="A628">
        <v>36</v>
      </c>
      <c r="B628" t="s">
        <v>10</v>
      </c>
      <c r="C628">
        <v>28.88</v>
      </c>
      <c r="D628">
        <v>3</v>
      </c>
      <c r="E628" t="s">
        <v>11</v>
      </c>
      <c r="F628" t="s">
        <v>14</v>
      </c>
      <c r="G628">
        <v>6748.5911999999998</v>
      </c>
    </row>
    <row r="629" spans="1:7" x14ac:dyDescent="0.25">
      <c r="A629">
        <v>33</v>
      </c>
      <c r="B629" t="s">
        <v>10</v>
      </c>
      <c r="C629">
        <v>42.46</v>
      </c>
      <c r="D629">
        <v>1</v>
      </c>
      <c r="E629" t="s">
        <v>11</v>
      </c>
      <c r="F629" t="s">
        <v>12</v>
      </c>
      <c r="G629">
        <v>11326.71487</v>
      </c>
    </row>
    <row r="630" spans="1:7" x14ac:dyDescent="0.25">
      <c r="A630">
        <v>58</v>
      </c>
      <c r="B630" t="s">
        <v>10</v>
      </c>
      <c r="C630">
        <v>38</v>
      </c>
      <c r="D630">
        <v>0</v>
      </c>
      <c r="E630" t="s">
        <v>11</v>
      </c>
      <c r="F630" t="s">
        <v>9</v>
      </c>
      <c r="G630">
        <v>11365.951999999999</v>
      </c>
    </row>
    <row r="631" spans="1:7" x14ac:dyDescent="0.25">
      <c r="A631">
        <v>44</v>
      </c>
      <c r="B631" t="s">
        <v>7</v>
      </c>
      <c r="C631">
        <v>38.950000000000003</v>
      </c>
      <c r="D631">
        <v>0</v>
      </c>
      <c r="E631" t="s">
        <v>8</v>
      </c>
      <c r="F631" t="s">
        <v>13</v>
      </c>
      <c r="G631">
        <v>42983.458500000001</v>
      </c>
    </row>
    <row r="632" spans="1:7" x14ac:dyDescent="0.25">
      <c r="A632">
        <v>53</v>
      </c>
      <c r="B632" t="s">
        <v>10</v>
      </c>
      <c r="C632">
        <v>36.1</v>
      </c>
      <c r="D632">
        <v>1</v>
      </c>
      <c r="E632" t="s">
        <v>11</v>
      </c>
      <c r="F632" t="s">
        <v>9</v>
      </c>
      <c r="G632">
        <v>10085.846</v>
      </c>
    </row>
    <row r="633" spans="1:7" x14ac:dyDescent="0.25">
      <c r="A633">
        <v>24</v>
      </c>
      <c r="B633" t="s">
        <v>10</v>
      </c>
      <c r="C633">
        <v>29.3</v>
      </c>
      <c r="D633">
        <v>0</v>
      </c>
      <c r="E633" t="s">
        <v>11</v>
      </c>
      <c r="F633" t="s">
        <v>9</v>
      </c>
      <c r="G633">
        <v>1977.8150000000001</v>
      </c>
    </row>
    <row r="634" spans="1:7" x14ac:dyDescent="0.25">
      <c r="A634">
        <v>29</v>
      </c>
      <c r="B634" t="s">
        <v>7</v>
      </c>
      <c r="C634">
        <v>35.53</v>
      </c>
      <c r="D634">
        <v>0</v>
      </c>
      <c r="E634" t="s">
        <v>11</v>
      </c>
      <c r="F634" t="s">
        <v>12</v>
      </c>
      <c r="G634">
        <v>3366.6696999999999</v>
      </c>
    </row>
    <row r="635" spans="1:7" x14ac:dyDescent="0.25">
      <c r="A635">
        <v>40</v>
      </c>
      <c r="B635" t="s">
        <v>10</v>
      </c>
      <c r="C635">
        <v>22.704999999999998</v>
      </c>
      <c r="D635">
        <v>2</v>
      </c>
      <c r="E635" t="s">
        <v>11</v>
      </c>
      <c r="F635" t="s">
        <v>14</v>
      </c>
      <c r="G635">
        <v>7173.35995</v>
      </c>
    </row>
    <row r="636" spans="1:7" x14ac:dyDescent="0.25">
      <c r="A636">
        <v>51</v>
      </c>
      <c r="B636" t="s">
        <v>10</v>
      </c>
      <c r="C636">
        <v>39.700000000000003</v>
      </c>
      <c r="D636">
        <v>1</v>
      </c>
      <c r="E636" t="s">
        <v>11</v>
      </c>
      <c r="F636" t="s">
        <v>9</v>
      </c>
      <c r="G636">
        <v>9391.3459999999995</v>
      </c>
    </row>
    <row r="637" spans="1:7" x14ac:dyDescent="0.25">
      <c r="A637">
        <v>64</v>
      </c>
      <c r="B637" t="s">
        <v>10</v>
      </c>
      <c r="C637">
        <v>38.19</v>
      </c>
      <c r="D637">
        <v>0</v>
      </c>
      <c r="E637" t="s">
        <v>11</v>
      </c>
      <c r="F637" t="s">
        <v>14</v>
      </c>
      <c r="G637">
        <v>14410.9321</v>
      </c>
    </row>
    <row r="638" spans="1:7" x14ac:dyDescent="0.25">
      <c r="A638">
        <v>19</v>
      </c>
      <c r="B638" t="s">
        <v>7</v>
      </c>
      <c r="C638">
        <v>24.51</v>
      </c>
      <c r="D638">
        <v>1</v>
      </c>
      <c r="E638" t="s">
        <v>11</v>
      </c>
      <c r="F638" t="s">
        <v>13</v>
      </c>
      <c r="G638">
        <v>2709.1118999999999</v>
      </c>
    </row>
    <row r="639" spans="1:7" x14ac:dyDescent="0.25">
      <c r="A639">
        <v>35</v>
      </c>
      <c r="B639" t="s">
        <v>7</v>
      </c>
      <c r="C639">
        <v>38.094999999999999</v>
      </c>
      <c r="D639">
        <v>2</v>
      </c>
      <c r="E639" t="s">
        <v>11</v>
      </c>
      <c r="F639" t="s">
        <v>14</v>
      </c>
      <c r="G639">
        <v>24915.046259999999</v>
      </c>
    </row>
    <row r="640" spans="1:7" x14ac:dyDescent="0.25">
      <c r="A640">
        <v>39</v>
      </c>
      <c r="B640" t="s">
        <v>10</v>
      </c>
      <c r="C640">
        <v>26.41</v>
      </c>
      <c r="D640">
        <v>0</v>
      </c>
      <c r="E640" t="s">
        <v>8</v>
      </c>
      <c r="F640" t="s">
        <v>14</v>
      </c>
      <c r="G640">
        <v>20149.322899999999</v>
      </c>
    </row>
    <row r="641" spans="1:7" x14ac:dyDescent="0.25">
      <c r="A641">
        <v>56</v>
      </c>
      <c r="B641" t="s">
        <v>10</v>
      </c>
      <c r="C641">
        <v>33.659999999999997</v>
      </c>
      <c r="D641">
        <v>4</v>
      </c>
      <c r="E641" t="s">
        <v>11</v>
      </c>
      <c r="F641" t="s">
        <v>12</v>
      </c>
      <c r="G641">
        <v>12949.1554</v>
      </c>
    </row>
    <row r="642" spans="1:7" x14ac:dyDescent="0.25">
      <c r="A642">
        <v>33</v>
      </c>
      <c r="B642" t="s">
        <v>10</v>
      </c>
      <c r="C642">
        <v>42.4</v>
      </c>
      <c r="D642">
        <v>5</v>
      </c>
      <c r="E642" t="s">
        <v>11</v>
      </c>
      <c r="F642" t="s">
        <v>9</v>
      </c>
      <c r="G642">
        <v>6666.2430000000004</v>
      </c>
    </row>
    <row r="643" spans="1:7" x14ac:dyDescent="0.25">
      <c r="A643">
        <v>42</v>
      </c>
      <c r="B643" t="s">
        <v>10</v>
      </c>
      <c r="C643">
        <v>28.31</v>
      </c>
      <c r="D643">
        <v>3</v>
      </c>
      <c r="E643" t="s">
        <v>8</v>
      </c>
      <c r="F643" t="s">
        <v>13</v>
      </c>
      <c r="G643">
        <v>32787.458590000002</v>
      </c>
    </row>
    <row r="644" spans="1:7" x14ac:dyDescent="0.25">
      <c r="A644">
        <v>61</v>
      </c>
      <c r="B644" t="s">
        <v>10</v>
      </c>
      <c r="C644">
        <v>33.914999999999999</v>
      </c>
      <c r="D644">
        <v>0</v>
      </c>
      <c r="E644" t="s">
        <v>11</v>
      </c>
      <c r="F644" t="s">
        <v>14</v>
      </c>
      <c r="G644">
        <v>13143.86485</v>
      </c>
    </row>
    <row r="645" spans="1:7" x14ac:dyDescent="0.25">
      <c r="A645">
        <v>23</v>
      </c>
      <c r="B645" t="s">
        <v>7</v>
      </c>
      <c r="C645">
        <v>34.96</v>
      </c>
      <c r="D645">
        <v>3</v>
      </c>
      <c r="E645" t="s">
        <v>11</v>
      </c>
      <c r="F645" t="s">
        <v>13</v>
      </c>
      <c r="G645">
        <v>4466.6214</v>
      </c>
    </row>
    <row r="646" spans="1:7" x14ac:dyDescent="0.25">
      <c r="A646">
        <v>43</v>
      </c>
      <c r="B646" t="s">
        <v>10</v>
      </c>
      <c r="C646">
        <v>35.31</v>
      </c>
      <c r="D646">
        <v>2</v>
      </c>
      <c r="E646" t="s">
        <v>11</v>
      </c>
      <c r="F646" t="s">
        <v>12</v>
      </c>
      <c r="G646">
        <v>18806.145469999999</v>
      </c>
    </row>
    <row r="647" spans="1:7" x14ac:dyDescent="0.25">
      <c r="A647">
        <v>48</v>
      </c>
      <c r="B647" t="s">
        <v>10</v>
      </c>
      <c r="C647">
        <v>30.78</v>
      </c>
      <c r="D647">
        <v>3</v>
      </c>
      <c r="E647" t="s">
        <v>11</v>
      </c>
      <c r="F647" t="s">
        <v>14</v>
      </c>
      <c r="G647">
        <v>10141.136200000001</v>
      </c>
    </row>
    <row r="648" spans="1:7" x14ac:dyDescent="0.25">
      <c r="A648">
        <v>39</v>
      </c>
      <c r="B648" t="s">
        <v>10</v>
      </c>
      <c r="C648">
        <v>26.22</v>
      </c>
      <c r="D648">
        <v>1</v>
      </c>
      <c r="E648" t="s">
        <v>11</v>
      </c>
      <c r="F648" t="s">
        <v>13</v>
      </c>
      <c r="G648">
        <v>6123.5688</v>
      </c>
    </row>
    <row r="649" spans="1:7" x14ac:dyDescent="0.25">
      <c r="A649">
        <v>40</v>
      </c>
      <c r="B649" t="s">
        <v>7</v>
      </c>
      <c r="C649">
        <v>23.37</v>
      </c>
      <c r="D649">
        <v>3</v>
      </c>
      <c r="E649" t="s">
        <v>11</v>
      </c>
      <c r="F649" t="s">
        <v>14</v>
      </c>
      <c r="G649">
        <v>8252.2842999999993</v>
      </c>
    </row>
    <row r="650" spans="1:7" x14ac:dyDescent="0.25">
      <c r="A650">
        <v>18</v>
      </c>
      <c r="B650" t="s">
        <v>10</v>
      </c>
      <c r="C650">
        <v>28.5</v>
      </c>
      <c r="D650">
        <v>0</v>
      </c>
      <c r="E650" t="s">
        <v>11</v>
      </c>
      <c r="F650" t="s">
        <v>14</v>
      </c>
      <c r="G650">
        <v>1712.2270000000001</v>
      </c>
    </row>
    <row r="651" spans="1:7" x14ac:dyDescent="0.25">
      <c r="A651">
        <v>58</v>
      </c>
      <c r="B651" t="s">
        <v>7</v>
      </c>
      <c r="C651">
        <v>32.965000000000003</v>
      </c>
      <c r="D651">
        <v>0</v>
      </c>
      <c r="E651" t="s">
        <v>11</v>
      </c>
      <c r="F651" t="s">
        <v>14</v>
      </c>
      <c r="G651">
        <v>12430.95335</v>
      </c>
    </row>
    <row r="652" spans="1:7" x14ac:dyDescent="0.25">
      <c r="A652">
        <v>49</v>
      </c>
      <c r="B652" t="s">
        <v>7</v>
      </c>
      <c r="C652">
        <v>42.68</v>
      </c>
      <c r="D652">
        <v>2</v>
      </c>
      <c r="E652" t="s">
        <v>11</v>
      </c>
      <c r="F652" t="s">
        <v>12</v>
      </c>
      <c r="G652">
        <v>9800.8881999999994</v>
      </c>
    </row>
    <row r="653" spans="1:7" x14ac:dyDescent="0.25">
      <c r="A653">
        <v>53</v>
      </c>
      <c r="B653" t="s">
        <v>7</v>
      </c>
      <c r="C653">
        <v>39.6</v>
      </c>
      <c r="D653">
        <v>1</v>
      </c>
      <c r="E653" t="s">
        <v>11</v>
      </c>
      <c r="F653" t="s">
        <v>12</v>
      </c>
      <c r="G653">
        <v>10579.710999999999</v>
      </c>
    </row>
    <row r="654" spans="1:7" x14ac:dyDescent="0.25">
      <c r="A654">
        <v>48</v>
      </c>
      <c r="B654" t="s">
        <v>7</v>
      </c>
      <c r="C654">
        <v>31.13</v>
      </c>
      <c r="D654">
        <v>0</v>
      </c>
      <c r="E654" t="s">
        <v>11</v>
      </c>
      <c r="F654" t="s">
        <v>12</v>
      </c>
      <c r="G654">
        <v>8280.6226999999999</v>
      </c>
    </row>
    <row r="655" spans="1:7" x14ac:dyDescent="0.25">
      <c r="A655">
        <v>45</v>
      </c>
      <c r="B655" t="s">
        <v>7</v>
      </c>
      <c r="C655">
        <v>36.299999999999997</v>
      </c>
      <c r="D655">
        <v>2</v>
      </c>
      <c r="E655" t="s">
        <v>11</v>
      </c>
      <c r="F655" t="s">
        <v>12</v>
      </c>
      <c r="G655">
        <v>8527.5319999999992</v>
      </c>
    </row>
    <row r="656" spans="1:7" x14ac:dyDescent="0.25">
      <c r="A656">
        <v>59</v>
      </c>
      <c r="B656" t="s">
        <v>7</v>
      </c>
      <c r="C656">
        <v>35.200000000000003</v>
      </c>
      <c r="D656">
        <v>0</v>
      </c>
      <c r="E656" t="s">
        <v>11</v>
      </c>
      <c r="F656" t="s">
        <v>12</v>
      </c>
      <c r="G656">
        <v>12244.531000000001</v>
      </c>
    </row>
    <row r="657" spans="1:7" x14ac:dyDescent="0.25">
      <c r="A657">
        <v>52</v>
      </c>
      <c r="B657" t="s">
        <v>7</v>
      </c>
      <c r="C657">
        <v>25.3</v>
      </c>
      <c r="D657">
        <v>2</v>
      </c>
      <c r="E657" t="s">
        <v>8</v>
      </c>
      <c r="F657" t="s">
        <v>12</v>
      </c>
      <c r="G657">
        <v>24667.419000000002</v>
      </c>
    </row>
    <row r="658" spans="1:7" x14ac:dyDescent="0.25">
      <c r="A658">
        <v>26</v>
      </c>
      <c r="B658" t="s">
        <v>7</v>
      </c>
      <c r="C658">
        <v>42.4</v>
      </c>
      <c r="D658">
        <v>1</v>
      </c>
      <c r="E658" t="s">
        <v>11</v>
      </c>
      <c r="F658" t="s">
        <v>9</v>
      </c>
      <c r="G658">
        <v>3410.3240000000001</v>
      </c>
    </row>
    <row r="659" spans="1:7" x14ac:dyDescent="0.25">
      <c r="A659">
        <v>27</v>
      </c>
      <c r="B659" t="s">
        <v>10</v>
      </c>
      <c r="C659">
        <v>33.155000000000001</v>
      </c>
      <c r="D659">
        <v>2</v>
      </c>
      <c r="E659" t="s">
        <v>11</v>
      </c>
      <c r="F659" t="s">
        <v>13</v>
      </c>
      <c r="G659">
        <v>4058.71245</v>
      </c>
    </row>
    <row r="660" spans="1:7" x14ac:dyDescent="0.25">
      <c r="A660">
        <v>48</v>
      </c>
      <c r="B660" t="s">
        <v>7</v>
      </c>
      <c r="C660">
        <v>35.909999999999997</v>
      </c>
      <c r="D660">
        <v>1</v>
      </c>
      <c r="E660" t="s">
        <v>11</v>
      </c>
      <c r="F660" t="s">
        <v>14</v>
      </c>
      <c r="G660">
        <v>26392.260289999998</v>
      </c>
    </row>
    <row r="661" spans="1:7" x14ac:dyDescent="0.25">
      <c r="A661">
        <v>57</v>
      </c>
      <c r="B661" t="s">
        <v>7</v>
      </c>
      <c r="C661">
        <v>28.785</v>
      </c>
      <c r="D661">
        <v>4</v>
      </c>
      <c r="E661" t="s">
        <v>11</v>
      </c>
      <c r="F661" t="s">
        <v>14</v>
      </c>
      <c r="G661">
        <v>14394.398150000001</v>
      </c>
    </row>
    <row r="662" spans="1:7" x14ac:dyDescent="0.25">
      <c r="A662">
        <v>37</v>
      </c>
      <c r="B662" t="s">
        <v>10</v>
      </c>
      <c r="C662">
        <v>46.53</v>
      </c>
      <c r="D662">
        <v>3</v>
      </c>
      <c r="E662" t="s">
        <v>11</v>
      </c>
      <c r="F662" t="s">
        <v>12</v>
      </c>
      <c r="G662">
        <v>6435.6237000000001</v>
      </c>
    </row>
    <row r="663" spans="1:7" x14ac:dyDescent="0.25">
      <c r="A663">
        <v>57</v>
      </c>
      <c r="B663" t="s">
        <v>7</v>
      </c>
      <c r="C663">
        <v>23.98</v>
      </c>
      <c r="D663">
        <v>1</v>
      </c>
      <c r="E663" t="s">
        <v>11</v>
      </c>
      <c r="F663" t="s">
        <v>12</v>
      </c>
      <c r="G663">
        <v>22192.437109999999</v>
      </c>
    </row>
    <row r="664" spans="1:7" x14ac:dyDescent="0.25">
      <c r="A664">
        <v>32</v>
      </c>
      <c r="B664" t="s">
        <v>7</v>
      </c>
      <c r="C664">
        <v>31.54</v>
      </c>
      <c r="D664">
        <v>1</v>
      </c>
      <c r="E664" t="s">
        <v>11</v>
      </c>
      <c r="F664" t="s">
        <v>14</v>
      </c>
      <c r="G664">
        <v>5148.5526</v>
      </c>
    </row>
    <row r="665" spans="1:7" x14ac:dyDescent="0.25">
      <c r="A665">
        <v>18</v>
      </c>
      <c r="B665" t="s">
        <v>10</v>
      </c>
      <c r="C665">
        <v>33.659999999999997</v>
      </c>
      <c r="D665">
        <v>0</v>
      </c>
      <c r="E665" t="s">
        <v>11</v>
      </c>
      <c r="F665" t="s">
        <v>12</v>
      </c>
      <c r="G665">
        <v>1136.3994</v>
      </c>
    </row>
    <row r="666" spans="1:7" x14ac:dyDescent="0.25">
      <c r="A666">
        <v>64</v>
      </c>
      <c r="B666" t="s">
        <v>7</v>
      </c>
      <c r="C666">
        <v>22.99</v>
      </c>
      <c r="D666">
        <v>0</v>
      </c>
      <c r="E666" t="s">
        <v>8</v>
      </c>
      <c r="F666" t="s">
        <v>12</v>
      </c>
      <c r="G666">
        <v>27037.914100000002</v>
      </c>
    </row>
    <row r="667" spans="1:7" x14ac:dyDescent="0.25">
      <c r="A667">
        <v>43</v>
      </c>
      <c r="B667" t="s">
        <v>10</v>
      </c>
      <c r="C667">
        <v>38.06</v>
      </c>
      <c r="D667">
        <v>2</v>
      </c>
      <c r="E667" t="s">
        <v>8</v>
      </c>
      <c r="F667" t="s">
        <v>12</v>
      </c>
      <c r="G667">
        <v>42560.430399999997</v>
      </c>
    </row>
    <row r="668" spans="1:7" x14ac:dyDescent="0.25">
      <c r="A668">
        <v>49</v>
      </c>
      <c r="B668" t="s">
        <v>10</v>
      </c>
      <c r="C668">
        <v>28.7</v>
      </c>
      <c r="D668">
        <v>1</v>
      </c>
      <c r="E668" t="s">
        <v>11</v>
      </c>
      <c r="F668" t="s">
        <v>9</v>
      </c>
      <c r="G668">
        <v>8703.4560000000001</v>
      </c>
    </row>
    <row r="669" spans="1:7" x14ac:dyDescent="0.25">
      <c r="A669">
        <v>40</v>
      </c>
      <c r="B669" t="s">
        <v>7</v>
      </c>
      <c r="C669">
        <v>32.774999999999999</v>
      </c>
      <c r="D669">
        <v>2</v>
      </c>
      <c r="E669" t="s">
        <v>8</v>
      </c>
      <c r="F669" t="s">
        <v>13</v>
      </c>
      <c r="G669">
        <v>40003.332249999999</v>
      </c>
    </row>
    <row r="670" spans="1:7" x14ac:dyDescent="0.25">
      <c r="A670">
        <v>62</v>
      </c>
      <c r="B670" t="s">
        <v>10</v>
      </c>
      <c r="C670">
        <v>32.015000000000001</v>
      </c>
      <c r="D670">
        <v>0</v>
      </c>
      <c r="E670" t="s">
        <v>8</v>
      </c>
      <c r="F670" t="s">
        <v>14</v>
      </c>
      <c r="G670">
        <v>45710.207849999999</v>
      </c>
    </row>
    <row r="671" spans="1:7" x14ac:dyDescent="0.25">
      <c r="A671">
        <v>40</v>
      </c>
      <c r="B671" t="s">
        <v>7</v>
      </c>
      <c r="C671">
        <v>29.81</v>
      </c>
      <c r="D671">
        <v>1</v>
      </c>
      <c r="E671" t="s">
        <v>11</v>
      </c>
      <c r="F671" t="s">
        <v>12</v>
      </c>
      <c r="G671">
        <v>6500.2358999999997</v>
      </c>
    </row>
    <row r="672" spans="1:7" x14ac:dyDescent="0.25">
      <c r="A672">
        <v>30</v>
      </c>
      <c r="B672" t="s">
        <v>10</v>
      </c>
      <c r="C672">
        <v>31.57</v>
      </c>
      <c r="D672">
        <v>3</v>
      </c>
      <c r="E672" t="s">
        <v>11</v>
      </c>
      <c r="F672" t="s">
        <v>12</v>
      </c>
      <c r="G672">
        <v>4837.5823</v>
      </c>
    </row>
    <row r="673" spans="1:7" x14ac:dyDescent="0.25">
      <c r="A673">
        <v>29</v>
      </c>
      <c r="B673" t="s">
        <v>7</v>
      </c>
      <c r="C673">
        <v>31.16</v>
      </c>
      <c r="D673">
        <v>0</v>
      </c>
      <c r="E673" t="s">
        <v>11</v>
      </c>
      <c r="F673" t="s">
        <v>14</v>
      </c>
      <c r="G673">
        <v>3943.5954000000002</v>
      </c>
    </row>
    <row r="674" spans="1:7" x14ac:dyDescent="0.25">
      <c r="A674">
        <v>36</v>
      </c>
      <c r="B674" t="s">
        <v>10</v>
      </c>
      <c r="C674">
        <v>29.7</v>
      </c>
      <c r="D674">
        <v>0</v>
      </c>
      <c r="E674" t="s">
        <v>11</v>
      </c>
      <c r="F674" t="s">
        <v>12</v>
      </c>
      <c r="G674">
        <v>4399.7309999999998</v>
      </c>
    </row>
    <row r="675" spans="1:7" x14ac:dyDescent="0.25">
      <c r="A675">
        <v>41</v>
      </c>
      <c r="B675" t="s">
        <v>7</v>
      </c>
      <c r="C675">
        <v>31.02</v>
      </c>
      <c r="D675">
        <v>0</v>
      </c>
      <c r="E675" t="s">
        <v>11</v>
      </c>
      <c r="F675" t="s">
        <v>12</v>
      </c>
      <c r="G675">
        <v>6185.3208000000004</v>
      </c>
    </row>
    <row r="676" spans="1:7" x14ac:dyDescent="0.25">
      <c r="A676">
        <v>44</v>
      </c>
      <c r="B676" t="s">
        <v>7</v>
      </c>
      <c r="C676">
        <v>43.89</v>
      </c>
      <c r="D676">
        <v>2</v>
      </c>
      <c r="E676" t="s">
        <v>8</v>
      </c>
      <c r="F676" t="s">
        <v>12</v>
      </c>
      <c r="G676">
        <v>46200.985099999998</v>
      </c>
    </row>
    <row r="677" spans="1:7" x14ac:dyDescent="0.25">
      <c r="A677">
        <v>45</v>
      </c>
      <c r="B677" t="s">
        <v>10</v>
      </c>
      <c r="C677">
        <v>21.375</v>
      </c>
      <c r="D677">
        <v>0</v>
      </c>
      <c r="E677" t="s">
        <v>11</v>
      </c>
      <c r="F677" t="s">
        <v>13</v>
      </c>
      <c r="G677">
        <v>7222.7862500000001</v>
      </c>
    </row>
    <row r="678" spans="1:7" x14ac:dyDescent="0.25">
      <c r="A678">
        <v>55</v>
      </c>
      <c r="B678" t="s">
        <v>7</v>
      </c>
      <c r="C678">
        <v>40.81</v>
      </c>
      <c r="D678">
        <v>3</v>
      </c>
      <c r="E678" t="s">
        <v>11</v>
      </c>
      <c r="F678" t="s">
        <v>12</v>
      </c>
      <c r="G678">
        <v>12485.8009</v>
      </c>
    </row>
    <row r="679" spans="1:7" x14ac:dyDescent="0.25">
      <c r="A679">
        <v>60</v>
      </c>
      <c r="B679" t="s">
        <v>10</v>
      </c>
      <c r="C679">
        <v>31.35</v>
      </c>
      <c r="D679">
        <v>3</v>
      </c>
      <c r="E679" t="s">
        <v>8</v>
      </c>
      <c r="F679" t="s">
        <v>13</v>
      </c>
      <c r="G679">
        <v>46130.5265</v>
      </c>
    </row>
    <row r="680" spans="1:7" x14ac:dyDescent="0.25">
      <c r="A680">
        <v>56</v>
      </c>
      <c r="B680" t="s">
        <v>10</v>
      </c>
      <c r="C680">
        <v>36.1</v>
      </c>
      <c r="D680">
        <v>3</v>
      </c>
      <c r="E680" t="s">
        <v>11</v>
      </c>
      <c r="F680" t="s">
        <v>9</v>
      </c>
      <c r="G680">
        <v>12363.547</v>
      </c>
    </row>
    <row r="681" spans="1:7" x14ac:dyDescent="0.25">
      <c r="A681">
        <v>49</v>
      </c>
      <c r="B681" t="s">
        <v>7</v>
      </c>
      <c r="C681">
        <v>23.18</v>
      </c>
      <c r="D681">
        <v>2</v>
      </c>
      <c r="E681" t="s">
        <v>11</v>
      </c>
      <c r="F681" t="s">
        <v>13</v>
      </c>
      <c r="G681">
        <v>10156.7832</v>
      </c>
    </row>
    <row r="682" spans="1:7" x14ac:dyDescent="0.25">
      <c r="A682">
        <v>21</v>
      </c>
      <c r="B682" t="s">
        <v>7</v>
      </c>
      <c r="C682">
        <v>17.399999999999999</v>
      </c>
      <c r="D682">
        <v>1</v>
      </c>
      <c r="E682" t="s">
        <v>11</v>
      </c>
      <c r="F682" t="s">
        <v>9</v>
      </c>
      <c r="G682">
        <v>2585.2689999999998</v>
      </c>
    </row>
    <row r="683" spans="1:7" x14ac:dyDescent="0.25">
      <c r="A683">
        <v>19</v>
      </c>
      <c r="B683" t="s">
        <v>10</v>
      </c>
      <c r="C683">
        <v>20.3</v>
      </c>
      <c r="D683">
        <v>0</v>
      </c>
      <c r="E683" t="s">
        <v>11</v>
      </c>
      <c r="F683" t="s">
        <v>9</v>
      </c>
      <c r="G683">
        <v>1242.26</v>
      </c>
    </row>
    <row r="684" spans="1:7" x14ac:dyDescent="0.25">
      <c r="A684">
        <v>39</v>
      </c>
      <c r="B684" t="s">
        <v>10</v>
      </c>
      <c r="C684">
        <v>35.299999999999997</v>
      </c>
      <c r="D684">
        <v>2</v>
      </c>
      <c r="E684" t="s">
        <v>8</v>
      </c>
      <c r="F684" t="s">
        <v>9</v>
      </c>
      <c r="G684">
        <v>40103.89</v>
      </c>
    </row>
    <row r="685" spans="1:7" x14ac:dyDescent="0.25">
      <c r="A685">
        <v>53</v>
      </c>
      <c r="B685" t="s">
        <v>10</v>
      </c>
      <c r="C685">
        <v>24.32</v>
      </c>
      <c r="D685">
        <v>0</v>
      </c>
      <c r="E685" t="s">
        <v>11</v>
      </c>
      <c r="F685" t="s">
        <v>13</v>
      </c>
      <c r="G685">
        <v>9863.4717999999993</v>
      </c>
    </row>
    <row r="686" spans="1:7" x14ac:dyDescent="0.25">
      <c r="A686">
        <v>33</v>
      </c>
      <c r="B686" t="s">
        <v>7</v>
      </c>
      <c r="C686">
        <v>18.5</v>
      </c>
      <c r="D686">
        <v>1</v>
      </c>
      <c r="E686" t="s">
        <v>11</v>
      </c>
      <c r="F686" t="s">
        <v>9</v>
      </c>
      <c r="G686">
        <v>4766.0219999999999</v>
      </c>
    </row>
    <row r="687" spans="1:7" x14ac:dyDescent="0.25">
      <c r="A687">
        <v>53</v>
      </c>
      <c r="B687" t="s">
        <v>10</v>
      </c>
      <c r="C687">
        <v>26.41</v>
      </c>
      <c r="D687">
        <v>2</v>
      </c>
      <c r="E687" t="s">
        <v>11</v>
      </c>
      <c r="F687" t="s">
        <v>14</v>
      </c>
      <c r="G687">
        <v>11244.376899999999</v>
      </c>
    </row>
    <row r="688" spans="1:7" x14ac:dyDescent="0.25">
      <c r="A688">
        <v>42</v>
      </c>
      <c r="B688" t="s">
        <v>10</v>
      </c>
      <c r="C688">
        <v>26.125</v>
      </c>
      <c r="D688">
        <v>2</v>
      </c>
      <c r="E688" t="s">
        <v>11</v>
      </c>
      <c r="F688" t="s">
        <v>14</v>
      </c>
      <c r="G688">
        <v>7729.6457499999997</v>
      </c>
    </row>
    <row r="689" spans="1:7" x14ac:dyDescent="0.25">
      <c r="A689">
        <v>40</v>
      </c>
      <c r="B689" t="s">
        <v>10</v>
      </c>
      <c r="C689">
        <v>41.69</v>
      </c>
      <c r="D689">
        <v>0</v>
      </c>
      <c r="E689" t="s">
        <v>11</v>
      </c>
      <c r="F689" t="s">
        <v>12</v>
      </c>
      <c r="G689">
        <v>5438.7491</v>
      </c>
    </row>
    <row r="690" spans="1:7" x14ac:dyDescent="0.25">
      <c r="A690">
        <v>47</v>
      </c>
      <c r="B690" t="s">
        <v>7</v>
      </c>
      <c r="C690">
        <v>24.1</v>
      </c>
      <c r="D690">
        <v>1</v>
      </c>
      <c r="E690" t="s">
        <v>11</v>
      </c>
      <c r="F690" t="s">
        <v>9</v>
      </c>
      <c r="G690">
        <v>26236.579969999999</v>
      </c>
    </row>
    <row r="691" spans="1:7" x14ac:dyDescent="0.25">
      <c r="A691">
        <v>27</v>
      </c>
      <c r="B691" t="s">
        <v>10</v>
      </c>
      <c r="C691">
        <v>31.13</v>
      </c>
      <c r="D691">
        <v>1</v>
      </c>
      <c r="E691" t="s">
        <v>8</v>
      </c>
      <c r="F691" t="s">
        <v>12</v>
      </c>
      <c r="G691">
        <v>34806.467700000001</v>
      </c>
    </row>
    <row r="692" spans="1:7" x14ac:dyDescent="0.25">
      <c r="A692">
        <v>21</v>
      </c>
      <c r="B692" t="s">
        <v>10</v>
      </c>
      <c r="C692">
        <v>27.36</v>
      </c>
      <c r="D692">
        <v>0</v>
      </c>
      <c r="E692" t="s">
        <v>11</v>
      </c>
      <c r="F692" t="s">
        <v>14</v>
      </c>
      <c r="G692">
        <v>2104.1134000000002</v>
      </c>
    </row>
    <row r="693" spans="1:7" x14ac:dyDescent="0.25">
      <c r="A693">
        <v>47</v>
      </c>
      <c r="B693" t="s">
        <v>10</v>
      </c>
      <c r="C693">
        <v>36.200000000000003</v>
      </c>
      <c r="D693">
        <v>1</v>
      </c>
      <c r="E693" t="s">
        <v>11</v>
      </c>
      <c r="F693" t="s">
        <v>9</v>
      </c>
      <c r="G693">
        <v>8068.1850000000004</v>
      </c>
    </row>
    <row r="694" spans="1:7" x14ac:dyDescent="0.25">
      <c r="A694">
        <v>20</v>
      </c>
      <c r="B694" t="s">
        <v>10</v>
      </c>
      <c r="C694">
        <v>32.395000000000003</v>
      </c>
      <c r="D694">
        <v>1</v>
      </c>
      <c r="E694" t="s">
        <v>11</v>
      </c>
      <c r="F694" t="s">
        <v>13</v>
      </c>
      <c r="G694">
        <v>2362.2290499999999</v>
      </c>
    </row>
    <row r="695" spans="1:7" x14ac:dyDescent="0.25">
      <c r="A695">
        <v>24</v>
      </c>
      <c r="B695" t="s">
        <v>10</v>
      </c>
      <c r="C695">
        <v>23.655000000000001</v>
      </c>
      <c r="D695">
        <v>0</v>
      </c>
      <c r="E695" t="s">
        <v>11</v>
      </c>
      <c r="F695" t="s">
        <v>13</v>
      </c>
      <c r="G695">
        <v>2352.9684499999998</v>
      </c>
    </row>
    <row r="696" spans="1:7" x14ac:dyDescent="0.25">
      <c r="A696">
        <v>27</v>
      </c>
      <c r="B696" t="s">
        <v>7</v>
      </c>
      <c r="C696">
        <v>34.799999999999997</v>
      </c>
      <c r="D696">
        <v>1</v>
      </c>
      <c r="E696" t="s">
        <v>11</v>
      </c>
      <c r="F696" t="s">
        <v>9</v>
      </c>
      <c r="G696">
        <v>3577.9989999999998</v>
      </c>
    </row>
    <row r="697" spans="1:7" x14ac:dyDescent="0.25">
      <c r="A697">
        <v>26</v>
      </c>
      <c r="B697" t="s">
        <v>7</v>
      </c>
      <c r="C697">
        <v>40.185000000000002</v>
      </c>
      <c r="D697">
        <v>0</v>
      </c>
      <c r="E697" t="s">
        <v>11</v>
      </c>
      <c r="F697" t="s">
        <v>13</v>
      </c>
      <c r="G697">
        <v>3201.2451500000002</v>
      </c>
    </row>
    <row r="698" spans="1:7" x14ac:dyDescent="0.25">
      <c r="A698">
        <v>53</v>
      </c>
      <c r="B698" t="s">
        <v>7</v>
      </c>
      <c r="C698">
        <v>32.299999999999997</v>
      </c>
      <c r="D698">
        <v>2</v>
      </c>
      <c r="E698" t="s">
        <v>11</v>
      </c>
      <c r="F698" t="s">
        <v>14</v>
      </c>
      <c r="G698">
        <v>29186.482360000002</v>
      </c>
    </row>
    <row r="699" spans="1:7" x14ac:dyDescent="0.25">
      <c r="A699">
        <v>41</v>
      </c>
      <c r="B699" t="s">
        <v>10</v>
      </c>
      <c r="C699">
        <v>35.75</v>
      </c>
      <c r="D699">
        <v>1</v>
      </c>
      <c r="E699" t="s">
        <v>8</v>
      </c>
      <c r="F699" t="s">
        <v>12</v>
      </c>
      <c r="G699">
        <v>40273.645499999999</v>
      </c>
    </row>
    <row r="700" spans="1:7" x14ac:dyDescent="0.25">
      <c r="A700">
        <v>56</v>
      </c>
      <c r="B700" t="s">
        <v>10</v>
      </c>
      <c r="C700">
        <v>33.725000000000001</v>
      </c>
      <c r="D700">
        <v>0</v>
      </c>
      <c r="E700" t="s">
        <v>11</v>
      </c>
      <c r="F700" t="s">
        <v>13</v>
      </c>
      <c r="G700">
        <v>10976.24575</v>
      </c>
    </row>
    <row r="701" spans="1:7" x14ac:dyDescent="0.25">
      <c r="A701">
        <v>23</v>
      </c>
      <c r="B701" t="s">
        <v>7</v>
      </c>
      <c r="C701">
        <v>39.270000000000003</v>
      </c>
      <c r="D701">
        <v>2</v>
      </c>
      <c r="E701" t="s">
        <v>11</v>
      </c>
      <c r="F701" t="s">
        <v>12</v>
      </c>
      <c r="G701">
        <v>3500.6122999999998</v>
      </c>
    </row>
    <row r="702" spans="1:7" x14ac:dyDescent="0.25">
      <c r="A702">
        <v>21</v>
      </c>
      <c r="B702" t="s">
        <v>7</v>
      </c>
      <c r="C702">
        <v>34.869999999999997</v>
      </c>
      <c r="D702">
        <v>0</v>
      </c>
      <c r="E702" t="s">
        <v>11</v>
      </c>
      <c r="F702" t="s">
        <v>12</v>
      </c>
      <c r="G702">
        <v>2020.5523000000001</v>
      </c>
    </row>
    <row r="703" spans="1:7" x14ac:dyDescent="0.25">
      <c r="A703">
        <v>50</v>
      </c>
      <c r="B703" t="s">
        <v>7</v>
      </c>
      <c r="C703">
        <v>44.744999999999997</v>
      </c>
      <c r="D703">
        <v>0</v>
      </c>
      <c r="E703" t="s">
        <v>11</v>
      </c>
      <c r="F703" t="s">
        <v>14</v>
      </c>
      <c r="G703">
        <v>9541.6955500000004</v>
      </c>
    </row>
    <row r="704" spans="1:7" x14ac:dyDescent="0.25">
      <c r="A704">
        <v>53</v>
      </c>
      <c r="B704" t="s">
        <v>10</v>
      </c>
      <c r="C704">
        <v>41.47</v>
      </c>
      <c r="D704">
        <v>0</v>
      </c>
      <c r="E704" t="s">
        <v>11</v>
      </c>
      <c r="F704" t="s">
        <v>12</v>
      </c>
      <c r="G704">
        <v>9504.3102999999992</v>
      </c>
    </row>
    <row r="705" spans="1:7" x14ac:dyDescent="0.25">
      <c r="A705">
        <v>34</v>
      </c>
      <c r="B705" t="s">
        <v>7</v>
      </c>
      <c r="C705">
        <v>26.41</v>
      </c>
      <c r="D705">
        <v>1</v>
      </c>
      <c r="E705" t="s">
        <v>11</v>
      </c>
      <c r="F705" t="s">
        <v>13</v>
      </c>
      <c r="G705">
        <v>5385.3379000000004</v>
      </c>
    </row>
    <row r="706" spans="1:7" x14ac:dyDescent="0.25">
      <c r="A706">
        <v>47</v>
      </c>
      <c r="B706" t="s">
        <v>7</v>
      </c>
      <c r="C706">
        <v>29.545000000000002</v>
      </c>
      <c r="D706">
        <v>1</v>
      </c>
      <c r="E706" t="s">
        <v>11</v>
      </c>
      <c r="F706" t="s">
        <v>13</v>
      </c>
      <c r="G706">
        <v>8930.9345499999999</v>
      </c>
    </row>
    <row r="707" spans="1:7" x14ac:dyDescent="0.25">
      <c r="A707">
        <v>33</v>
      </c>
      <c r="B707" t="s">
        <v>7</v>
      </c>
      <c r="C707">
        <v>32.9</v>
      </c>
      <c r="D707">
        <v>2</v>
      </c>
      <c r="E707" t="s">
        <v>11</v>
      </c>
      <c r="F707" t="s">
        <v>9</v>
      </c>
      <c r="G707">
        <v>5375.0379999999996</v>
      </c>
    </row>
    <row r="708" spans="1:7" x14ac:dyDescent="0.25">
      <c r="A708">
        <v>51</v>
      </c>
      <c r="B708" t="s">
        <v>7</v>
      </c>
      <c r="C708">
        <v>38.06</v>
      </c>
      <c r="D708">
        <v>0</v>
      </c>
      <c r="E708" t="s">
        <v>8</v>
      </c>
      <c r="F708" t="s">
        <v>12</v>
      </c>
      <c r="G708">
        <v>44400.4064</v>
      </c>
    </row>
    <row r="709" spans="1:7" x14ac:dyDescent="0.25">
      <c r="A709">
        <v>49</v>
      </c>
      <c r="B709" t="s">
        <v>10</v>
      </c>
      <c r="C709">
        <v>28.69</v>
      </c>
      <c r="D709">
        <v>3</v>
      </c>
      <c r="E709" t="s">
        <v>11</v>
      </c>
      <c r="F709" t="s">
        <v>13</v>
      </c>
      <c r="G709">
        <v>10264.4421</v>
      </c>
    </row>
    <row r="710" spans="1:7" x14ac:dyDescent="0.25">
      <c r="A710">
        <v>31</v>
      </c>
      <c r="B710" t="s">
        <v>7</v>
      </c>
      <c r="C710">
        <v>30.495000000000001</v>
      </c>
      <c r="D710">
        <v>3</v>
      </c>
      <c r="E710" t="s">
        <v>11</v>
      </c>
      <c r="F710" t="s">
        <v>14</v>
      </c>
      <c r="G710">
        <v>6113.2310500000003</v>
      </c>
    </row>
    <row r="711" spans="1:7" x14ac:dyDescent="0.25">
      <c r="A711">
        <v>36</v>
      </c>
      <c r="B711" t="s">
        <v>7</v>
      </c>
      <c r="C711">
        <v>27.74</v>
      </c>
      <c r="D711">
        <v>0</v>
      </c>
      <c r="E711" t="s">
        <v>11</v>
      </c>
      <c r="F711" t="s">
        <v>14</v>
      </c>
      <c r="G711">
        <v>5469.0065999999997</v>
      </c>
    </row>
    <row r="712" spans="1:7" x14ac:dyDescent="0.25">
      <c r="A712">
        <v>18</v>
      </c>
      <c r="B712" t="s">
        <v>10</v>
      </c>
      <c r="C712">
        <v>35.200000000000003</v>
      </c>
      <c r="D712">
        <v>1</v>
      </c>
      <c r="E712" t="s">
        <v>11</v>
      </c>
      <c r="F712" t="s">
        <v>12</v>
      </c>
      <c r="G712">
        <v>1727.54</v>
      </c>
    </row>
    <row r="713" spans="1:7" x14ac:dyDescent="0.25">
      <c r="A713">
        <v>50</v>
      </c>
      <c r="B713" t="s">
        <v>7</v>
      </c>
      <c r="C713">
        <v>23.54</v>
      </c>
      <c r="D713">
        <v>2</v>
      </c>
      <c r="E713" t="s">
        <v>11</v>
      </c>
      <c r="F713" t="s">
        <v>12</v>
      </c>
      <c r="G713">
        <v>10107.220600000001</v>
      </c>
    </row>
    <row r="714" spans="1:7" x14ac:dyDescent="0.25">
      <c r="A714">
        <v>43</v>
      </c>
      <c r="B714" t="s">
        <v>7</v>
      </c>
      <c r="C714">
        <v>30.684999999999999</v>
      </c>
      <c r="D714">
        <v>2</v>
      </c>
      <c r="E714" t="s">
        <v>11</v>
      </c>
      <c r="F714" t="s">
        <v>13</v>
      </c>
      <c r="G714">
        <v>8310.8391499999998</v>
      </c>
    </row>
    <row r="715" spans="1:7" x14ac:dyDescent="0.25">
      <c r="A715">
        <v>20</v>
      </c>
      <c r="B715" t="s">
        <v>10</v>
      </c>
      <c r="C715">
        <v>40.47</v>
      </c>
      <c r="D715">
        <v>0</v>
      </c>
      <c r="E715" t="s">
        <v>11</v>
      </c>
      <c r="F715" t="s">
        <v>14</v>
      </c>
      <c r="G715">
        <v>1984.4532999999999</v>
      </c>
    </row>
    <row r="716" spans="1:7" x14ac:dyDescent="0.25">
      <c r="A716">
        <v>24</v>
      </c>
      <c r="B716" t="s">
        <v>7</v>
      </c>
      <c r="C716">
        <v>22.6</v>
      </c>
      <c r="D716">
        <v>0</v>
      </c>
      <c r="E716" t="s">
        <v>11</v>
      </c>
      <c r="F716" t="s">
        <v>9</v>
      </c>
      <c r="G716">
        <v>2457.502</v>
      </c>
    </row>
    <row r="717" spans="1:7" x14ac:dyDescent="0.25">
      <c r="A717">
        <v>60</v>
      </c>
      <c r="B717" t="s">
        <v>10</v>
      </c>
      <c r="C717">
        <v>28.9</v>
      </c>
      <c r="D717">
        <v>0</v>
      </c>
      <c r="E717" t="s">
        <v>11</v>
      </c>
      <c r="F717" t="s">
        <v>9</v>
      </c>
      <c r="G717">
        <v>12146.971</v>
      </c>
    </row>
    <row r="718" spans="1:7" x14ac:dyDescent="0.25">
      <c r="A718">
        <v>49</v>
      </c>
      <c r="B718" t="s">
        <v>7</v>
      </c>
      <c r="C718">
        <v>22.61</v>
      </c>
      <c r="D718">
        <v>1</v>
      </c>
      <c r="E718" t="s">
        <v>11</v>
      </c>
      <c r="F718" t="s">
        <v>13</v>
      </c>
      <c r="G718">
        <v>9566.9909000000007</v>
      </c>
    </row>
    <row r="719" spans="1:7" x14ac:dyDescent="0.25">
      <c r="A719">
        <v>60</v>
      </c>
      <c r="B719" t="s">
        <v>10</v>
      </c>
      <c r="C719">
        <v>24.32</v>
      </c>
      <c r="D719">
        <v>1</v>
      </c>
      <c r="E719" t="s">
        <v>11</v>
      </c>
      <c r="F719" t="s">
        <v>13</v>
      </c>
      <c r="G719">
        <v>13112.604799999999</v>
      </c>
    </row>
    <row r="720" spans="1:7" x14ac:dyDescent="0.25">
      <c r="A720">
        <v>51</v>
      </c>
      <c r="B720" t="s">
        <v>7</v>
      </c>
      <c r="C720">
        <v>36.67</v>
      </c>
      <c r="D720">
        <v>2</v>
      </c>
      <c r="E720" t="s">
        <v>11</v>
      </c>
      <c r="F720" t="s">
        <v>13</v>
      </c>
      <c r="G720">
        <v>10848.1343</v>
      </c>
    </row>
    <row r="721" spans="1:7" x14ac:dyDescent="0.25">
      <c r="A721">
        <v>58</v>
      </c>
      <c r="B721" t="s">
        <v>7</v>
      </c>
      <c r="C721">
        <v>33.44</v>
      </c>
      <c r="D721">
        <v>0</v>
      </c>
      <c r="E721" t="s">
        <v>11</v>
      </c>
      <c r="F721" t="s">
        <v>13</v>
      </c>
      <c r="G721">
        <v>12231.613600000001</v>
      </c>
    </row>
    <row r="722" spans="1:7" x14ac:dyDescent="0.25">
      <c r="A722">
        <v>51</v>
      </c>
      <c r="B722" t="s">
        <v>7</v>
      </c>
      <c r="C722">
        <v>40.659999999999997</v>
      </c>
      <c r="D722">
        <v>0</v>
      </c>
      <c r="E722" t="s">
        <v>11</v>
      </c>
      <c r="F722" t="s">
        <v>14</v>
      </c>
      <c r="G722">
        <v>9875.6803999999993</v>
      </c>
    </row>
    <row r="723" spans="1:7" x14ac:dyDescent="0.25">
      <c r="A723">
        <v>53</v>
      </c>
      <c r="B723" t="s">
        <v>10</v>
      </c>
      <c r="C723">
        <v>36.6</v>
      </c>
      <c r="D723">
        <v>3</v>
      </c>
      <c r="E723" t="s">
        <v>11</v>
      </c>
      <c r="F723" t="s">
        <v>9</v>
      </c>
      <c r="G723">
        <v>11264.540999999999</v>
      </c>
    </row>
    <row r="724" spans="1:7" x14ac:dyDescent="0.25">
      <c r="A724">
        <v>62</v>
      </c>
      <c r="B724" t="s">
        <v>10</v>
      </c>
      <c r="C724">
        <v>37.4</v>
      </c>
      <c r="D724">
        <v>0</v>
      </c>
      <c r="E724" t="s">
        <v>11</v>
      </c>
      <c r="F724" t="s">
        <v>9</v>
      </c>
      <c r="G724">
        <v>12979.358</v>
      </c>
    </row>
    <row r="725" spans="1:7" x14ac:dyDescent="0.25">
      <c r="A725">
        <v>19</v>
      </c>
      <c r="B725" t="s">
        <v>10</v>
      </c>
      <c r="C725">
        <v>35.4</v>
      </c>
      <c r="D725">
        <v>0</v>
      </c>
      <c r="E725" t="s">
        <v>11</v>
      </c>
      <c r="F725" t="s">
        <v>9</v>
      </c>
      <c r="G725">
        <v>1263.249</v>
      </c>
    </row>
    <row r="726" spans="1:7" x14ac:dyDescent="0.25">
      <c r="A726">
        <v>50</v>
      </c>
      <c r="B726" t="s">
        <v>7</v>
      </c>
      <c r="C726">
        <v>27.074999999999999</v>
      </c>
      <c r="D726">
        <v>1</v>
      </c>
      <c r="E726" t="s">
        <v>11</v>
      </c>
      <c r="F726" t="s">
        <v>14</v>
      </c>
      <c r="G726">
        <v>10106.134249999999</v>
      </c>
    </row>
    <row r="727" spans="1:7" x14ac:dyDescent="0.25">
      <c r="A727">
        <v>30</v>
      </c>
      <c r="B727" t="s">
        <v>7</v>
      </c>
      <c r="C727">
        <v>39.049999999999997</v>
      </c>
      <c r="D727">
        <v>3</v>
      </c>
      <c r="E727" t="s">
        <v>8</v>
      </c>
      <c r="F727" t="s">
        <v>12</v>
      </c>
      <c r="G727">
        <v>40932.429499999998</v>
      </c>
    </row>
    <row r="728" spans="1:7" x14ac:dyDescent="0.25">
      <c r="A728">
        <v>41</v>
      </c>
      <c r="B728" t="s">
        <v>10</v>
      </c>
      <c r="C728">
        <v>28.405000000000001</v>
      </c>
      <c r="D728">
        <v>1</v>
      </c>
      <c r="E728" t="s">
        <v>11</v>
      </c>
      <c r="F728" t="s">
        <v>13</v>
      </c>
      <c r="G728">
        <v>6664.68595</v>
      </c>
    </row>
    <row r="729" spans="1:7" x14ac:dyDescent="0.25">
      <c r="A729">
        <v>29</v>
      </c>
      <c r="B729" t="s">
        <v>7</v>
      </c>
      <c r="C729">
        <v>21.754999999999999</v>
      </c>
      <c r="D729">
        <v>1</v>
      </c>
      <c r="E729" t="s">
        <v>8</v>
      </c>
      <c r="F729" t="s">
        <v>14</v>
      </c>
      <c r="G729">
        <v>16657.71745</v>
      </c>
    </row>
    <row r="730" spans="1:7" x14ac:dyDescent="0.25">
      <c r="A730">
        <v>18</v>
      </c>
      <c r="B730" t="s">
        <v>7</v>
      </c>
      <c r="C730">
        <v>40.28</v>
      </c>
      <c r="D730">
        <v>0</v>
      </c>
      <c r="E730" t="s">
        <v>11</v>
      </c>
      <c r="F730" t="s">
        <v>14</v>
      </c>
      <c r="G730">
        <v>2217.6012000000001</v>
      </c>
    </row>
    <row r="731" spans="1:7" x14ac:dyDescent="0.25">
      <c r="A731">
        <v>41</v>
      </c>
      <c r="B731" t="s">
        <v>7</v>
      </c>
      <c r="C731">
        <v>36.08</v>
      </c>
      <c r="D731">
        <v>1</v>
      </c>
      <c r="E731" t="s">
        <v>11</v>
      </c>
      <c r="F731" t="s">
        <v>12</v>
      </c>
      <c r="G731">
        <v>6781.3541999999998</v>
      </c>
    </row>
    <row r="732" spans="1:7" x14ac:dyDescent="0.25">
      <c r="A732">
        <v>35</v>
      </c>
      <c r="B732" t="s">
        <v>10</v>
      </c>
      <c r="C732">
        <v>24.42</v>
      </c>
      <c r="D732">
        <v>3</v>
      </c>
      <c r="E732" t="s">
        <v>8</v>
      </c>
      <c r="F732" t="s">
        <v>12</v>
      </c>
      <c r="G732">
        <v>19361.998800000001</v>
      </c>
    </row>
    <row r="733" spans="1:7" x14ac:dyDescent="0.25">
      <c r="A733">
        <v>53</v>
      </c>
      <c r="B733" t="s">
        <v>10</v>
      </c>
      <c r="C733">
        <v>21.4</v>
      </c>
      <c r="D733">
        <v>1</v>
      </c>
      <c r="E733" t="s">
        <v>11</v>
      </c>
      <c r="F733" t="s">
        <v>9</v>
      </c>
      <c r="G733">
        <v>10065.413</v>
      </c>
    </row>
    <row r="734" spans="1:7" x14ac:dyDescent="0.25">
      <c r="A734">
        <v>24</v>
      </c>
      <c r="B734" t="s">
        <v>7</v>
      </c>
      <c r="C734">
        <v>30.1</v>
      </c>
      <c r="D734">
        <v>3</v>
      </c>
      <c r="E734" t="s">
        <v>11</v>
      </c>
      <c r="F734" t="s">
        <v>9</v>
      </c>
      <c r="G734">
        <v>4234.9269999999997</v>
      </c>
    </row>
    <row r="735" spans="1:7" x14ac:dyDescent="0.25">
      <c r="A735">
        <v>48</v>
      </c>
      <c r="B735" t="s">
        <v>7</v>
      </c>
      <c r="C735">
        <v>27.265000000000001</v>
      </c>
      <c r="D735">
        <v>1</v>
      </c>
      <c r="E735" t="s">
        <v>11</v>
      </c>
      <c r="F735" t="s">
        <v>14</v>
      </c>
      <c r="G735">
        <v>9447.2503500000003</v>
      </c>
    </row>
    <row r="736" spans="1:7" x14ac:dyDescent="0.25">
      <c r="A736">
        <v>59</v>
      </c>
      <c r="B736" t="s">
        <v>7</v>
      </c>
      <c r="C736">
        <v>32.1</v>
      </c>
      <c r="D736">
        <v>3</v>
      </c>
      <c r="E736" t="s">
        <v>11</v>
      </c>
      <c r="F736" t="s">
        <v>9</v>
      </c>
      <c r="G736">
        <v>14007.222</v>
      </c>
    </row>
    <row r="737" spans="1:7" x14ac:dyDescent="0.25">
      <c r="A737">
        <v>49</v>
      </c>
      <c r="B737" t="s">
        <v>7</v>
      </c>
      <c r="C737">
        <v>34.770000000000003</v>
      </c>
      <c r="D737">
        <v>1</v>
      </c>
      <c r="E737" t="s">
        <v>11</v>
      </c>
      <c r="F737" t="s">
        <v>13</v>
      </c>
      <c r="G737">
        <v>9583.8932999999997</v>
      </c>
    </row>
    <row r="738" spans="1:7" x14ac:dyDescent="0.25">
      <c r="A738">
        <v>37</v>
      </c>
      <c r="B738" t="s">
        <v>7</v>
      </c>
      <c r="C738">
        <v>38.39</v>
      </c>
      <c r="D738">
        <v>0</v>
      </c>
      <c r="E738" t="s">
        <v>8</v>
      </c>
      <c r="F738" t="s">
        <v>12</v>
      </c>
      <c r="G738">
        <v>40419.019099999998</v>
      </c>
    </row>
    <row r="739" spans="1:7" x14ac:dyDescent="0.25">
      <c r="A739">
        <v>26</v>
      </c>
      <c r="B739" t="s">
        <v>10</v>
      </c>
      <c r="C739">
        <v>23.7</v>
      </c>
      <c r="D739">
        <v>2</v>
      </c>
      <c r="E739" t="s">
        <v>11</v>
      </c>
      <c r="F739" t="s">
        <v>9</v>
      </c>
      <c r="G739">
        <v>3484.3310000000001</v>
      </c>
    </row>
    <row r="740" spans="1:7" x14ac:dyDescent="0.25">
      <c r="A740">
        <v>23</v>
      </c>
      <c r="B740" t="s">
        <v>10</v>
      </c>
      <c r="C740">
        <v>31.73</v>
      </c>
      <c r="D740">
        <v>3</v>
      </c>
      <c r="E740" t="s">
        <v>8</v>
      </c>
      <c r="F740" t="s">
        <v>14</v>
      </c>
      <c r="G740">
        <v>36189.101699999999</v>
      </c>
    </row>
    <row r="741" spans="1:7" x14ac:dyDescent="0.25">
      <c r="A741">
        <v>29</v>
      </c>
      <c r="B741" t="s">
        <v>10</v>
      </c>
      <c r="C741">
        <v>35.5</v>
      </c>
      <c r="D741">
        <v>2</v>
      </c>
      <c r="E741" t="s">
        <v>8</v>
      </c>
      <c r="F741" t="s">
        <v>9</v>
      </c>
      <c r="G741">
        <v>44585.455869999998</v>
      </c>
    </row>
    <row r="742" spans="1:7" x14ac:dyDescent="0.25">
      <c r="A742">
        <v>45</v>
      </c>
      <c r="B742" t="s">
        <v>10</v>
      </c>
      <c r="C742">
        <v>24.035</v>
      </c>
      <c r="D742">
        <v>2</v>
      </c>
      <c r="E742" t="s">
        <v>11</v>
      </c>
      <c r="F742" t="s">
        <v>14</v>
      </c>
      <c r="G742">
        <v>8604.4836500000001</v>
      </c>
    </row>
    <row r="743" spans="1:7" x14ac:dyDescent="0.25">
      <c r="A743">
        <v>27</v>
      </c>
      <c r="B743" t="s">
        <v>10</v>
      </c>
      <c r="C743">
        <v>29.15</v>
      </c>
      <c r="D743">
        <v>0</v>
      </c>
      <c r="E743" t="s">
        <v>8</v>
      </c>
      <c r="F743" t="s">
        <v>12</v>
      </c>
      <c r="G743">
        <v>18246.495500000001</v>
      </c>
    </row>
    <row r="744" spans="1:7" x14ac:dyDescent="0.25">
      <c r="A744">
        <v>53</v>
      </c>
      <c r="B744" t="s">
        <v>10</v>
      </c>
      <c r="C744">
        <v>34.104999999999997</v>
      </c>
      <c r="D744">
        <v>0</v>
      </c>
      <c r="E744" t="s">
        <v>8</v>
      </c>
      <c r="F744" t="s">
        <v>14</v>
      </c>
      <c r="G744">
        <v>43254.417950000003</v>
      </c>
    </row>
    <row r="745" spans="1:7" x14ac:dyDescent="0.25">
      <c r="A745">
        <v>31</v>
      </c>
      <c r="B745" t="s">
        <v>7</v>
      </c>
      <c r="C745">
        <v>26.62</v>
      </c>
      <c r="D745">
        <v>0</v>
      </c>
      <c r="E745" t="s">
        <v>11</v>
      </c>
      <c r="F745" t="s">
        <v>12</v>
      </c>
      <c r="G745">
        <v>3757.8447999999999</v>
      </c>
    </row>
    <row r="746" spans="1:7" x14ac:dyDescent="0.25">
      <c r="A746">
        <v>50</v>
      </c>
      <c r="B746" t="s">
        <v>10</v>
      </c>
      <c r="C746">
        <v>26.41</v>
      </c>
      <c r="D746">
        <v>0</v>
      </c>
      <c r="E746" t="s">
        <v>11</v>
      </c>
      <c r="F746" t="s">
        <v>13</v>
      </c>
      <c r="G746">
        <v>8827.2098999999998</v>
      </c>
    </row>
    <row r="747" spans="1:7" x14ac:dyDescent="0.25">
      <c r="A747">
        <v>50</v>
      </c>
      <c r="B747" t="s">
        <v>7</v>
      </c>
      <c r="C747">
        <v>30.114999999999998</v>
      </c>
      <c r="D747">
        <v>1</v>
      </c>
      <c r="E747" t="s">
        <v>11</v>
      </c>
      <c r="F747" t="s">
        <v>13</v>
      </c>
      <c r="G747">
        <v>9910.3598500000007</v>
      </c>
    </row>
    <row r="748" spans="1:7" x14ac:dyDescent="0.25">
      <c r="A748">
        <v>34</v>
      </c>
      <c r="B748" t="s">
        <v>10</v>
      </c>
      <c r="C748">
        <v>27</v>
      </c>
      <c r="D748">
        <v>2</v>
      </c>
      <c r="E748" t="s">
        <v>11</v>
      </c>
      <c r="F748" t="s">
        <v>9</v>
      </c>
      <c r="G748">
        <v>11737.848840000001</v>
      </c>
    </row>
    <row r="749" spans="1:7" x14ac:dyDescent="0.25">
      <c r="A749">
        <v>19</v>
      </c>
      <c r="B749" t="s">
        <v>10</v>
      </c>
      <c r="C749">
        <v>21.754999999999999</v>
      </c>
      <c r="D749">
        <v>0</v>
      </c>
      <c r="E749" t="s">
        <v>11</v>
      </c>
      <c r="F749" t="s">
        <v>13</v>
      </c>
      <c r="G749">
        <v>1627.2824499999999</v>
      </c>
    </row>
    <row r="750" spans="1:7" x14ac:dyDescent="0.25">
      <c r="A750">
        <v>47</v>
      </c>
      <c r="B750" t="s">
        <v>7</v>
      </c>
      <c r="C750">
        <v>36</v>
      </c>
      <c r="D750">
        <v>1</v>
      </c>
      <c r="E750" t="s">
        <v>11</v>
      </c>
      <c r="F750" t="s">
        <v>9</v>
      </c>
      <c r="G750">
        <v>8556.9069999999992</v>
      </c>
    </row>
    <row r="751" spans="1:7" x14ac:dyDescent="0.25">
      <c r="A751">
        <v>28</v>
      </c>
      <c r="B751" t="s">
        <v>10</v>
      </c>
      <c r="C751">
        <v>30.875</v>
      </c>
      <c r="D751">
        <v>0</v>
      </c>
      <c r="E751" t="s">
        <v>11</v>
      </c>
      <c r="F751" t="s">
        <v>13</v>
      </c>
      <c r="G751">
        <v>3062.5082499999999</v>
      </c>
    </row>
    <row r="752" spans="1:7" x14ac:dyDescent="0.25">
      <c r="A752">
        <v>37</v>
      </c>
      <c r="B752" t="s">
        <v>7</v>
      </c>
      <c r="C752">
        <v>26.4</v>
      </c>
      <c r="D752">
        <v>0</v>
      </c>
      <c r="E752" t="s">
        <v>8</v>
      </c>
      <c r="F752" t="s">
        <v>12</v>
      </c>
      <c r="G752">
        <v>19539.242999999999</v>
      </c>
    </row>
    <row r="753" spans="1:7" x14ac:dyDescent="0.25">
      <c r="A753">
        <v>21</v>
      </c>
      <c r="B753" t="s">
        <v>10</v>
      </c>
      <c r="C753">
        <v>28.975000000000001</v>
      </c>
      <c r="D753">
        <v>0</v>
      </c>
      <c r="E753" t="s">
        <v>11</v>
      </c>
      <c r="F753" t="s">
        <v>13</v>
      </c>
      <c r="G753">
        <v>1906.35825</v>
      </c>
    </row>
    <row r="754" spans="1:7" x14ac:dyDescent="0.25">
      <c r="A754">
        <v>64</v>
      </c>
      <c r="B754" t="s">
        <v>10</v>
      </c>
      <c r="C754">
        <v>37.905000000000001</v>
      </c>
      <c r="D754">
        <v>0</v>
      </c>
      <c r="E754" t="s">
        <v>11</v>
      </c>
      <c r="F754" t="s">
        <v>13</v>
      </c>
      <c r="G754">
        <v>14210.53595</v>
      </c>
    </row>
    <row r="755" spans="1:7" x14ac:dyDescent="0.25">
      <c r="A755">
        <v>58</v>
      </c>
      <c r="B755" t="s">
        <v>7</v>
      </c>
      <c r="C755">
        <v>22.77</v>
      </c>
      <c r="D755">
        <v>0</v>
      </c>
      <c r="E755" t="s">
        <v>11</v>
      </c>
      <c r="F755" t="s">
        <v>12</v>
      </c>
      <c r="G755">
        <v>11833.782300000001</v>
      </c>
    </row>
    <row r="756" spans="1:7" x14ac:dyDescent="0.25">
      <c r="A756">
        <v>24</v>
      </c>
      <c r="B756" t="s">
        <v>10</v>
      </c>
      <c r="C756">
        <v>33.630000000000003</v>
      </c>
      <c r="D756">
        <v>4</v>
      </c>
      <c r="E756" t="s">
        <v>11</v>
      </c>
      <c r="F756" t="s">
        <v>14</v>
      </c>
      <c r="G756">
        <v>17128.426080000001</v>
      </c>
    </row>
    <row r="757" spans="1:7" x14ac:dyDescent="0.25">
      <c r="A757">
        <v>31</v>
      </c>
      <c r="B757" t="s">
        <v>10</v>
      </c>
      <c r="C757">
        <v>27.645</v>
      </c>
      <c r="D757">
        <v>2</v>
      </c>
      <c r="E757" t="s">
        <v>11</v>
      </c>
      <c r="F757" t="s">
        <v>14</v>
      </c>
      <c r="G757">
        <v>5031.26955</v>
      </c>
    </row>
    <row r="758" spans="1:7" x14ac:dyDescent="0.25">
      <c r="A758">
        <v>39</v>
      </c>
      <c r="B758" t="s">
        <v>7</v>
      </c>
      <c r="C758">
        <v>22.8</v>
      </c>
      <c r="D758">
        <v>3</v>
      </c>
      <c r="E758" t="s">
        <v>11</v>
      </c>
      <c r="F758" t="s">
        <v>14</v>
      </c>
      <c r="G758">
        <v>7985.8149999999996</v>
      </c>
    </row>
    <row r="759" spans="1:7" x14ac:dyDescent="0.25">
      <c r="A759">
        <v>47</v>
      </c>
      <c r="B759" t="s">
        <v>7</v>
      </c>
      <c r="C759">
        <v>27.83</v>
      </c>
      <c r="D759">
        <v>0</v>
      </c>
      <c r="E759" t="s">
        <v>8</v>
      </c>
      <c r="F759" t="s">
        <v>12</v>
      </c>
      <c r="G759">
        <v>23065.420699999999</v>
      </c>
    </row>
    <row r="760" spans="1:7" x14ac:dyDescent="0.25">
      <c r="A760">
        <v>30</v>
      </c>
      <c r="B760" t="s">
        <v>10</v>
      </c>
      <c r="C760">
        <v>37.43</v>
      </c>
      <c r="D760">
        <v>3</v>
      </c>
      <c r="E760" t="s">
        <v>11</v>
      </c>
      <c r="F760" t="s">
        <v>14</v>
      </c>
      <c r="G760">
        <v>5428.7277000000004</v>
      </c>
    </row>
    <row r="761" spans="1:7" x14ac:dyDescent="0.25">
      <c r="A761">
        <v>18</v>
      </c>
      <c r="B761" t="s">
        <v>10</v>
      </c>
      <c r="C761">
        <v>38.17</v>
      </c>
      <c r="D761">
        <v>0</v>
      </c>
      <c r="E761" t="s">
        <v>8</v>
      </c>
      <c r="F761" t="s">
        <v>12</v>
      </c>
      <c r="G761">
        <v>36307.798300000002</v>
      </c>
    </row>
    <row r="762" spans="1:7" x14ac:dyDescent="0.25">
      <c r="A762">
        <v>22</v>
      </c>
      <c r="B762" t="s">
        <v>7</v>
      </c>
      <c r="C762">
        <v>34.58</v>
      </c>
      <c r="D762">
        <v>2</v>
      </c>
      <c r="E762" t="s">
        <v>11</v>
      </c>
      <c r="F762" t="s">
        <v>14</v>
      </c>
      <c r="G762">
        <v>3925.7582000000002</v>
      </c>
    </row>
    <row r="763" spans="1:7" x14ac:dyDescent="0.25">
      <c r="A763">
        <v>23</v>
      </c>
      <c r="B763" t="s">
        <v>10</v>
      </c>
      <c r="C763">
        <v>35.200000000000003</v>
      </c>
      <c r="D763">
        <v>1</v>
      </c>
      <c r="E763" t="s">
        <v>11</v>
      </c>
      <c r="F763" t="s">
        <v>9</v>
      </c>
      <c r="G763">
        <v>2416.9549999999999</v>
      </c>
    </row>
    <row r="764" spans="1:7" x14ac:dyDescent="0.25">
      <c r="A764">
        <v>33</v>
      </c>
      <c r="B764" t="s">
        <v>10</v>
      </c>
      <c r="C764">
        <v>27.1</v>
      </c>
      <c r="D764">
        <v>1</v>
      </c>
      <c r="E764" t="s">
        <v>8</v>
      </c>
      <c r="F764" t="s">
        <v>9</v>
      </c>
      <c r="G764">
        <v>19040.876</v>
      </c>
    </row>
    <row r="765" spans="1:7" x14ac:dyDescent="0.25">
      <c r="A765">
        <v>27</v>
      </c>
      <c r="B765" t="s">
        <v>10</v>
      </c>
      <c r="C765">
        <v>26.03</v>
      </c>
      <c r="D765">
        <v>0</v>
      </c>
      <c r="E765" t="s">
        <v>11</v>
      </c>
      <c r="F765" t="s">
        <v>14</v>
      </c>
      <c r="G765">
        <v>3070.8087</v>
      </c>
    </row>
    <row r="766" spans="1:7" x14ac:dyDescent="0.25">
      <c r="A766">
        <v>45</v>
      </c>
      <c r="B766" t="s">
        <v>7</v>
      </c>
      <c r="C766">
        <v>25.175000000000001</v>
      </c>
      <c r="D766">
        <v>2</v>
      </c>
      <c r="E766" t="s">
        <v>11</v>
      </c>
      <c r="F766" t="s">
        <v>14</v>
      </c>
      <c r="G766">
        <v>9095.0682500000003</v>
      </c>
    </row>
    <row r="767" spans="1:7" x14ac:dyDescent="0.25">
      <c r="A767">
        <v>57</v>
      </c>
      <c r="B767" t="s">
        <v>7</v>
      </c>
      <c r="C767">
        <v>31.824999999999999</v>
      </c>
      <c r="D767">
        <v>0</v>
      </c>
      <c r="E767" t="s">
        <v>11</v>
      </c>
      <c r="F767" t="s">
        <v>13</v>
      </c>
      <c r="G767">
        <v>11842.623750000001</v>
      </c>
    </row>
    <row r="768" spans="1:7" x14ac:dyDescent="0.25">
      <c r="A768">
        <v>47</v>
      </c>
      <c r="B768" t="s">
        <v>10</v>
      </c>
      <c r="C768">
        <v>32.299999999999997</v>
      </c>
      <c r="D768">
        <v>1</v>
      </c>
      <c r="E768" t="s">
        <v>11</v>
      </c>
      <c r="F768" t="s">
        <v>9</v>
      </c>
      <c r="G768">
        <v>8062.7640000000001</v>
      </c>
    </row>
    <row r="769" spans="1:7" x14ac:dyDescent="0.25">
      <c r="A769">
        <v>42</v>
      </c>
      <c r="B769" t="s">
        <v>7</v>
      </c>
      <c r="C769">
        <v>29</v>
      </c>
      <c r="D769">
        <v>1</v>
      </c>
      <c r="E769" t="s">
        <v>11</v>
      </c>
      <c r="F769" t="s">
        <v>9</v>
      </c>
      <c r="G769">
        <v>7050.6419999999998</v>
      </c>
    </row>
    <row r="770" spans="1:7" x14ac:dyDescent="0.25">
      <c r="A770">
        <v>64</v>
      </c>
      <c r="B770" t="s">
        <v>7</v>
      </c>
      <c r="C770">
        <v>39.700000000000003</v>
      </c>
      <c r="D770">
        <v>0</v>
      </c>
      <c r="E770" t="s">
        <v>11</v>
      </c>
      <c r="F770" t="s">
        <v>9</v>
      </c>
      <c r="G770">
        <v>14319.031000000001</v>
      </c>
    </row>
    <row r="771" spans="1:7" x14ac:dyDescent="0.25">
      <c r="A771">
        <v>38</v>
      </c>
      <c r="B771" t="s">
        <v>7</v>
      </c>
      <c r="C771">
        <v>19.475000000000001</v>
      </c>
      <c r="D771">
        <v>2</v>
      </c>
      <c r="E771" t="s">
        <v>11</v>
      </c>
      <c r="F771" t="s">
        <v>13</v>
      </c>
      <c r="G771">
        <v>6933.2422500000002</v>
      </c>
    </row>
    <row r="772" spans="1:7" x14ac:dyDescent="0.25">
      <c r="A772">
        <v>61</v>
      </c>
      <c r="B772" t="s">
        <v>10</v>
      </c>
      <c r="C772">
        <v>36.1</v>
      </c>
      <c r="D772">
        <v>3</v>
      </c>
      <c r="E772" t="s">
        <v>11</v>
      </c>
      <c r="F772" t="s">
        <v>9</v>
      </c>
      <c r="G772">
        <v>27941.28758</v>
      </c>
    </row>
    <row r="773" spans="1:7" x14ac:dyDescent="0.25">
      <c r="A773">
        <v>53</v>
      </c>
      <c r="B773" t="s">
        <v>7</v>
      </c>
      <c r="C773">
        <v>26.7</v>
      </c>
      <c r="D773">
        <v>2</v>
      </c>
      <c r="E773" t="s">
        <v>11</v>
      </c>
      <c r="F773" t="s">
        <v>9</v>
      </c>
      <c r="G773">
        <v>11150.78</v>
      </c>
    </row>
    <row r="774" spans="1:7" x14ac:dyDescent="0.25">
      <c r="A774">
        <v>44</v>
      </c>
      <c r="B774" t="s">
        <v>7</v>
      </c>
      <c r="C774">
        <v>36.479999999999997</v>
      </c>
      <c r="D774">
        <v>0</v>
      </c>
      <c r="E774" t="s">
        <v>11</v>
      </c>
      <c r="F774" t="s">
        <v>14</v>
      </c>
      <c r="G774">
        <v>12797.20962</v>
      </c>
    </row>
    <row r="775" spans="1:7" x14ac:dyDescent="0.25">
      <c r="A775">
        <v>19</v>
      </c>
      <c r="B775" t="s">
        <v>7</v>
      </c>
      <c r="C775">
        <v>28.88</v>
      </c>
      <c r="D775">
        <v>0</v>
      </c>
      <c r="E775" t="s">
        <v>8</v>
      </c>
      <c r="F775" t="s">
        <v>13</v>
      </c>
      <c r="G775">
        <v>17748.5062</v>
      </c>
    </row>
    <row r="776" spans="1:7" x14ac:dyDescent="0.25">
      <c r="A776">
        <v>41</v>
      </c>
      <c r="B776" t="s">
        <v>10</v>
      </c>
      <c r="C776">
        <v>34.200000000000003</v>
      </c>
      <c r="D776">
        <v>2</v>
      </c>
      <c r="E776" t="s">
        <v>11</v>
      </c>
      <c r="F776" t="s">
        <v>13</v>
      </c>
      <c r="G776">
        <v>7261.741</v>
      </c>
    </row>
    <row r="777" spans="1:7" x14ac:dyDescent="0.25">
      <c r="A777">
        <v>51</v>
      </c>
      <c r="B777" t="s">
        <v>10</v>
      </c>
      <c r="C777">
        <v>33.33</v>
      </c>
      <c r="D777">
        <v>3</v>
      </c>
      <c r="E777" t="s">
        <v>11</v>
      </c>
      <c r="F777" t="s">
        <v>12</v>
      </c>
      <c r="G777">
        <v>10560.4917</v>
      </c>
    </row>
    <row r="778" spans="1:7" x14ac:dyDescent="0.25">
      <c r="A778">
        <v>40</v>
      </c>
      <c r="B778" t="s">
        <v>10</v>
      </c>
      <c r="C778">
        <v>32.299999999999997</v>
      </c>
      <c r="D778">
        <v>2</v>
      </c>
      <c r="E778" t="s">
        <v>11</v>
      </c>
      <c r="F778" t="s">
        <v>13</v>
      </c>
      <c r="G778">
        <v>6986.6970000000001</v>
      </c>
    </row>
    <row r="779" spans="1:7" x14ac:dyDescent="0.25">
      <c r="A779">
        <v>45</v>
      </c>
      <c r="B779" t="s">
        <v>10</v>
      </c>
      <c r="C779">
        <v>39.805</v>
      </c>
      <c r="D779">
        <v>0</v>
      </c>
      <c r="E779" t="s">
        <v>11</v>
      </c>
      <c r="F779" t="s">
        <v>14</v>
      </c>
      <c r="G779">
        <v>7448.4039499999999</v>
      </c>
    </row>
    <row r="780" spans="1:7" x14ac:dyDescent="0.25">
      <c r="A780">
        <v>35</v>
      </c>
      <c r="B780" t="s">
        <v>10</v>
      </c>
      <c r="C780">
        <v>34.32</v>
      </c>
      <c r="D780">
        <v>3</v>
      </c>
      <c r="E780" t="s">
        <v>11</v>
      </c>
      <c r="F780" t="s">
        <v>12</v>
      </c>
      <c r="G780">
        <v>5934.3797999999997</v>
      </c>
    </row>
    <row r="781" spans="1:7" x14ac:dyDescent="0.25">
      <c r="A781">
        <v>53</v>
      </c>
      <c r="B781" t="s">
        <v>10</v>
      </c>
      <c r="C781">
        <v>28.88</v>
      </c>
      <c r="D781">
        <v>0</v>
      </c>
      <c r="E781" t="s">
        <v>11</v>
      </c>
      <c r="F781" t="s">
        <v>13</v>
      </c>
      <c r="G781">
        <v>9869.8101999999999</v>
      </c>
    </row>
    <row r="782" spans="1:7" x14ac:dyDescent="0.25">
      <c r="A782">
        <v>30</v>
      </c>
      <c r="B782" t="s">
        <v>10</v>
      </c>
      <c r="C782">
        <v>24.4</v>
      </c>
      <c r="D782">
        <v>3</v>
      </c>
      <c r="E782" t="s">
        <v>8</v>
      </c>
      <c r="F782" t="s">
        <v>9</v>
      </c>
      <c r="G782">
        <v>18259.216</v>
      </c>
    </row>
    <row r="783" spans="1:7" x14ac:dyDescent="0.25">
      <c r="A783">
        <v>18</v>
      </c>
      <c r="B783" t="s">
        <v>10</v>
      </c>
      <c r="C783">
        <v>41.14</v>
      </c>
      <c r="D783">
        <v>0</v>
      </c>
      <c r="E783" t="s">
        <v>11</v>
      </c>
      <c r="F783" t="s">
        <v>12</v>
      </c>
      <c r="G783">
        <v>1146.7965999999999</v>
      </c>
    </row>
    <row r="784" spans="1:7" x14ac:dyDescent="0.25">
      <c r="A784">
        <v>51</v>
      </c>
      <c r="B784" t="s">
        <v>10</v>
      </c>
      <c r="C784">
        <v>35.97</v>
      </c>
      <c r="D784">
        <v>1</v>
      </c>
      <c r="E784" t="s">
        <v>11</v>
      </c>
      <c r="F784" t="s">
        <v>12</v>
      </c>
      <c r="G784">
        <v>9386.1612999999998</v>
      </c>
    </row>
    <row r="785" spans="1:7" x14ac:dyDescent="0.25">
      <c r="A785">
        <v>50</v>
      </c>
      <c r="B785" t="s">
        <v>7</v>
      </c>
      <c r="C785">
        <v>27.6</v>
      </c>
      <c r="D785">
        <v>1</v>
      </c>
      <c r="E785" t="s">
        <v>8</v>
      </c>
      <c r="F785" t="s">
        <v>9</v>
      </c>
      <c r="G785">
        <v>24520.263999999999</v>
      </c>
    </row>
    <row r="786" spans="1:7" x14ac:dyDescent="0.25">
      <c r="A786">
        <v>31</v>
      </c>
      <c r="B786" t="s">
        <v>7</v>
      </c>
      <c r="C786">
        <v>29.26</v>
      </c>
      <c r="D786">
        <v>1</v>
      </c>
      <c r="E786" t="s">
        <v>11</v>
      </c>
      <c r="F786" t="s">
        <v>12</v>
      </c>
      <c r="G786">
        <v>4350.5144</v>
      </c>
    </row>
    <row r="787" spans="1:7" x14ac:dyDescent="0.25">
      <c r="A787">
        <v>35</v>
      </c>
      <c r="B787" t="s">
        <v>7</v>
      </c>
      <c r="C787">
        <v>27.7</v>
      </c>
      <c r="D787">
        <v>3</v>
      </c>
      <c r="E787" t="s">
        <v>11</v>
      </c>
      <c r="F787" t="s">
        <v>9</v>
      </c>
      <c r="G787">
        <v>6414.1779999999999</v>
      </c>
    </row>
    <row r="788" spans="1:7" x14ac:dyDescent="0.25">
      <c r="A788">
        <v>60</v>
      </c>
      <c r="B788" t="s">
        <v>10</v>
      </c>
      <c r="C788">
        <v>36.954999999999998</v>
      </c>
      <c r="D788">
        <v>0</v>
      </c>
      <c r="E788" t="s">
        <v>11</v>
      </c>
      <c r="F788" t="s">
        <v>14</v>
      </c>
      <c r="G788">
        <v>12741.167450000001</v>
      </c>
    </row>
    <row r="789" spans="1:7" x14ac:dyDescent="0.25">
      <c r="A789">
        <v>21</v>
      </c>
      <c r="B789" t="s">
        <v>10</v>
      </c>
      <c r="C789">
        <v>36.86</v>
      </c>
      <c r="D789">
        <v>0</v>
      </c>
      <c r="E789" t="s">
        <v>11</v>
      </c>
      <c r="F789" t="s">
        <v>13</v>
      </c>
      <c r="G789">
        <v>1917.3184000000001</v>
      </c>
    </row>
    <row r="790" spans="1:7" x14ac:dyDescent="0.25">
      <c r="A790">
        <v>29</v>
      </c>
      <c r="B790" t="s">
        <v>10</v>
      </c>
      <c r="C790">
        <v>22.515000000000001</v>
      </c>
      <c r="D790">
        <v>3</v>
      </c>
      <c r="E790" t="s">
        <v>11</v>
      </c>
      <c r="F790" t="s">
        <v>14</v>
      </c>
      <c r="G790">
        <v>5209.5788499999999</v>
      </c>
    </row>
    <row r="791" spans="1:7" x14ac:dyDescent="0.25">
      <c r="A791">
        <v>62</v>
      </c>
      <c r="B791" t="s">
        <v>7</v>
      </c>
      <c r="C791">
        <v>29.92</v>
      </c>
      <c r="D791">
        <v>0</v>
      </c>
      <c r="E791" t="s">
        <v>11</v>
      </c>
      <c r="F791" t="s">
        <v>12</v>
      </c>
      <c r="G791">
        <v>13457.960800000001</v>
      </c>
    </row>
    <row r="792" spans="1:7" x14ac:dyDescent="0.25">
      <c r="A792">
        <v>39</v>
      </c>
      <c r="B792" t="s">
        <v>7</v>
      </c>
      <c r="C792">
        <v>41.8</v>
      </c>
      <c r="D792">
        <v>0</v>
      </c>
      <c r="E792" t="s">
        <v>11</v>
      </c>
      <c r="F792" t="s">
        <v>12</v>
      </c>
      <c r="G792">
        <v>5662.2250000000004</v>
      </c>
    </row>
    <row r="793" spans="1:7" x14ac:dyDescent="0.25">
      <c r="A793">
        <v>19</v>
      </c>
      <c r="B793" t="s">
        <v>10</v>
      </c>
      <c r="C793">
        <v>27.6</v>
      </c>
      <c r="D793">
        <v>0</v>
      </c>
      <c r="E793" t="s">
        <v>11</v>
      </c>
      <c r="F793" t="s">
        <v>9</v>
      </c>
      <c r="G793">
        <v>1252.4069999999999</v>
      </c>
    </row>
    <row r="794" spans="1:7" x14ac:dyDescent="0.25">
      <c r="A794">
        <v>22</v>
      </c>
      <c r="B794" t="s">
        <v>7</v>
      </c>
      <c r="C794">
        <v>23.18</v>
      </c>
      <c r="D794">
        <v>0</v>
      </c>
      <c r="E794" t="s">
        <v>11</v>
      </c>
      <c r="F794" t="s">
        <v>14</v>
      </c>
      <c r="G794">
        <v>2731.9122000000002</v>
      </c>
    </row>
    <row r="795" spans="1:7" x14ac:dyDescent="0.25">
      <c r="A795">
        <v>53</v>
      </c>
      <c r="B795" t="s">
        <v>10</v>
      </c>
      <c r="C795">
        <v>20.9</v>
      </c>
      <c r="D795">
        <v>0</v>
      </c>
      <c r="E795" t="s">
        <v>8</v>
      </c>
      <c r="F795" t="s">
        <v>12</v>
      </c>
      <c r="G795">
        <v>21195.817999999999</v>
      </c>
    </row>
    <row r="796" spans="1:7" x14ac:dyDescent="0.25">
      <c r="A796">
        <v>39</v>
      </c>
      <c r="B796" t="s">
        <v>7</v>
      </c>
      <c r="C796">
        <v>31.92</v>
      </c>
      <c r="D796">
        <v>2</v>
      </c>
      <c r="E796" t="s">
        <v>11</v>
      </c>
      <c r="F796" t="s">
        <v>13</v>
      </c>
      <c r="G796">
        <v>7209.4917999999998</v>
      </c>
    </row>
    <row r="797" spans="1:7" x14ac:dyDescent="0.25">
      <c r="A797">
        <v>27</v>
      </c>
      <c r="B797" t="s">
        <v>10</v>
      </c>
      <c r="C797">
        <v>28.5</v>
      </c>
      <c r="D797">
        <v>0</v>
      </c>
      <c r="E797" t="s">
        <v>8</v>
      </c>
      <c r="F797" t="s">
        <v>13</v>
      </c>
      <c r="G797">
        <v>18310.741999999998</v>
      </c>
    </row>
    <row r="798" spans="1:7" x14ac:dyDescent="0.25">
      <c r="A798">
        <v>30</v>
      </c>
      <c r="B798" t="s">
        <v>10</v>
      </c>
      <c r="C798">
        <v>44.22</v>
      </c>
      <c r="D798">
        <v>2</v>
      </c>
      <c r="E798" t="s">
        <v>11</v>
      </c>
      <c r="F798" t="s">
        <v>12</v>
      </c>
      <c r="G798">
        <v>4266.1657999999998</v>
      </c>
    </row>
    <row r="799" spans="1:7" x14ac:dyDescent="0.25">
      <c r="A799">
        <v>30</v>
      </c>
      <c r="B799" t="s">
        <v>7</v>
      </c>
      <c r="C799">
        <v>22.895</v>
      </c>
      <c r="D799">
        <v>1</v>
      </c>
      <c r="E799" t="s">
        <v>11</v>
      </c>
      <c r="F799" t="s">
        <v>14</v>
      </c>
      <c r="G799">
        <v>4719.52405</v>
      </c>
    </row>
    <row r="800" spans="1:7" x14ac:dyDescent="0.25">
      <c r="A800">
        <v>58</v>
      </c>
      <c r="B800" t="s">
        <v>7</v>
      </c>
      <c r="C800">
        <v>33.1</v>
      </c>
      <c r="D800">
        <v>0</v>
      </c>
      <c r="E800" t="s">
        <v>11</v>
      </c>
      <c r="F800" t="s">
        <v>9</v>
      </c>
      <c r="G800">
        <v>11848.141</v>
      </c>
    </row>
    <row r="801" spans="1:7" x14ac:dyDescent="0.25">
      <c r="A801">
        <v>33</v>
      </c>
      <c r="B801" t="s">
        <v>10</v>
      </c>
      <c r="C801">
        <v>24.795000000000002</v>
      </c>
      <c r="D801">
        <v>0</v>
      </c>
      <c r="E801" t="s">
        <v>8</v>
      </c>
      <c r="F801" t="s">
        <v>14</v>
      </c>
      <c r="G801">
        <v>17904.527050000001</v>
      </c>
    </row>
    <row r="802" spans="1:7" x14ac:dyDescent="0.25">
      <c r="A802">
        <v>42</v>
      </c>
      <c r="B802" t="s">
        <v>7</v>
      </c>
      <c r="C802">
        <v>26.18</v>
      </c>
      <c r="D802">
        <v>1</v>
      </c>
      <c r="E802" t="s">
        <v>11</v>
      </c>
      <c r="F802" t="s">
        <v>12</v>
      </c>
      <c r="G802">
        <v>7046.7222000000002</v>
      </c>
    </row>
    <row r="803" spans="1:7" x14ac:dyDescent="0.25">
      <c r="A803">
        <v>64</v>
      </c>
      <c r="B803" t="s">
        <v>7</v>
      </c>
      <c r="C803">
        <v>35.97</v>
      </c>
      <c r="D803">
        <v>0</v>
      </c>
      <c r="E803" t="s">
        <v>11</v>
      </c>
      <c r="F803" t="s">
        <v>12</v>
      </c>
      <c r="G803">
        <v>14313.846299999999</v>
      </c>
    </row>
    <row r="804" spans="1:7" x14ac:dyDescent="0.25">
      <c r="A804">
        <v>21</v>
      </c>
      <c r="B804" t="s">
        <v>10</v>
      </c>
      <c r="C804">
        <v>22.3</v>
      </c>
      <c r="D804">
        <v>1</v>
      </c>
      <c r="E804" t="s">
        <v>11</v>
      </c>
      <c r="F804" t="s">
        <v>9</v>
      </c>
      <c r="G804">
        <v>2103.08</v>
      </c>
    </row>
    <row r="805" spans="1:7" x14ac:dyDescent="0.25">
      <c r="A805">
        <v>18</v>
      </c>
      <c r="B805" t="s">
        <v>7</v>
      </c>
      <c r="C805">
        <v>42.24</v>
      </c>
      <c r="D805">
        <v>0</v>
      </c>
      <c r="E805" t="s">
        <v>8</v>
      </c>
      <c r="F805" t="s">
        <v>12</v>
      </c>
      <c r="G805">
        <v>38792.685599999997</v>
      </c>
    </row>
    <row r="806" spans="1:7" x14ac:dyDescent="0.25">
      <c r="A806">
        <v>23</v>
      </c>
      <c r="B806" t="s">
        <v>10</v>
      </c>
      <c r="C806">
        <v>26.51</v>
      </c>
      <c r="D806">
        <v>0</v>
      </c>
      <c r="E806" t="s">
        <v>11</v>
      </c>
      <c r="F806" t="s">
        <v>12</v>
      </c>
      <c r="G806">
        <v>1815.8759</v>
      </c>
    </row>
    <row r="807" spans="1:7" x14ac:dyDescent="0.25">
      <c r="A807">
        <v>45</v>
      </c>
      <c r="B807" t="s">
        <v>7</v>
      </c>
      <c r="C807">
        <v>35.814999999999998</v>
      </c>
      <c r="D807">
        <v>0</v>
      </c>
      <c r="E807" t="s">
        <v>11</v>
      </c>
      <c r="F807" t="s">
        <v>13</v>
      </c>
      <c r="G807">
        <v>7731.8578500000003</v>
      </c>
    </row>
    <row r="808" spans="1:7" x14ac:dyDescent="0.25">
      <c r="A808">
        <v>40</v>
      </c>
      <c r="B808" t="s">
        <v>7</v>
      </c>
      <c r="C808">
        <v>41.42</v>
      </c>
      <c r="D808">
        <v>1</v>
      </c>
      <c r="E808" t="s">
        <v>11</v>
      </c>
      <c r="F808" t="s">
        <v>13</v>
      </c>
      <c r="G808">
        <v>28476.734990000001</v>
      </c>
    </row>
    <row r="809" spans="1:7" x14ac:dyDescent="0.25">
      <c r="A809">
        <v>19</v>
      </c>
      <c r="B809" t="s">
        <v>7</v>
      </c>
      <c r="C809">
        <v>36.575000000000003</v>
      </c>
      <c r="D809">
        <v>0</v>
      </c>
      <c r="E809" t="s">
        <v>11</v>
      </c>
      <c r="F809" t="s">
        <v>13</v>
      </c>
      <c r="G809">
        <v>2136.8822500000001</v>
      </c>
    </row>
    <row r="810" spans="1:7" x14ac:dyDescent="0.25">
      <c r="A810">
        <v>18</v>
      </c>
      <c r="B810" t="s">
        <v>10</v>
      </c>
      <c r="C810">
        <v>30.14</v>
      </c>
      <c r="D810">
        <v>0</v>
      </c>
      <c r="E810" t="s">
        <v>11</v>
      </c>
      <c r="F810" t="s">
        <v>12</v>
      </c>
      <c r="G810">
        <v>1131.5065999999999</v>
      </c>
    </row>
    <row r="811" spans="1:7" x14ac:dyDescent="0.25">
      <c r="A811">
        <v>25</v>
      </c>
      <c r="B811" t="s">
        <v>10</v>
      </c>
      <c r="C811">
        <v>25.84</v>
      </c>
      <c r="D811">
        <v>1</v>
      </c>
      <c r="E811" t="s">
        <v>11</v>
      </c>
      <c r="F811" t="s">
        <v>14</v>
      </c>
      <c r="G811">
        <v>3309.7926000000002</v>
      </c>
    </row>
    <row r="812" spans="1:7" x14ac:dyDescent="0.25">
      <c r="A812">
        <v>46</v>
      </c>
      <c r="B812" t="s">
        <v>7</v>
      </c>
      <c r="C812">
        <v>30.8</v>
      </c>
      <c r="D812">
        <v>3</v>
      </c>
      <c r="E812" t="s">
        <v>11</v>
      </c>
      <c r="F812" t="s">
        <v>9</v>
      </c>
      <c r="G812">
        <v>9414.92</v>
      </c>
    </row>
    <row r="813" spans="1:7" x14ac:dyDescent="0.25">
      <c r="A813">
        <v>33</v>
      </c>
      <c r="B813" t="s">
        <v>7</v>
      </c>
      <c r="C813">
        <v>42.94</v>
      </c>
      <c r="D813">
        <v>3</v>
      </c>
      <c r="E813" t="s">
        <v>11</v>
      </c>
      <c r="F813" t="s">
        <v>13</v>
      </c>
      <c r="G813">
        <v>6360.9935999999998</v>
      </c>
    </row>
    <row r="814" spans="1:7" x14ac:dyDescent="0.25">
      <c r="A814">
        <v>54</v>
      </c>
      <c r="B814" t="s">
        <v>10</v>
      </c>
      <c r="C814">
        <v>21.01</v>
      </c>
      <c r="D814">
        <v>2</v>
      </c>
      <c r="E814" t="s">
        <v>11</v>
      </c>
      <c r="F814" t="s">
        <v>12</v>
      </c>
      <c r="G814">
        <v>11013.7119</v>
      </c>
    </row>
    <row r="815" spans="1:7" x14ac:dyDescent="0.25">
      <c r="A815">
        <v>28</v>
      </c>
      <c r="B815" t="s">
        <v>10</v>
      </c>
      <c r="C815">
        <v>22.515000000000001</v>
      </c>
      <c r="D815">
        <v>2</v>
      </c>
      <c r="E815" t="s">
        <v>11</v>
      </c>
      <c r="F815" t="s">
        <v>14</v>
      </c>
      <c r="G815">
        <v>4428.8878500000001</v>
      </c>
    </row>
    <row r="816" spans="1:7" x14ac:dyDescent="0.25">
      <c r="A816">
        <v>36</v>
      </c>
      <c r="B816" t="s">
        <v>10</v>
      </c>
      <c r="C816">
        <v>34.43</v>
      </c>
      <c r="D816">
        <v>2</v>
      </c>
      <c r="E816" t="s">
        <v>11</v>
      </c>
      <c r="F816" t="s">
        <v>12</v>
      </c>
      <c r="G816">
        <v>5584.3056999999999</v>
      </c>
    </row>
    <row r="817" spans="1:7" x14ac:dyDescent="0.25">
      <c r="A817">
        <v>20</v>
      </c>
      <c r="B817" t="s">
        <v>7</v>
      </c>
      <c r="C817">
        <v>31.46</v>
      </c>
      <c r="D817">
        <v>0</v>
      </c>
      <c r="E817" t="s">
        <v>11</v>
      </c>
      <c r="F817" t="s">
        <v>12</v>
      </c>
      <c r="G817">
        <v>1877.9294</v>
      </c>
    </row>
    <row r="818" spans="1:7" x14ac:dyDescent="0.25">
      <c r="A818">
        <v>24</v>
      </c>
      <c r="B818" t="s">
        <v>7</v>
      </c>
      <c r="C818">
        <v>24.225000000000001</v>
      </c>
      <c r="D818">
        <v>0</v>
      </c>
      <c r="E818" t="s">
        <v>11</v>
      </c>
      <c r="F818" t="s">
        <v>13</v>
      </c>
      <c r="G818">
        <v>2842.7607499999999</v>
      </c>
    </row>
    <row r="819" spans="1:7" x14ac:dyDescent="0.25">
      <c r="A819">
        <v>23</v>
      </c>
      <c r="B819" t="s">
        <v>10</v>
      </c>
      <c r="C819">
        <v>37.1</v>
      </c>
      <c r="D819">
        <v>3</v>
      </c>
      <c r="E819" t="s">
        <v>11</v>
      </c>
      <c r="F819" t="s">
        <v>9</v>
      </c>
      <c r="G819">
        <v>3597.596</v>
      </c>
    </row>
    <row r="820" spans="1:7" x14ac:dyDescent="0.25">
      <c r="A820">
        <v>47</v>
      </c>
      <c r="B820" t="s">
        <v>7</v>
      </c>
      <c r="C820">
        <v>26.125</v>
      </c>
      <c r="D820">
        <v>1</v>
      </c>
      <c r="E820" t="s">
        <v>8</v>
      </c>
      <c r="F820" t="s">
        <v>14</v>
      </c>
      <c r="G820">
        <v>23401.30575</v>
      </c>
    </row>
    <row r="821" spans="1:7" x14ac:dyDescent="0.25">
      <c r="A821">
        <v>33</v>
      </c>
      <c r="B821" t="s">
        <v>7</v>
      </c>
      <c r="C821">
        <v>35.53</v>
      </c>
      <c r="D821">
        <v>0</v>
      </c>
      <c r="E821" t="s">
        <v>8</v>
      </c>
      <c r="F821" t="s">
        <v>13</v>
      </c>
      <c r="G821">
        <v>55135.402090000003</v>
      </c>
    </row>
    <row r="822" spans="1:7" x14ac:dyDescent="0.25">
      <c r="A822">
        <v>45</v>
      </c>
      <c r="B822" t="s">
        <v>10</v>
      </c>
      <c r="C822">
        <v>33.700000000000003</v>
      </c>
      <c r="D822">
        <v>1</v>
      </c>
      <c r="E822" t="s">
        <v>11</v>
      </c>
      <c r="F822" t="s">
        <v>9</v>
      </c>
      <c r="G822">
        <v>7445.9179999999997</v>
      </c>
    </row>
    <row r="823" spans="1:7" x14ac:dyDescent="0.25">
      <c r="A823">
        <v>26</v>
      </c>
      <c r="B823" t="s">
        <v>10</v>
      </c>
      <c r="C823">
        <v>17.670000000000002</v>
      </c>
      <c r="D823">
        <v>0</v>
      </c>
      <c r="E823" t="s">
        <v>11</v>
      </c>
      <c r="F823" t="s">
        <v>13</v>
      </c>
      <c r="G823">
        <v>2680.9493000000002</v>
      </c>
    </row>
    <row r="824" spans="1:7" x14ac:dyDescent="0.25">
      <c r="A824">
        <v>18</v>
      </c>
      <c r="B824" t="s">
        <v>7</v>
      </c>
      <c r="C824">
        <v>31.13</v>
      </c>
      <c r="D824">
        <v>0</v>
      </c>
      <c r="E824" t="s">
        <v>11</v>
      </c>
      <c r="F824" t="s">
        <v>12</v>
      </c>
      <c r="G824">
        <v>1621.8827000000001</v>
      </c>
    </row>
    <row r="825" spans="1:7" x14ac:dyDescent="0.25">
      <c r="A825">
        <v>44</v>
      </c>
      <c r="B825" t="s">
        <v>7</v>
      </c>
      <c r="C825">
        <v>29.81</v>
      </c>
      <c r="D825">
        <v>2</v>
      </c>
      <c r="E825" t="s">
        <v>11</v>
      </c>
      <c r="F825" t="s">
        <v>12</v>
      </c>
      <c r="G825">
        <v>8219.2039000000004</v>
      </c>
    </row>
    <row r="826" spans="1:7" x14ac:dyDescent="0.25">
      <c r="A826">
        <v>60</v>
      </c>
      <c r="B826" t="s">
        <v>10</v>
      </c>
      <c r="C826">
        <v>24.32</v>
      </c>
      <c r="D826">
        <v>0</v>
      </c>
      <c r="E826" t="s">
        <v>11</v>
      </c>
      <c r="F826" t="s">
        <v>13</v>
      </c>
      <c r="G826">
        <v>12523.604799999999</v>
      </c>
    </row>
    <row r="827" spans="1:7" x14ac:dyDescent="0.25">
      <c r="A827">
        <v>64</v>
      </c>
      <c r="B827" t="s">
        <v>7</v>
      </c>
      <c r="C827">
        <v>31.824999999999999</v>
      </c>
      <c r="D827">
        <v>2</v>
      </c>
      <c r="E827" t="s">
        <v>11</v>
      </c>
      <c r="F827" t="s">
        <v>14</v>
      </c>
      <c r="G827">
        <v>16069.08475</v>
      </c>
    </row>
    <row r="828" spans="1:7" x14ac:dyDescent="0.25">
      <c r="A828">
        <v>56</v>
      </c>
      <c r="B828" t="s">
        <v>10</v>
      </c>
      <c r="C828">
        <v>31.79</v>
      </c>
      <c r="D828">
        <v>2</v>
      </c>
      <c r="E828" t="s">
        <v>8</v>
      </c>
      <c r="F828" t="s">
        <v>12</v>
      </c>
      <c r="G828">
        <v>43813.866099999999</v>
      </c>
    </row>
    <row r="829" spans="1:7" x14ac:dyDescent="0.25">
      <c r="A829">
        <v>36</v>
      </c>
      <c r="B829" t="s">
        <v>10</v>
      </c>
      <c r="C829">
        <v>28.024999999999999</v>
      </c>
      <c r="D829">
        <v>1</v>
      </c>
      <c r="E829" t="s">
        <v>8</v>
      </c>
      <c r="F829" t="s">
        <v>14</v>
      </c>
      <c r="G829">
        <v>20773.62775</v>
      </c>
    </row>
    <row r="830" spans="1:7" x14ac:dyDescent="0.25">
      <c r="A830">
        <v>41</v>
      </c>
      <c r="B830" t="s">
        <v>10</v>
      </c>
      <c r="C830">
        <v>30.78</v>
      </c>
      <c r="D830">
        <v>3</v>
      </c>
      <c r="E830" t="s">
        <v>8</v>
      </c>
      <c r="F830" t="s">
        <v>14</v>
      </c>
      <c r="G830">
        <v>39597.407200000001</v>
      </c>
    </row>
    <row r="831" spans="1:7" x14ac:dyDescent="0.25">
      <c r="A831">
        <v>39</v>
      </c>
      <c r="B831" t="s">
        <v>10</v>
      </c>
      <c r="C831">
        <v>21.85</v>
      </c>
      <c r="D831">
        <v>1</v>
      </c>
      <c r="E831" t="s">
        <v>11</v>
      </c>
      <c r="F831" t="s">
        <v>13</v>
      </c>
      <c r="G831">
        <v>6117.4944999999998</v>
      </c>
    </row>
    <row r="832" spans="1:7" x14ac:dyDescent="0.25">
      <c r="A832">
        <v>63</v>
      </c>
      <c r="B832" t="s">
        <v>10</v>
      </c>
      <c r="C832">
        <v>33.1</v>
      </c>
      <c r="D832">
        <v>0</v>
      </c>
      <c r="E832" t="s">
        <v>11</v>
      </c>
      <c r="F832" t="s">
        <v>9</v>
      </c>
      <c r="G832">
        <v>13393.755999999999</v>
      </c>
    </row>
    <row r="833" spans="1:7" x14ac:dyDescent="0.25">
      <c r="A833">
        <v>36</v>
      </c>
      <c r="B833" t="s">
        <v>7</v>
      </c>
      <c r="C833">
        <v>25.84</v>
      </c>
      <c r="D833">
        <v>0</v>
      </c>
      <c r="E833" t="s">
        <v>11</v>
      </c>
      <c r="F833" t="s">
        <v>13</v>
      </c>
      <c r="G833">
        <v>5266.3656000000001</v>
      </c>
    </row>
    <row r="834" spans="1:7" x14ac:dyDescent="0.25">
      <c r="A834">
        <v>28</v>
      </c>
      <c r="B834" t="s">
        <v>7</v>
      </c>
      <c r="C834">
        <v>23.844999999999999</v>
      </c>
      <c r="D834">
        <v>2</v>
      </c>
      <c r="E834" t="s">
        <v>11</v>
      </c>
      <c r="F834" t="s">
        <v>13</v>
      </c>
      <c r="G834">
        <v>4719.7365499999996</v>
      </c>
    </row>
    <row r="835" spans="1:7" x14ac:dyDescent="0.25">
      <c r="A835">
        <v>58</v>
      </c>
      <c r="B835" t="s">
        <v>10</v>
      </c>
      <c r="C835">
        <v>34.39</v>
      </c>
      <c r="D835">
        <v>0</v>
      </c>
      <c r="E835" t="s">
        <v>11</v>
      </c>
      <c r="F835" t="s">
        <v>13</v>
      </c>
      <c r="G835">
        <v>11743.9341</v>
      </c>
    </row>
    <row r="836" spans="1:7" x14ac:dyDescent="0.25">
      <c r="A836">
        <v>36</v>
      </c>
      <c r="B836" t="s">
        <v>10</v>
      </c>
      <c r="C836">
        <v>33.82</v>
      </c>
      <c r="D836">
        <v>1</v>
      </c>
      <c r="E836" t="s">
        <v>11</v>
      </c>
      <c r="F836" t="s">
        <v>13</v>
      </c>
      <c r="G836">
        <v>5377.4578000000001</v>
      </c>
    </row>
    <row r="837" spans="1:7" x14ac:dyDescent="0.25">
      <c r="A837">
        <v>42</v>
      </c>
      <c r="B837" t="s">
        <v>10</v>
      </c>
      <c r="C837">
        <v>35.97</v>
      </c>
      <c r="D837">
        <v>2</v>
      </c>
      <c r="E837" t="s">
        <v>11</v>
      </c>
      <c r="F837" t="s">
        <v>12</v>
      </c>
      <c r="G837">
        <v>7160.3302999999996</v>
      </c>
    </row>
    <row r="838" spans="1:7" x14ac:dyDescent="0.25">
      <c r="A838">
        <v>36</v>
      </c>
      <c r="B838" t="s">
        <v>10</v>
      </c>
      <c r="C838">
        <v>31.5</v>
      </c>
      <c r="D838">
        <v>0</v>
      </c>
      <c r="E838" t="s">
        <v>11</v>
      </c>
      <c r="F838" t="s">
        <v>9</v>
      </c>
      <c r="G838">
        <v>4402.2330000000002</v>
      </c>
    </row>
    <row r="839" spans="1:7" x14ac:dyDescent="0.25">
      <c r="A839">
        <v>56</v>
      </c>
      <c r="B839" t="s">
        <v>7</v>
      </c>
      <c r="C839">
        <v>28.31</v>
      </c>
      <c r="D839">
        <v>0</v>
      </c>
      <c r="E839" t="s">
        <v>11</v>
      </c>
      <c r="F839" t="s">
        <v>14</v>
      </c>
      <c r="G839">
        <v>11657.7189</v>
      </c>
    </row>
    <row r="840" spans="1:7" x14ac:dyDescent="0.25">
      <c r="A840">
        <v>35</v>
      </c>
      <c r="B840" t="s">
        <v>7</v>
      </c>
      <c r="C840">
        <v>23.465</v>
      </c>
      <c r="D840">
        <v>2</v>
      </c>
      <c r="E840" t="s">
        <v>11</v>
      </c>
      <c r="F840" t="s">
        <v>14</v>
      </c>
      <c r="G840">
        <v>6402.2913500000004</v>
      </c>
    </row>
    <row r="841" spans="1:7" x14ac:dyDescent="0.25">
      <c r="A841">
        <v>59</v>
      </c>
      <c r="B841" t="s">
        <v>7</v>
      </c>
      <c r="C841">
        <v>31.35</v>
      </c>
      <c r="D841">
        <v>0</v>
      </c>
      <c r="E841" t="s">
        <v>11</v>
      </c>
      <c r="F841" t="s">
        <v>13</v>
      </c>
      <c r="G841">
        <v>12622.1795</v>
      </c>
    </row>
    <row r="842" spans="1:7" x14ac:dyDescent="0.25">
      <c r="A842">
        <v>21</v>
      </c>
      <c r="B842" t="s">
        <v>10</v>
      </c>
      <c r="C842">
        <v>31.1</v>
      </c>
      <c r="D842">
        <v>0</v>
      </c>
      <c r="E842" t="s">
        <v>11</v>
      </c>
      <c r="F842" t="s">
        <v>9</v>
      </c>
      <c r="G842">
        <v>1526.3119999999999</v>
      </c>
    </row>
    <row r="843" spans="1:7" x14ac:dyDescent="0.25">
      <c r="A843">
        <v>59</v>
      </c>
      <c r="B843" t="s">
        <v>10</v>
      </c>
      <c r="C843">
        <v>24.7</v>
      </c>
      <c r="D843">
        <v>0</v>
      </c>
      <c r="E843" t="s">
        <v>11</v>
      </c>
      <c r="F843" t="s">
        <v>14</v>
      </c>
      <c r="G843">
        <v>12323.936</v>
      </c>
    </row>
    <row r="844" spans="1:7" x14ac:dyDescent="0.25">
      <c r="A844">
        <v>23</v>
      </c>
      <c r="B844" t="s">
        <v>7</v>
      </c>
      <c r="C844">
        <v>32.78</v>
      </c>
      <c r="D844">
        <v>2</v>
      </c>
      <c r="E844" t="s">
        <v>8</v>
      </c>
      <c r="F844" t="s">
        <v>12</v>
      </c>
      <c r="G844">
        <v>36021.011200000001</v>
      </c>
    </row>
    <row r="845" spans="1:7" x14ac:dyDescent="0.25">
      <c r="A845">
        <v>57</v>
      </c>
      <c r="B845" t="s">
        <v>7</v>
      </c>
      <c r="C845">
        <v>29.81</v>
      </c>
      <c r="D845">
        <v>0</v>
      </c>
      <c r="E845" t="s">
        <v>8</v>
      </c>
      <c r="F845" t="s">
        <v>12</v>
      </c>
      <c r="G845">
        <v>27533.912899999999</v>
      </c>
    </row>
    <row r="846" spans="1:7" x14ac:dyDescent="0.25">
      <c r="A846">
        <v>53</v>
      </c>
      <c r="B846" t="s">
        <v>10</v>
      </c>
      <c r="C846">
        <v>30.495000000000001</v>
      </c>
      <c r="D846">
        <v>0</v>
      </c>
      <c r="E846" t="s">
        <v>11</v>
      </c>
      <c r="F846" t="s">
        <v>14</v>
      </c>
      <c r="G846">
        <v>10072.055050000001</v>
      </c>
    </row>
    <row r="847" spans="1:7" x14ac:dyDescent="0.25">
      <c r="A847">
        <v>60</v>
      </c>
      <c r="B847" t="s">
        <v>7</v>
      </c>
      <c r="C847">
        <v>32.450000000000003</v>
      </c>
      <c r="D847">
        <v>0</v>
      </c>
      <c r="E847" t="s">
        <v>8</v>
      </c>
      <c r="F847" t="s">
        <v>12</v>
      </c>
      <c r="G847">
        <v>45008.955499999996</v>
      </c>
    </row>
    <row r="848" spans="1:7" x14ac:dyDescent="0.25">
      <c r="A848">
        <v>51</v>
      </c>
      <c r="B848" t="s">
        <v>7</v>
      </c>
      <c r="C848">
        <v>34.200000000000003</v>
      </c>
      <c r="D848">
        <v>1</v>
      </c>
      <c r="E848" t="s">
        <v>11</v>
      </c>
      <c r="F848" t="s">
        <v>9</v>
      </c>
      <c r="G848">
        <v>9872.7009999999991</v>
      </c>
    </row>
    <row r="849" spans="1:7" x14ac:dyDescent="0.25">
      <c r="A849">
        <v>23</v>
      </c>
      <c r="B849" t="s">
        <v>10</v>
      </c>
      <c r="C849">
        <v>50.38</v>
      </c>
      <c r="D849">
        <v>1</v>
      </c>
      <c r="E849" t="s">
        <v>11</v>
      </c>
      <c r="F849" t="s">
        <v>12</v>
      </c>
      <c r="G849">
        <v>2438.0551999999998</v>
      </c>
    </row>
    <row r="850" spans="1:7" x14ac:dyDescent="0.25">
      <c r="A850">
        <v>27</v>
      </c>
      <c r="B850" t="s">
        <v>7</v>
      </c>
      <c r="C850">
        <v>24.1</v>
      </c>
      <c r="D850">
        <v>0</v>
      </c>
      <c r="E850" t="s">
        <v>11</v>
      </c>
      <c r="F850" t="s">
        <v>9</v>
      </c>
      <c r="G850">
        <v>2974.1260000000002</v>
      </c>
    </row>
    <row r="851" spans="1:7" x14ac:dyDescent="0.25">
      <c r="A851">
        <v>55</v>
      </c>
      <c r="B851" t="s">
        <v>10</v>
      </c>
      <c r="C851">
        <v>32.774999999999999</v>
      </c>
      <c r="D851">
        <v>0</v>
      </c>
      <c r="E851" t="s">
        <v>11</v>
      </c>
      <c r="F851" t="s">
        <v>13</v>
      </c>
      <c r="G851">
        <v>10601.632250000001</v>
      </c>
    </row>
    <row r="852" spans="1:7" x14ac:dyDescent="0.25">
      <c r="A852">
        <v>37</v>
      </c>
      <c r="B852" t="s">
        <v>7</v>
      </c>
      <c r="C852">
        <v>30.78</v>
      </c>
      <c r="D852">
        <v>0</v>
      </c>
      <c r="E852" t="s">
        <v>8</v>
      </c>
      <c r="F852" t="s">
        <v>14</v>
      </c>
      <c r="G852">
        <v>37270.1512</v>
      </c>
    </row>
    <row r="853" spans="1:7" x14ac:dyDescent="0.25">
      <c r="A853">
        <v>61</v>
      </c>
      <c r="B853" t="s">
        <v>10</v>
      </c>
      <c r="C853">
        <v>32.299999999999997</v>
      </c>
      <c r="D853">
        <v>2</v>
      </c>
      <c r="E853" t="s">
        <v>11</v>
      </c>
      <c r="F853" t="s">
        <v>13</v>
      </c>
      <c r="G853">
        <v>14119.62</v>
      </c>
    </row>
    <row r="854" spans="1:7" x14ac:dyDescent="0.25">
      <c r="A854">
        <v>46</v>
      </c>
      <c r="B854" t="s">
        <v>7</v>
      </c>
      <c r="C854">
        <v>35.53</v>
      </c>
      <c r="D854">
        <v>0</v>
      </c>
      <c r="E854" t="s">
        <v>8</v>
      </c>
      <c r="F854" t="s">
        <v>14</v>
      </c>
      <c r="G854">
        <v>42111.664700000001</v>
      </c>
    </row>
    <row r="855" spans="1:7" x14ac:dyDescent="0.25">
      <c r="A855">
        <v>53</v>
      </c>
      <c r="B855" t="s">
        <v>7</v>
      </c>
      <c r="C855">
        <v>23.75</v>
      </c>
      <c r="D855">
        <v>2</v>
      </c>
      <c r="E855" t="s">
        <v>11</v>
      </c>
      <c r="F855" t="s">
        <v>14</v>
      </c>
      <c r="G855">
        <v>11729.6795</v>
      </c>
    </row>
    <row r="856" spans="1:7" x14ac:dyDescent="0.25">
      <c r="A856">
        <v>49</v>
      </c>
      <c r="B856" t="s">
        <v>7</v>
      </c>
      <c r="C856">
        <v>23.844999999999999</v>
      </c>
      <c r="D856">
        <v>3</v>
      </c>
      <c r="E856" t="s">
        <v>8</v>
      </c>
      <c r="F856" t="s">
        <v>14</v>
      </c>
      <c r="G856">
        <v>24106.912550000001</v>
      </c>
    </row>
    <row r="857" spans="1:7" x14ac:dyDescent="0.25">
      <c r="A857">
        <v>20</v>
      </c>
      <c r="B857" t="s">
        <v>7</v>
      </c>
      <c r="C857">
        <v>29.6</v>
      </c>
      <c r="D857">
        <v>0</v>
      </c>
      <c r="E857" t="s">
        <v>11</v>
      </c>
      <c r="F857" t="s">
        <v>9</v>
      </c>
      <c r="G857">
        <v>1875.3440000000001</v>
      </c>
    </row>
    <row r="858" spans="1:7" x14ac:dyDescent="0.25">
      <c r="A858">
        <v>48</v>
      </c>
      <c r="B858" t="s">
        <v>7</v>
      </c>
      <c r="C858">
        <v>33.11</v>
      </c>
      <c r="D858">
        <v>0</v>
      </c>
      <c r="E858" t="s">
        <v>8</v>
      </c>
      <c r="F858" t="s">
        <v>12</v>
      </c>
      <c r="G858">
        <v>40974.164900000003</v>
      </c>
    </row>
    <row r="859" spans="1:7" x14ac:dyDescent="0.25">
      <c r="A859">
        <v>25</v>
      </c>
      <c r="B859" t="s">
        <v>10</v>
      </c>
      <c r="C859">
        <v>24.13</v>
      </c>
      <c r="D859">
        <v>0</v>
      </c>
      <c r="E859" t="s">
        <v>8</v>
      </c>
      <c r="F859" t="s">
        <v>13</v>
      </c>
      <c r="G859">
        <v>15817.985699999999</v>
      </c>
    </row>
    <row r="860" spans="1:7" x14ac:dyDescent="0.25">
      <c r="A860">
        <v>25</v>
      </c>
      <c r="B860" t="s">
        <v>7</v>
      </c>
      <c r="C860">
        <v>32.229999999999997</v>
      </c>
      <c r="D860">
        <v>1</v>
      </c>
      <c r="E860" t="s">
        <v>11</v>
      </c>
      <c r="F860" t="s">
        <v>12</v>
      </c>
      <c r="G860">
        <v>18218.161390000001</v>
      </c>
    </row>
    <row r="861" spans="1:7" x14ac:dyDescent="0.25">
      <c r="A861">
        <v>57</v>
      </c>
      <c r="B861" t="s">
        <v>10</v>
      </c>
      <c r="C861">
        <v>28.1</v>
      </c>
      <c r="D861">
        <v>0</v>
      </c>
      <c r="E861" t="s">
        <v>11</v>
      </c>
      <c r="F861" t="s">
        <v>9</v>
      </c>
      <c r="G861">
        <v>10965.446</v>
      </c>
    </row>
    <row r="862" spans="1:7" x14ac:dyDescent="0.25">
      <c r="A862">
        <v>37</v>
      </c>
      <c r="B862" t="s">
        <v>7</v>
      </c>
      <c r="C862">
        <v>47.6</v>
      </c>
      <c r="D862">
        <v>2</v>
      </c>
      <c r="E862" t="s">
        <v>8</v>
      </c>
      <c r="F862" t="s">
        <v>9</v>
      </c>
      <c r="G862">
        <v>46113.510999999999</v>
      </c>
    </row>
    <row r="863" spans="1:7" x14ac:dyDescent="0.25">
      <c r="A863">
        <v>38</v>
      </c>
      <c r="B863" t="s">
        <v>7</v>
      </c>
      <c r="C863">
        <v>28</v>
      </c>
      <c r="D863">
        <v>3</v>
      </c>
      <c r="E863" t="s">
        <v>11</v>
      </c>
      <c r="F863" t="s">
        <v>9</v>
      </c>
      <c r="G863">
        <v>7151.0919999999996</v>
      </c>
    </row>
    <row r="864" spans="1:7" x14ac:dyDescent="0.25">
      <c r="A864">
        <v>55</v>
      </c>
      <c r="B864" t="s">
        <v>7</v>
      </c>
      <c r="C864">
        <v>33.534999999999997</v>
      </c>
      <c r="D864">
        <v>2</v>
      </c>
      <c r="E864" t="s">
        <v>11</v>
      </c>
      <c r="F864" t="s">
        <v>13</v>
      </c>
      <c r="G864">
        <v>12269.68865</v>
      </c>
    </row>
    <row r="865" spans="1:7" x14ac:dyDescent="0.25">
      <c r="A865">
        <v>36</v>
      </c>
      <c r="B865" t="s">
        <v>7</v>
      </c>
      <c r="C865">
        <v>19.855</v>
      </c>
      <c r="D865">
        <v>0</v>
      </c>
      <c r="E865" t="s">
        <v>11</v>
      </c>
      <c r="F865" t="s">
        <v>14</v>
      </c>
      <c r="G865">
        <v>5458.0464499999998</v>
      </c>
    </row>
    <row r="866" spans="1:7" x14ac:dyDescent="0.25">
      <c r="A866">
        <v>51</v>
      </c>
      <c r="B866" t="s">
        <v>10</v>
      </c>
      <c r="C866">
        <v>25.4</v>
      </c>
      <c r="D866">
        <v>0</v>
      </c>
      <c r="E866" t="s">
        <v>11</v>
      </c>
      <c r="F866" t="s">
        <v>9</v>
      </c>
      <c r="G866">
        <v>8782.4689999999991</v>
      </c>
    </row>
    <row r="867" spans="1:7" x14ac:dyDescent="0.25">
      <c r="A867">
        <v>40</v>
      </c>
      <c r="B867" t="s">
        <v>10</v>
      </c>
      <c r="C867">
        <v>29.9</v>
      </c>
      <c r="D867">
        <v>2</v>
      </c>
      <c r="E867" t="s">
        <v>11</v>
      </c>
      <c r="F867" t="s">
        <v>9</v>
      </c>
      <c r="G867">
        <v>6600.3609999999999</v>
      </c>
    </row>
    <row r="868" spans="1:7" x14ac:dyDescent="0.25">
      <c r="A868">
        <v>18</v>
      </c>
      <c r="B868" t="s">
        <v>10</v>
      </c>
      <c r="C868">
        <v>37.29</v>
      </c>
      <c r="D868">
        <v>0</v>
      </c>
      <c r="E868" t="s">
        <v>11</v>
      </c>
      <c r="F868" t="s">
        <v>12</v>
      </c>
      <c r="G868">
        <v>1141.4450999999999</v>
      </c>
    </row>
    <row r="869" spans="1:7" x14ac:dyDescent="0.25">
      <c r="A869">
        <v>57</v>
      </c>
      <c r="B869" t="s">
        <v>10</v>
      </c>
      <c r="C869">
        <v>43.7</v>
      </c>
      <c r="D869">
        <v>1</v>
      </c>
      <c r="E869" t="s">
        <v>11</v>
      </c>
      <c r="F869" t="s">
        <v>9</v>
      </c>
      <c r="G869">
        <v>11576.13</v>
      </c>
    </row>
    <row r="870" spans="1:7" x14ac:dyDescent="0.25">
      <c r="A870">
        <v>61</v>
      </c>
      <c r="B870" t="s">
        <v>10</v>
      </c>
      <c r="C870">
        <v>23.655000000000001</v>
      </c>
      <c r="D870">
        <v>0</v>
      </c>
      <c r="E870" t="s">
        <v>11</v>
      </c>
      <c r="F870" t="s">
        <v>14</v>
      </c>
      <c r="G870">
        <v>13129.603450000001</v>
      </c>
    </row>
    <row r="871" spans="1:7" x14ac:dyDescent="0.25">
      <c r="A871">
        <v>25</v>
      </c>
      <c r="B871" t="s">
        <v>7</v>
      </c>
      <c r="C871">
        <v>24.3</v>
      </c>
      <c r="D871">
        <v>3</v>
      </c>
      <c r="E871" t="s">
        <v>11</v>
      </c>
      <c r="F871" t="s">
        <v>9</v>
      </c>
      <c r="G871">
        <v>4391.652</v>
      </c>
    </row>
    <row r="872" spans="1:7" x14ac:dyDescent="0.25">
      <c r="A872">
        <v>50</v>
      </c>
      <c r="B872" t="s">
        <v>10</v>
      </c>
      <c r="C872">
        <v>36.200000000000003</v>
      </c>
      <c r="D872">
        <v>0</v>
      </c>
      <c r="E872" t="s">
        <v>11</v>
      </c>
      <c r="F872" t="s">
        <v>9</v>
      </c>
      <c r="G872">
        <v>8457.8179999999993</v>
      </c>
    </row>
    <row r="873" spans="1:7" x14ac:dyDescent="0.25">
      <c r="A873">
        <v>26</v>
      </c>
      <c r="B873" t="s">
        <v>7</v>
      </c>
      <c r="C873">
        <v>29.48</v>
      </c>
      <c r="D873">
        <v>1</v>
      </c>
      <c r="E873" t="s">
        <v>11</v>
      </c>
      <c r="F873" t="s">
        <v>12</v>
      </c>
      <c r="G873">
        <v>3392.3652000000002</v>
      </c>
    </row>
    <row r="874" spans="1:7" x14ac:dyDescent="0.25">
      <c r="A874">
        <v>42</v>
      </c>
      <c r="B874" t="s">
        <v>10</v>
      </c>
      <c r="C874">
        <v>24.86</v>
      </c>
      <c r="D874">
        <v>0</v>
      </c>
      <c r="E874" t="s">
        <v>11</v>
      </c>
      <c r="F874" t="s">
        <v>12</v>
      </c>
      <c r="G874">
        <v>5966.8873999999996</v>
      </c>
    </row>
    <row r="875" spans="1:7" x14ac:dyDescent="0.25">
      <c r="A875">
        <v>43</v>
      </c>
      <c r="B875" t="s">
        <v>10</v>
      </c>
      <c r="C875">
        <v>30.1</v>
      </c>
      <c r="D875">
        <v>1</v>
      </c>
      <c r="E875" t="s">
        <v>11</v>
      </c>
      <c r="F875" t="s">
        <v>9</v>
      </c>
      <c r="G875">
        <v>6849.0259999999998</v>
      </c>
    </row>
    <row r="876" spans="1:7" x14ac:dyDescent="0.25">
      <c r="A876">
        <v>44</v>
      </c>
      <c r="B876" t="s">
        <v>10</v>
      </c>
      <c r="C876">
        <v>21.85</v>
      </c>
      <c r="D876">
        <v>3</v>
      </c>
      <c r="E876" t="s">
        <v>11</v>
      </c>
      <c r="F876" t="s">
        <v>14</v>
      </c>
      <c r="G876">
        <v>8891.1394999999993</v>
      </c>
    </row>
    <row r="877" spans="1:7" x14ac:dyDescent="0.25">
      <c r="A877">
        <v>23</v>
      </c>
      <c r="B877" t="s">
        <v>7</v>
      </c>
      <c r="C877">
        <v>28.12</v>
      </c>
      <c r="D877">
        <v>0</v>
      </c>
      <c r="E877" t="s">
        <v>11</v>
      </c>
      <c r="F877" t="s">
        <v>13</v>
      </c>
      <c r="G877">
        <v>2690.1138000000001</v>
      </c>
    </row>
    <row r="878" spans="1:7" x14ac:dyDescent="0.25">
      <c r="A878">
        <v>49</v>
      </c>
      <c r="B878" t="s">
        <v>7</v>
      </c>
      <c r="C878">
        <v>27.1</v>
      </c>
      <c r="D878">
        <v>1</v>
      </c>
      <c r="E878" t="s">
        <v>11</v>
      </c>
      <c r="F878" t="s">
        <v>9</v>
      </c>
      <c r="G878">
        <v>26140.3603</v>
      </c>
    </row>
    <row r="879" spans="1:7" x14ac:dyDescent="0.25">
      <c r="A879">
        <v>33</v>
      </c>
      <c r="B879" t="s">
        <v>10</v>
      </c>
      <c r="C879">
        <v>33.44</v>
      </c>
      <c r="D879">
        <v>5</v>
      </c>
      <c r="E879" t="s">
        <v>11</v>
      </c>
      <c r="F879" t="s">
        <v>12</v>
      </c>
      <c r="G879">
        <v>6653.7885999999999</v>
      </c>
    </row>
    <row r="880" spans="1:7" x14ac:dyDescent="0.25">
      <c r="A880">
        <v>41</v>
      </c>
      <c r="B880" t="s">
        <v>10</v>
      </c>
      <c r="C880">
        <v>28.8</v>
      </c>
      <c r="D880">
        <v>1</v>
      </c>
      <c r="E880" t="s">
        <v>11</v>
      </c>
      <c r="F880" t="s">
        <v>9</v>
      </c>
      <c r="G880">
        <v>6282.2349999999997</v>
      </c>
    </row>
    <row r="881" spans="1:7" x14ac:dyDescent="0.25">
      <c r="A881">
        <v>37</v>
      </c>
      <c r="B881" t="s">
        <v>7</v>
      </c>
      <c r="C881">
        <v>29.5</v>
      </c>
      <c r="D881">
        <v>2</v>
      </c>
      <c r="E881" t="s">
        <v>11</v>
      </c>
      <c r="F881" t="s">
        <v>9</v>
      </c>
      <c r="G881">
        <v>6311.9520000000002</v>
      </c>
    </row>
    <row r="882" spans="1:7" x14ac:dyDescent="0.25">
      <c r="A882">
        <v>22</v>
      </c>
      <c r="B882" t="s">
        <v>10</v>
      </c>
      <c r="C882">
        <v>34.799999999999997</v>
      </c>
      <c r="D882">
        <v>3</v>
      </c>
      <c r="E882" t="s">
        <v>11</v>
      </c>
      <c r="F882" t="s">
        <v>9</v>
      </c>
      <c r="G882">
        <v>3443.0639999999999</v>
      </c>
    </row>
    <row r="883" spans="1:7" x14ac:dyDescent="0.25">
      <c r="A883">
        <v>23</v>
      </c>
      <c r="B883" t="s">
        <v>10</v>
      </c>
      <c r="C883">
        <v>27.36</v>
      </c>
      <c r="D883">
        <v>1</v>
      </c>
      <c r="E883" t="s">
        <v>11</v>
      </c>
      <c r="F883" t="s">
        <v>13</v>
      </c>
      <c r="G883">
        <v>2789.0574000000001</v>
      </c>
    </row>
    <row r="884" spans="1:7" x14ac:dyDescent="0.25">
      <c r="A884">
        <v>21</v>
      </c>
      <c r="B884" t="s">
        <v>7</v>
      </c>
      <c r="C884">
        <v>22.135000000000002</v>
      </c>
      <c r="D884">
        <v>0</v>
      </c>
      <c r="E884" t="s">
        <v>11</v>
      </c>
      <c r="F884" t="s">
        <v>14</v>
      </c>
      <c r="G884">
        <v>2585.8506499999999</v>
      </c>
    </row>
    <row r="885" spans="1:7" x14ac:dyDescent="0.25">
      <c r="A885">
        <v>51</v>
      </c>
      <c r="B885" t="s">
        <v>7</v>
      </c>
      <c r="C885">
        <v>37.049999999999997</v>
      </c>
      <c r="D885">
        <v>3</v>
      </c>
      <c r="E885" t="s">
        <v>8</v>
      </c>
      <c r="F885" t="s">
        <v>14</v>
      </c>
      <c r="G885">
        <v>46255.112500000003</v>
      </c>
    </row>
    <row r="886" spans="1:7" x14ac:dyDescent="0.25">
      <c r="A886">
        <v>25</v>
      </c>
      <c r="B886" t="s">
        <v>10</v>
      </c>
      <c r="C886">
        <v>26.695</v>
      </c>
      <c r="D886">
        <v>4</v>
      </c>
      <c r="E886" t="s">
        <v>11</v>
      </c>
      <c r="F886" t="s">
        <v>13</v>
      </c>
      <c r="G886">
        <v>4877.9810500000003</v>
      </c>
    </row>
    <row r="887" spans="1:7" x14ac:dyDescent="0.25">
      <c r="A887">
        <v>32</v>
      </c>
      <c r="B887" t="s">
        <v>10</v>
      </c>
      <c r="C887">
        <v>28.93</v>
      </c>
      <c r="D887">
        <v>1</v>
      </c>
      <c r="E887" t="s">
        <v>8</v>
      </c>
      <c r="F887" t="s">
        <v>12</v>
      </c>
      <c r="G887">
        <v>19719.6947</v>
      </c>
    </row>
    <row r="888" spans="1:7" x14ac:dyDescent="0.25">
      <c r="A888">
        <v>57</v>
      </c>
      <c r="B888" t="s">
        <v>10</v>
      </c>
      <c r="C888">
        <v>28.975000000000001</v>
      </c>
      <c r="D888">
        <v>0</v>
      </c>
      <c r="E888" t="s">
        <v>8</v>
      </c>
      <c r="F888" t="s">
        <v>14</v>
      </c>
      <c r="G888">
        <v>27218.437249999999</v>
      </c>
    </row>
    <row r="889" spans="1:7" x14ac:dyDescent="0.25">
      <c r="A889">
        <v>36</v>
      </c>
      <c r="B889" t="s">
        <v>7</v>
      </c>
      <c r="C889">
        <v>30.02</v>
      </c>
      <c r="D889">
        <v>0</v>
      </c>
      <c r="E889" t="s">
        <v>11</v>
      </c>
      <c r="F889" t="s">
        <v>13</v>
      </c>
      <c r="G889">
        <v>5272.1758</v>
      </c>
    </row>
    <row r="890" spans="1:7" x14ac:dyDescent="0.25">
      <c r="A890">
        <v>22</v>
      </c>
      <c r="B890" t="s">
        <v>10</v>
      </c>
      <c r="C890">
        <v>39.5</v>
      </c>
      <c r="D890">
        <v>0</v>
      </c>
      <c r="E890" t="s">
        <v>11</v>
      </c>
      <c r="F890" t="s">
        <v>9</v>
      </c>
      <c r="G890">
        <v>1682.597</v>
      </c>
    </row>
    <row r="891" spans="1:7" x14ac:dyDescent="0.25">
      <c r="A891">
        <v>57</v>
      </c>
      <c r="B891" t="s">
        <v>10</v>
      </c>
      <c r="C891">
        <v>33.630000000000003</v>
      </c>
      <c r="D891">
        <v>1</v>
      </c>
      <c r="E891" t="s">
        <v>11</v>
      </c>
      <c r="F891" t="s">
        <v>13</v>
      </c>
      <c r="G891">
        <v>11945.1327</v>
      </c>
    </row>
    <row r="892" spans="1:7" x14ac:dyDescent="0.25">
      <c r="A892">
        <v>64</v>
      </c>
      <c r="B892" t="s">
        <v>7</v>
      </c>
      <c r="C892">
        <v>26.885000000000002</v>
      </c>
      <c r="D892">
        <v>0</v>
      </c>
      <c r="E892" t="s">
        <v>8</v>
      </c>
      <c r="F892" t="s">
        <v>13</v>
      </c>
      <c r="G892">
        <v>29330.98315</v>
      </c>
    </row>
    <row r="893" spans="1:7" x14ac:dyDescent="0.25">
      <c r="A893">
        <v>36</v>
      </c>
      <c r="B893" t="s">
        <v>7</v>
      </c>
      <c r="C893">
        <v>29.04</v>
      </c>
      <c r="D893">
        <v>4</v>
      </c>
      <c r="E893" t="s">
        <v>11</v>
      </c>
      <c r="F893" t="s">
        <v>12</v>
      </c>
      <c r="G893">
        <v>7243.8136000000004</v>
      </c>
    </row>
    <row r="894" spans="1:7" x14ac:dyDescent="0.25">
      <c r="A894">
        <v>54</v>
      </c>
      <c r="B894" t="s">
        <v>10</v>
      </c>
      <c r="C894">
        <v>24.035</v>
      </c>
      <c r="D894">
        <v>0</v>
      </c>
      <c r="E894" t="s">
        <v>11</v>
      </c>
      <c r="F894" t="s">
        <v>14</v>
      </c>
      <c r="G894">
        <v>10422.916649999999</v>
      </c>
    </row>
    <row r="895" spans="1:7" x14ac:dyDescent="0.25">
      <c r="A895">
        <v>47</v>
      </c>
      <c r="B895" t="s">
        <v>10</v>
      </c>
      <c r="C895">
        <v>38.94</v>
      </c>
      <c r="D895">
        <v>2</v>
      </c>
      <c r="E895" t="s">
        <v>8</v>
      </c>
      <c r="F895" t="s">
        <v>12</v>
      </c>
      <c r="G895">
        <v>44202.653599999998</v>
      </c>
    </row>
    <row r="896" spans="1:7" x14ac:dyDescent="0.25">
      <c r="A896">
        <v>62</v>
      </c>
      <c r="B896" t="s">
        <v>10</v>
      </c>
      <c r="C896">
        <v>32.11</v>
      </c>
      <c r="D896">
        <v>0</v>
      </c>
      <c r="E896" t="s">
        <v>11</v>
      </c>
      <c r="F896" t="s">
        <v>14</v>
      </c>
      <c r="G896">
        <v>13555.0049</v>
      </c>
    </row>
    <row r="897" spans="1:7" x14ac:dyDescent="0.25">
      <c r="A897">
        <v>61</v>
      </c>
      <c r="B897" t="s">
        <v>7</v>
      </c>
      <c r="C897">
        <v>44</v>
      </c>
      <c r="D897">
        <v>0</v>
      </c>
      <c r="E897" t="s">
        <v>11</v>
      </c>
      <c r="F897" t="s">
        <v>9</v>
      </c>
      <c r="G897">
        <v>13063.883</v>
      </c>
    </row>
    <row r="898" spans="1:7" x14ac:dyDescent="0.25">
      <c r="A898">
        <v>43</v>
      </c>
      <c r="B898" t="s">
        <v>7</v>
      </c>
      <c r="C898">
        <v>20.045000000000002</v>
      </c>
      <c r="D898">
        <v>2</v>
      </c>
      <c r="E898" t="s">
        <v>8</v>
      </c>
      <c r="F898" t="s">
        <v>14</v>
      </c>
      <c r="G898">
        <v>19798.054550000001</v>
      </c>
    </row>
    <row r="899" spans="1:7" x14ac:dyDescent="0.25">
      <c r="A899">
        <v>19</v>
      </c>
      <c r="B899" t="s">
        <v>10</v>
      </c>
      <c r="C899">
        <v>25.555</v>
      </c>
      <c r="D899">
        <v>1</v>
      </c>
      <c r="E899" t="s">
        <v>11</v>
      </c>
      <c r="F899" t="s">
        <v>13</v>
      </c>
      <c r="G899">
        <v>2221.5644499999999</v>
      </c>
    </row>
    <row r="900" spans="1:7" x14ac:dyDescent="0.25">
      <c r="A900">
        <v>18</v>
      </c>
      <c r="B900" t="s">
        <v>7</v>
      </c>
      <c r="C900">
        <v>40.26</v>
      </c>
      <c r="D900">
        <v>0</v>
      </c>
      <c r="E900" t="s">
        <v>11</v>
      </c>
      <c r="F900" t="s">
        <v>12</v>
      </c>
      <c r="G900">
        <v>1634.5734</v>
      </c>
    </row>
    <row r="901" spans="1:7" x14ac:dyDescent="0.25">
      <c r="A901">
        <v>19</v>
      </c>
      <c r="B901" t="s">
        <v>7</v>
      </c>
      <c r="C901">
        <v>22.515000000000001</v>
      </c>
      <c r="D901">
        <v>0</v>
      </c>
      <c r="E901" t="s">
        <v>11</v>
      </c>
      <c r="F901" t="s">
        <v>13</v>
      </c>
      <c r="G901">
        <v>2117.3388500000001</v>
      </c>
    </row>
    <row r="902" spans="1:7" x14ac:dyDescent="0.25">
      <c r="A902">
        <v>49</v>
      </c>
      <c r="B902" t="s">
        <v>10</v>
      </c>
      <c r="C902">
        <v>22.515000000000001</v>
      </c>
      <c r="D902">
        <v>0</v>
      </c>
      <c r="E902" t="s">
        <v>11</v>
      </c>
      <c r="F902" t="s">
        <v>14</v>
      </c>
      <c r="G902">
        <v>8688.8588500000005</v>
      </c>
    </row>
    <row r="903" spans="1:7" x14ac:dyDescent="0.25">
      <c r="A903">
        <v>60</v>
      </c>
      <c r="B903" t="s">
        <v>10</v>
      </c>
      <c r="C903">
        <v>40.92</v>
      </c>
      <c r="D903">
        <v>0</v>
      </c>
      <c r="E903" t="s">
        <v>8</v>
      </c>
      <c r="F903" t="s">
        <v>12</v>
      </c>
      <c r="G903">
        <v>48673.558799999999</v>
      </c>
    </row>
    <row r="904" spans="1:7" x14ac:dyDescent="0.25">
      <c r="A904">
        <v>26</v>
      </c>
      <c r="B904" t="s">
        <v>10</v>
      </c>
      <c r="C904">
        <v>27.265000000000001</v>
      </c>
      <c r="D904">
        <v>3</v>
      </c>
      <c r="E904" t="s">
        <v>11</v>
      </c>
      <c r="F904" t="s">
        <v>14</v>
      </c>
      <c r="G904">
        <v>4661.2863500000003</v>
      </c>
    </row>
    <row r="905" spans="1:7" x14ac:dyDescent="0.25">
      <c r="A905">
        <v>49</v>
      </c>
      <c r="B905" t="s">
        <v>10</v>
      </c>
      <c r="C905">
        <v>36.85</v>
      </c>
      <c r="D905">
        <v>0</v>
      </c>
      <c r="E905" t="s">
        <v>11</v>
      </c>
      <c r="F905" t="s">
        <v>12</v>
      </c>
      <c r="G905">
        <v>8125.7844999999998</v>
      </c>
    </row>
    <row r="906" spans="1:7" x14ac:dyDescent="0.25">
      <c r="A906">
        <v>60</v>
      </c>
      <c r="B906" t="s">
        <v>7</v>
      </c>
      <c r="C906">
        <v>35.1</v>
      </c>
      <c r="D906">
        <v>0</v>
      </c>
      <c r="E906" t="s">
        <v>11</v>
      </c>
      <c r="F906" t="s">
        <v>9</v>
      </c>
      <c r="G906">
        <v>12644.589</v>
      </c>
    </row>
    <row r="907" spans="1:7" x14ac:dyDescent="0.25">
      <c r="A907">
        <v>26</v>
      </c>
      <c r="B907" t="s">
        <v>7</v>
      </c>
      <c r="C907">
        <v>29.355</v>
      </c>
      <c r="D907">
        <v>2</v>
      </c>
      <c r="E907" t="s">
        <v>11</v>
      </c>
      <c r="F907" t="s">
        <v>14</v>
      </c>
      <c r="G907">
        <v>4564.1914500000003</v>
      </c>
    </row>
    <row r="908" spans="1:7" x14ac:dyDescent="0.25">
      <c r="A908">
        <v>27</v>
      </c>
      <c r="B908" t="s">
        <v>10</v>
      </c>
      <c r="C908">
        <v>32.585000000000001</v>
      </c>
      <c r="D908">
        <v>3</v>
      </c>
      <c r="E908" t="s">
        <v>11</v>
      </c>
      <c r="F908" t="s">
        <v>14</v>
      </c>
      <c r="G908">
        <v>4846.9201499999999</v>
      </c>
    </row>
    <row r="909" spans="1:7" x14ac:dyDescent="0.25">
      <c r="A909">
        <v>44</v>
      </c>
      <c r="B909" t="s">
        <v>7</v>
      </c>
      <c r="C909">
        <v>32.340000000000003</v>
      </c>
      <c r="D909">
        <v>1</v>
      </c>
      <c r="E909" t="s">
        <v>11</v>
      </c>
      <c r="F909" t="s">
        <v>12</v>
      </c>
      <c r="G909">
        <v>7633.7205999999996</v>
      </c>
    </row>
    <row r="910" spans="1:7" x14ac:dyDescent="0.25">
      <c r="A910">
        <v>63</v>
      </c>
      <c r="B910" t="s">
        <v>10</v>
      </c>
      <c r="C910">
        <v>39.799999999999997</v>
      </c>
      <c r="D910">
        <v>3</v>
      </c>
      <c r="E910" t="s">
        <v>11</v>
      </c>
      <c r="F910" t="s">
        <v>9</v>
      </c>
      <c r="G910">
        <v>15170.069</v>
      </c>
    </row>
    <row r="911" spans="1:7" x14ac:dyDescent="0.25">
      <c r="A911">
        <v>32</v>
      </c>
      <c r="B911" t="s">
        <v>7</v>
      </c>
      <c r="C911">
        <v>24.6</v>
      </c>
      <c r="D911">
        <v>0</v>
      </c>
      <c r="E911" t="s">
        <v>8</v>
      </c>
      <c r="F911" t="s">
        <v>9</v>
      </c>
      <c r="G911">
        <v>17496.306</v>
      </c>
    </row>
    <row r="912" spans="1:7" x14ac:dyDescent="0.25">
      <c r="A912">
        <v>22</v>
      </c>
      <c r="B912" t="s">
        <v>10</v>
      </c>
      <c r="C912">
        <v>28.31</v>
      </c>
      <c r="D912">
        <v>1</v>
      </c>
      <c r="E912" t="s">
        <v>11</v>
      </c>
      <c r="F912" t="s">
        <v>13</v>
      </c>
      <c r="G912">
        <v>2639.0428999999999</v>
      </c>
    </row>
    <row r="913" spans="1:7" x14ac:dyDescent="0.25">
      <c r="A913">
        <v>18</v>
      </c>
      <c r="B913" t="s">
        <v>10</v>
      </c>
      <c r="C913">
        <v>31.73</v>
      </c>
      <c r="D913">
        <v>0</v>
      </c>
      <c r="E913" t="s">
        <v>8</v>
      </c>
      <c r="F913" t="s">
        <v>14</v>
      </c>
      <c r="G913">
        <v>33732.686699999998</v>
      </c>
    </row>
    <row r="914" spans="1:7" x14ac:dyDescent="0.25">
      <c r="A914">
        <v>59</v>
      </c>
      <c r="B914" t="s">
        <v>7</v>
      </c>
      <c r="C914">
        <v>26.695</v>
      </c>
      <c r="D914">
        <v>3</v>
      </c>
      <c r="E914" t="s">
        <v>11</v>
      </c>
      <c r="F914" t="s">
        <v>13</v>
      </c>
      <c r="G914">
        <v>14382.709049999999</v>
      </c>
    </row>
    <row r="915" spans="1:7" x14ac:dyDescent="0.25">
      <c r="A915">
        <v>44</v>
      </c>
      <c r="B915" t="s">
        <v>7</v>
      </c>
      <c r="C915">
        <v>27.5</v>
      </c>
      <c r="D915">
        <v>1</v>
      </c>
      <c r="E915" t="s">
        <v>11</v>
      </c>
      <c r="F915" t="s">
        <v>9</v>
      </c>
      <c r="G915">
        <v>7626.9930000000004</v>
      </c>
    </row>
    <row r="916" spans="1:7" x14ac:dyDescent="0.25">
      <c r="A916">
        <v>33</v>
      </c>
      <c r="B916" t="s">
        <v>10</v>
      </c>
      <c r="C916">
        <v>24.605</v>
      </c>
      <c r="D916">
        <v>2</v>
      </c>
      <c r="E916" t="s">
        <v>11</v>
      </c>
      <c r="F916" t="s">
        <v>13</v>
      </c>
      <c r="G916">
        <v>5257.5079500000002</v>
      </c>
    </row>
    <row r="917" spans="1:7" x14ac:dyDescent="0.25">
      <c r="A917">
        <v>24</v>
      </c>
      <c r="B917" t="s">
        <v>7</v>
      </c>
      <c r="C917">
        <v>33.99</v>
      </c>
      <c r="D917">
        <v>0</v>
      </c>
      <c r="E917" t="s">
        <v>11</v>
      </c>
      <c r="F917" t="s">
        <v>12</v>
      </c>
      <c r="G917">
        <v>2473.3341</v>
      </c>
    </row>
    <row r="918" spans="1:7" x14ac:dyDescent="0.25">
      <c r="A918">
        <v>43</v>
      </c>
      <c r="B918" t="s">
        <v>7</v>
      </c>
      <c r="C918">
        <v>26.885000000000002</v>
      </c>
      <c r="D918">
        <v>0</v>
      </c>
      <c r="E918" t="s">
        <v>8</v>
      </c>
      <c r="F918" t="s">
        <v>13</v>
      </c>
      <c r="G918">
        <v>21774.32215</v>
      </c>
    </row>
    <row r="919" spans="1:7" x14ac:dyDescent="0.25">
      <c r="A919">
        <v>45</v>
      </c>
      <c r="B919" t="s">
        <v>10</v>
      </c>
      <c r="C919">
        <v>22.895</v>
      </c>
      <c r="D919">
        <v>0</v>
      </c>
      <c r="E919" t="s">
        <v>8</v>
      </c>
      <c r="F919" t="s">
        <v>14</v>
      </c>
      <c r="G919">
        <v>35069.374519999998</v>
      </c>
    </row>
    <row r="920" spans="1:7" x14ac:dyDescent="0.25">
      <c r="A920">
        <v>61</v>
      </c>
      <c r="B920" t="s">
        <v>7</v>
      </c>
      <c r="C920">
        <v>28.2</v>
      </c>
      <c r="D920">
        <v>0</v>
      </c>
      <c r="E920" t="s">
        <v>11</v>
      </c>
      <c r="F920" t="s">
        <v>9</v>
      </c>
      <c r="G920">
        <v>13041.921</v>
      </c>
    </row>
    <row r="921" spans="1:7" x14ac:dyDescent="0.25">
      <c r="A921">
        <v>35</v>
      </c>
      <c r="B921" t="s">
        <v>7</v>
      </c>
      <c r="C921">
        <v>34.21</v>
      </c>
      <c r="D921">
        <v>1</v>
      </c>
      <c r="E921" t="s">
        <v>11</v>
      </c>
      <c r="F921" t="s">
        <v>12</v>
      </c>
      <c r="G921">
        <v>5245.2268999999997</v>
      </c>
    </row>
    <row r="922" spans="1:7" x14ac:dyDescent="0.25">
      <c r="A922">
        <v>62</v>
      </c>
      <c r="B922" t="s">
        <v>7</v>
      </c>
      <c r="C922">
        <v>25</v>
      </c>
      <c r="D922">
        <v>0</v>
      </c>
      <c r="E922" t="s">
        <v>11</v>
      </c>
      <c r="F922" t="s">
        <v>9</v>
      </c>
      <c r="G922">
        <v>13451.121999999999</v>
      </c>
    </row>
    <row r="923" spans="1:7" x14ac:dyDescent="0.25">
      <c r="A923">
        <v>62</v>
      </c>
      <c r="B923" t="s">
        <v>7</v>
      </c>
      <c r="C923">
        <v>33.200000000000003</v>
      </c>
      <c r="D923">
        <v>0</v>
      </c>
      <c r="E923" t="s">
        <v>11</v>
      </c>
      <c r="F923" t="s">
        <v>9</v>
      </c>
      <c r="G923">
        <v>13462.52</v>
      </c>
    </row>
    <row r="924" spans="1:7" x14ac:dyDescent="0.25">
      <c r="A924">
        <v>38</v>
      </c>
      <c r="B924" t="s">
        <v>10</v>
      </c>
      <c r="C924">
        <v>31</v>
      </c>
      <c r="D924">
        <v>1</v>
      </c>
      <c r="E924" t="s">
        <v>11</v>
      </c>
      <c r="F924" t="s">
        <v>9</v>
      </c>
      <c r="G924">
        <v>5488.2619999999997</v>
      </c>
    </row>
    <row r="925" spans="1:7" x14ac:dyDescent="0.25">
      <c r="A925">
        <v>34</v>
      </c>
      <c r="B925" t="s">
        <v>10</v>
      </c>
      <c r="C925">
        <v>35.814999999999998</v>
      </c>
      <c r="D925">
        <v>0</v>
      </c>
      <c r="E925" t="s">
        <v>11</v>
      </c>
      <c r="F925" t="s">
        <v>13</v>
      </c>
      <c r="G925">
        <v>4320.4108500000002</v>
      </c>
    </row>
    <row r="926" spans="1:7" x14ac:dyDescent="0.25">
      <c r="A926">
        <v>43</v>
      </c>
      <c r="B926" t="s">
        <v>10</v>
      </c>
      <c r="C926">
        <v>23.2</v>
      </c>
      <c r="D926">
        <v>0</v>
      </c>
      <c r="E926" t="s">
        <v>11</v>
      </c>
      <c r="F926" t="s">
        <v>9</v>
      </c>
      <c r="G926">
        <v>6250.4350000000004</v>
      </c>
    </row>
    <row r="927" spans="1:7" x14ac:dyDescent="0.25">
      <c r="A927">
        <v>50</v>
      </c>
      <c r="B927" t="s">
        <v>10</v>
      </c>
      <c r="C927">
        <v>32.11</v>
      </c>
      <c r="D927">
        <v>2</v>
      </c>
      <c r="E927" t="s">
        <v>11</v>
      </c>
      <c r="F927" t="s">
        <v>14</v>
      </c>
      <c r="G927">
        <v>25333.332839999999</v>
      </c>
    </row>
    <row r="928" spans="1:7" x14ac:dyDescent="0.25">
      <c r="A928">
        <v>19</v>
      </c>
      <c r="B928" t="s">
        <v>7</v>
      </c>
      <c r="C928">
        <v>23.4</v>
      </c>
      <c r="D928">
        <v>2</v>
      </c>
      <c r="E928" t="s">
        <v>11</v>
      </c>
      <c r="F928" t="s">
        <v>9</v>
      </c>
      <c r="G928">
        <v>2913.569</v>
      </c>
    </row>
    <row r="929" spans="1:7" x14ac:dyDescent="0.25">
      <c r="A929">
        <v>57</v>
      </c>
      <c r="B929" t="s">
        <v>7</v>
      </c>
      <c r="C929">
        <v>20.100000000000001</v>
      </c>
      <c r="D929">
        <v>1</v>
      </c>
      <c r="E929" t="s">
        <v>11</v>
      </c>
      <c r="F929" t="s">
        <v>9</v>
      </c>
      <c r="G929">
        <v>12032.325999999999</v>
      </c>
    </row>
    <row r="930" spans="1:7" x14ac:dyDescent="0.25">
      <c r="A930">
        <v>62</v>
      </c>
      <c r="B930" t="s">
        <v>7</v>
      </c>
      <c r="C930">
        <v>39.159999999999997</v>
      </c>
      <c r="D930">
        <v>0</v>
      </c>
      <c r="E930" t="s">
        <v>11</v>
      </c>
      <c r="F930" t="s">
        <v>12</v>
      </c>
      <c r="G930">
        <v>13470.804400000001</v>
      </c>
    </row>
    <row r="931" spans="1:7" x14ac:dyDescent="0.25">
      <c r="A931">
        <v>41</v>
      </c>
      <c r="B931" t="s">
        <v>10</v>
      </c>
      <c r="C931">
        <v>34.21</v>
      </c>
      <c r="D931">
        <v>1</v>
      </c>
      <c r="E931" t="s">
        <v>11</v>
      </c>
      <c r="F931" t="s">
        <v>12</v>
      </c>
      <c r="G931">
        <v>6289.7548999999999</v>
      </c>
    </row>
    <row r="932" spans="1:7" x14ac:dyDescent="0.25">
      <c r="A932">
        <v>26</v>
      </c>
      <c r="B932" t="s">
        <v>10</v>
      </c>
      <c r="C932">
        <v>46.53</v>
      </c>
      <c r="D932">
        <v>1</v>
      </c>
      <c r="E932" t="s">
        <v>11</v>
      </c>
      <c r="F932" t="s">
        <v>12</v>
      </c>
      <c r="G932">
        <v>2927.0646999999999</v>
      </c>
    </row>
    <row r="933" spans="1:7" x14ac:dyDescent="0.25">
      <c r="A933">
        <v>39</v>
      </c>
      <c r="B933" t="s">
        <v>7</v>
      </c>
      <c r="C933">
        <v>32.5</v>
      </c>
      <c r="D933">
        <v>1</v>
      </c>
      <c r="E933" t="s">
        <v>11</v>
      </c>
      <c r="F933" t="s">
        <v>9</v>
      </c>
      <c r="G933">
        <v>6238.2979999999998</v>
      </c>
    </row>
    <row r="934" spans="1:7" x14ac:dyDescent="0.25">
      <c r="A934">
        <v>46</v>
      </c>
      <c r="B934" t="s">
        <v>10</v>
      </c>
      <c r="C934">
        <v>25.8</v>
      </c>
      <c r="D934">
        <v>5</v>
      </c>
      <c r="E934" t="s">
        <v>11</v>
      </c>
      <c r="F934" t="s">
        <v>9</v>
      </c>
      <c r="G934">
        <v>10096.969999999999</v>
      </c>
    </row>
    <row r="935" spans="1:7" x14ac:dyDescent="0.25">
      <c r="A935">
        <v>45</v>
      </c>
      <c r="B935" t="s">
        <v>7</v>
      </c>
      <c r="C935">
        <v>35.299999999999997</v>
      </c>
      <c r="D935">
        <v>0</v>
      </c>
      <c r="E935" t="s">
        <v>11</v>
      </c>
      <c r="F935" t="s">
        <v>9</v>
      </c>
      <c r="G935">
        <v>7348.1419999999998</v>
      </c>
    </row>
    <row r="936" spans="1:7" x14ac:dyDescent="0.25">
      <c r="A936">
        <v>32</v>
      </c>
      <c r="B936" t="s">
        <v>10</v>
      </c>
      <c r="C936">
        <v>37.18</v>
      </c>
      <c r="D936">
        <v>2</v>
      </c>
      <c r="E936" t="s">
        <v>11</v>
      </c>
      <c r="F936" t="s">
        <v>12</v>
      </c>
      <c r="G936">
        <v>4673.3922000000002</v>
      </c>
    </row>
    <row r="937" spans="1:7" x14ac:dyDescent="0.25">
      <c r="A937">
        <v>59</v>
      </c>
      <c r="B937" t="s">
        <v>7</v>
      </c>
      <c r="C937">
        <v>27.5</v>
      </c>
      <c r="D937">
        <v>0</v>
      </c>
      <c r="E937" t="s">
        <v>11</v>
      </c>
      <c r="F937" t="s">
        <v>9</v>
      </c>
      <c r="G937">
        <v>12233.828</v>
      </c>
    </row>
    <row r="938" spans="1:7" x14ac:dyDescent="0.25">
      <c r="A938">
        <v>44</v>
      </c>
      <c r="B938" t="s">
        <v>10</v>
      </c>
      <c r="C938">
        <v>29.734999999999999</v>
      </c>
      <c r="D938">
        <v>2</v>
      </c>
      <c r="E938" t="s">
        <v>11</v>
      </c>
      <c r="F938" t="s">
        <v>14</v>
      </c>
      <c r="G938">
        <v>32108.662820000001</v>
      </c>
    </row>
    <row r="939" spans="1:7" x14ac:dyDescent="0.25">
      <c r="A939">
        <v>39</v>
      </c>
      <c r="B939" t="s">
        <v>7</v>
      </c>
      <c r="C939">
        <v>24.225000000000001</v>
      </c>
      <c r="D939">
        <v>5</v>
      </c>
      <c r="E939" t="s">
        <v>11</v>
      </c>
      <c r="F939" t="s">
        <v>13</v>
      </c>
      <c r="G939">
        <v>8965.7957499999993</v>
      </c>
    </row>
    <row r="940" spans="1:7" x14ac:dyDescent="0.25">
      <c r="A940">
        <v>18</v>
      </c>
      <c r="B940" t="s">
        <v>10</v>
      </c>
      <c r="C940">
        <v>26.18</v>
      </c>
      <c r="D940">
        <v>2</v>
      </c>
      <c r="E940" t="s">
        <v>11</v>
      </c>
      <c r="F940" t="s">
        <v>12</v>
      </c>
      <c r="G940">
        <v>2304.0021999999999</v>
      </c>
    </row>
    <row r="941" spans="1:7" x14ac:dyDescent="0.25">
      <c r="A941">
        <v>53</v>
      </c>
      <c r="B941" t="s">
        <v>10</v>
      </c>
      <c r="C941">
        <v>29.48</v>
      </c>
      <c r="D941">
        <v>0</v>
      </c>
      <c r="E941" t="s">
        <v>11</v>
      </c>
      <c r="F941" t="s">
        <v>12</v>
      </c>
      <c r="G941">
        <v>9487.6442000000006</v>
      </c>
    </row>
    <row r="942" spans="1:7" x14ac:dyDescent="0.25">
      <c r="A942">
        <v>18</v>
      </c>
      <c r="B942" t="s">
        <v>10</v>
      </c>
      <c r="C942">
        <v>23.21</v>
      </c>
      <c r="D942">
        <v>0</v>
      </c>
      <c r="E942" t="s">
        <v>11</v>
      </c>
      <c r="F942" t="s">
        <v>12</v>
      </c>
      <c r="G942">
        <v>1121.8739</v>
      </c>
    </row>
    <row r="943" spans="1:7" x14ac:dyDescent="0.25">
      <c r="A943">
        <v>50</v>
      </c>
      <c r="B943" t="s">
        <v>7</v>
      </c>
      <c r="C943">
        <v>46.09</v>
      </c>
      <c r="D943">
        <v>1</v>
      </c>
      <c r="E943" t="s">
        <v>11</v>
      </c>
      <c r="F943" t="s">
        <v>12</v>
      </c>
      <c r="G943">
        <v>9549.5650999999998</v>
      </c>
    </row>
    <row r="944" spans="1:7" x14ac:dyDescent="0.25">
      <c r="A944">
        <v>18</v>
      </c>
      <c r="B944" t="s">
        <v>7</v>
      </c>
      <c r="C944">
        <v>40.185000000000002</v>
      </c>
      <c r="D944">
        <v>0</v>
      </c>
      <c r="E944" t="s">
        <v>11</v>
      </c>
      <c r="F944" t="s">
        <v>14</v>
      </c>
      <c r="G944">
        <v>2217.4691499999999</v>
      </c>
    </row>
    <row r="945" spans="1:7" x14ac:dyDescent="0.25">
      <c r="A945">
        <v>19</v>
      </c>
      <c r="B945" t="s">
        <v>10</v>
      </c>
      <c r="C945">
        <v>22.61</v>
      </c>
      <c r="D945">
        <v>0</v>
      </c>
      <c r="E945" t="s">
        <v>11</v>
      </c>
      <c r="F945" t="s">
        <v>13</v>
      </c>
      <c r="G945">
        <v>1628.4709</v>
      </c>
    </row>
    <row r="946" spans="1:7" x14ac:dyDescent="0.25">
      <c r="A946">
        <v>62</v>
      </c>
      <c r="B946" t="s">
        <v>10</v>
      </c>
      <c r="C946">
        <v>39.93</v>
      </c>
      <c r="D946">
        <v>0</v>
      </c>
      <c r="E946" t="s">
        <v>11</v>
      </c>
      <c r="F946" t="s">
        <v>12</v>
      </c>
      <c r="G946">
        <v>12982.8747</v>
      </c>
    </row>
    <row r="947" spans="1:7" x14ac:dyDescent="0.25">
      <c r="A947">
        <v>56</v>
      </c>
      <c r="B947" t="s">
        <v>7</v>
      </c>
      <c r="C947">
        <v>35.799999999999997</v>
      </c>
      <c r="D947">
        <v>1</v>
      </c>
      <c r="E947" t="s">
        <v>11</v>
      </c>
      <c r="F947" t="s">
        <v>9</v>
      </c>
      <c r="G947">
        <v>11674.13</v>
      </c>
    </row>
    <row r="948" spans="1:7" x14ac:dyDescent="0.25">
      <c r="A948">
        <v>42</v>
      </c>
      <c r="B948" t="s">
        <v>10</v>
      </c>
      <c r="C948">
        <v>35.799999999999997</v>
      </c>
      <c r="D948">
        <v>2</v>
      </c>
      <c r="E948" t="s">
        <v>11</v>
      </c>
      <c r="F948" t="s">
        <v>9</v>
      </c>
      <c r="G948">
        <v>7160.0940000000001</v>
      </c>
    </row>
    <row r="949" spans="1:7" x14ac:dyDescent="0.25">
      <c r="A949">
        <v>37</v>
      </c>
      <c r="B949" t="s">
        <v>10</v>
      </c>
      <c r="C949">
        <v>34.200000000000003</v>
      </c>
      <c r="D949">
        <v>1</v>
      </c>
      <c r="E949" t="s">
        <v>8</v>
      </c>
      <c r="F949" t="s">
        <v>14</v>
      </c>
      <c r="G949">
        <v>39047.285000000003</v>
      </c>
    </row>
    <row r="950" spans="1:7" x14ac:dyDescent="0.25">
      <c r="A950">
        <v>42</v>
      </c>
      <c r="B950" t="s">
        <v>10</v>
      </c>
      <c r="C950">
        <v>31.254999999999999</v>
      </c>
      <c r="D950">
        <v>0</v>
      </c>
      <c r="E950" t="s">
        <v>11</v>
      </c>
      <c r="F950" t="s">
        <v>13</v>
      </c>
      <c r="G950">
        <v>6358.7764500000003</v>
      </c>
    </row>
    <row r="951" spans="1:7" x14ac:dyDescent="0.25">
      <c r="A951">
        <v>25</v>
      </c>
      <c r="B951" t="s">
        <v>10</v>
      </c>
      <c r="C951">
        <v>29.7</v>
      </c>
      <c r="D951">
        <v>3</v>
      </c>
      <c r="E951" t="s">
        <v>8</v>
      </c>
      <c r="F951" t="s">
        <v>9</v>
      </c>
      <c r="G951">
        <v>19933.457999999999</v>
      </c>
    </row>
    <row r="952" spans="1:7" x14ac:dyDescent="0.25">
      <c r="A952">
        <v>57</v>
      </c>
      <c r="B952" t="s">
        <v>10</v>
      </c>
      <c r="C952">
        <v>18.335000000000001</v>
      </c>
      <c r="D952">
        <v>0</v>
      </c>
      <c r="E952" t="s">
        <v>11</v>
      </c>
      <c r="F952" t="s">
        <v>14</v>
      </c>
      <c r="G952">
        <v>11534.872649999999</v>
      </c>
    </row>
    <row r="953" spans="1:7" x14ac:dyDescent="0.25">
      <c r="A953">
        <v>51</v>
      </c>
      <c r="B953" t="s">
        <v>10</v>
      </c>
      <c r="C953">
        <v>42.9</v>
      </c>
      <c r="D953">
        <v>2</v>
      </c>
      <c r="E953" t="s">
        <v>8</v>
      </c>
      <c r="F953" t="s">
        <v>12</v>
      </c>
      <c r="G953">
        <v>47462.894</v>
      </c>
    </row>
    <row r="954" spans="1:7" x14ac:dyDescent="0.25">
      <c r="A954">
        <v>30</v>
      </c>
      <c r="B954" t="s">
        <v>7</v>
      </c>
      <c r="C954">
        <v>28.405000000000001</v>
      </c>
      <c r="D954">
        <v>1</v>
      </c>
      <c r="E954" t="s">
        <v>11</v>
      </c>
      <c r="F954" t="s">
        <v>13</v>
      </c>
      <c r="G954">
        <v>4527.1829500000003</v>
      </c>
    </row>
    <row r="955" spans="1:7" x14ac:dyDescent="0.25">
      <c r="A955">
        <v>44</v>
      </c>
      <c r="B955" t="s">
        <v>10</v>
      </c>
      <c r="C955">
        <v>30.2</v>
      </c>
      <c r="D955">
        <v>2</v>
      </c>
      <c r="E955" t="s">
        <v>8</v>
      </c>
      <c r="F955" t="s">
        <v>9</v>
      </c>
      <c r="G955">
        <v>38998.546000000002</v>
      </c>
    </row>
    <row r="956" spans="1:7" x14ac:dyDescent="0.25">
      <c r="A956">
        <v>34</v>
      </c>
      <c r="B956" t="s">
        <v>10</v>
      </c>
      <c r="C956">
        <v>27.835000000000001</v>
      </c>
      <c r="D956">
        <v>1</v>
      </c>
      <c r="E956" t="s">
        <v>8</v>
      </c>
      <c r="F956" t="s">
        <v>13</v>
      </c>
      <c r="G956">
        <v>20009.63365</v>
      </c>
    </row>
    <row r="957" spans="1:7" x14ac:dyDescent="0.25">
      <c r="A957">
        <v>31</v>
      </c>
      <c r="B957" t="s">
        <v>10</v>
      </c>
      <c r="C957">
        <v>39.49</v>
      </c>
      <c r="D957">
        <v>1</v>
      </c>
      <c r="E957" t="s">
        <v>11</v>
      </c>
      <c r="F957" t="s">
        <v>12</v>
      </c>
      <c r="G957">
        <v>3875.7341000000001</v>
      </c>
    </row>
    <row r="958" spans="1:7" x14ac:dyDescent="0.25">
      <c r="A958">
        <v>54</v>
      </c>
      <c r="B958" t="s">
        <v>10</v>
      </c>
      <c r="C958">
        <v>30.8</v>
      </c>
      <c r="D958">
        <v>1</v>
      </c>
      <c r="E958" t="s">
        <v>8</v>
      </c>
      <c r="F958" t="s">
        <v>12</v>
      </c>
      <c r="G958">
        <v>41999.519999999997</v>
      </c>
    </row>
    <row r="959" spans="1:7" x14ac:dyDescent="0.25">
      <c r="A959">
        <v>24</v>
      </c>
      <c r="B959" t="s">
        <v>10</v>
      </c>
      <c r="C959">
        <v>26.79</v>
      </c>
      <c r="D959">
        <v>1</v>
      </c>
      <c r="E959" t="s">
        <v>11</v>
      </c>
      <c r="F959" t="s">
        <v>13</v>
      </c>
      <c r="G959">
        <v>12609.88702</v>
      </c>
    </row>
    <row r="960" spans="1:7" x14ac:dyDescent="0.25">
      <c r="A960">
        <v>43</v>
      </c>
      <c r="B960" t="s">
        <v>10</v>
      </c>
      <c r="C960">
        <v>34.96</v>
      </c>
      <c r="D960">
        <v>1</v>
      </c>
      <c r="E960" t="s">
        <v>8</v>
      </c>
      <c r="F960" t="s">
        <v>14</v>
      </c>
      <c r="G960">
        <v>41034.221400000002</v>
      </c>
    </row>
    <row r="961" spans="1:7" x14ac:dyDescent="0.25">
      <c r="A961">
        <v>48</v>
      </c>
      <c r="B961" t="s">
        <v>10</v>
      </c>
      <c r="C961">
        <v>36.67</v>
      </c>
      <c r="D961">
        <v>1</v>
      </c>
      <c r="E961" t="s">
        <v>11</v>
      </c>
      <c r="F961" t="s">
        <v>13</v>
      </c>
      <c r="G961">
        <v>28468.919010000001</v>
      </c>
    </row>
    <row r="962" spans="1:7" x14ac:dyDescent="0.25">
      <c r="A962">
        <v>19</v>
      </c>
      <c r="B962" t="s">
        <v>7</v>
      </c>
      <c r="C962">
        <v>39.615000000000002</v>
      </c>
      <c r="D962">
        <v>1</v>
      </c>
      <c r="E962" t="s">
        <v>11</v>
      </c>
      <c r="F962" t="s">
        <v>13</v>
      </c>
      <c r="G962">
        <v>2730.1078499999999</v>
      </c>
    </row>
    <row r="963" spans="1:7" x14ac:dyDescent="0.25">
      <c r="A963">
        <v>29</v>
      </c>
      <c r="B963" t="s">
        <v>7</v>
      </c>
      <c r="C963">
        <v>25.9</v>
      </c>
      <c r="D963">
        <v>0</v>
      </c>
      <c r="E963" t="s">
        <v>11</v>
      </c>
      <c r="F963" t="s">
        <v>9</v>
      </c>
      <c r="G963">
        <v>3353.2840000000001</v>
      </c>
    </row>
    <row r="964" spans="1:7" x14ac:dyDescent="0.25">
      <c r="A964">
        <v>63</v>
      </c>
      <c r="B964" t="s">
        <v>7</v>
      </c>
      <c r="C964">
        <v>35.200000000000003</v>
      </c>
      <c r="D964">
        <v>1</v>
      </c>
      <c r="E964" t="s">
        <v>11</v>
      </c>
      <c r="F964" t="s">
        <v>12</v>
      </c>
      <c r="G964">
        <v>14474.674999999999</v>
      </c>
    </row>
    <row r="965" spans="1:7" x14ac:dyDescent="0.25">
      <c r="A965">
        <v>46</v>
      </c>
      <c r="B965" t="s">
        <v>10</v>
      </c>
      <c r="C965">
        <v>24.795000000000002</v>
      </c>
      <c r="D965">
        <v>3</v>
      </c>
      <c r="E965" t="s">
        <v>11</v>
      </c>
      <c r="F965" t="s">
        <v>14</v>
      </c>
      <c r="G965">
        <v>9500.5730500000009</v>
      </c>
    </row>
    <row r="966" spans="1:7" x14ac:dyDescent="0.25">
      <c r="A966">
        <v>52</v>
      </c>
      <c r="B966" t="s">
        <v>10</v>
      </c>
      <c r="C966">
        <v>36.765000000000001</v>
      </c>
      <c r="D966">
        <v>2</v>
      </c>
      <c r="E966" t="s">
        <v>11</v>
      </c>
      <c r="F966" t="s">
        <v>13</v>
      </c>
      <c r="G966">
        <v>26467.09737</v>
      </c>
    </row>
    <row r="967" spans="1:7" x14ac:dyDescent="0.25">
      <c r="A967">
        <v>35</v>
      </c>
      <c r="B967" t="s">
        <v>10</v>
      </c>
      <c r="C967">
        <v>27.1</v>
      </c>
      <c r="D967">
        <v>1</v>
      </c>
      <c r="E967" t="s">
        <v>11</v>
      </c>
      <c r="F967" t="s">
        <v>9</v>
      </c>
      <c r="G967">
        <v>4746.3440000000001</v>
      </c>
    </row>
    <row r="968" spans="1:7" x14ac:dyDescent="0.25">
      <c r="A968">
        <v>51</v>
      </c>
      <c r="B968" t="s">
        <v>10</v>
      </c>
      <c r="C968">
        <v>24.795000000000002</v>
      </c>
      <c r="D968">
        <v>2</v>
      </c>
      <c r="E968" t="s">
        <v>8</v>
      </c>
      <c r="F968" t="s">
        <v>13</v>
      </c>
      <c r="G968">
        <v>23967.38305</v>
      </c>
    </row>
    <row r="969" spans="1:7" x14ac:dyDescent="0.25">
      <c r="A969">
        <v>44</v>
      </c>
      <c r="B969" t="s">
        <v>10</v>
      </c>
      <c r="C969">
        <v>25.364999999999998</v>
      </c>
      <c r="D969">
        <v>1</v>
      </c>
      <c r="E969" t="s">
        <v>11</v>
      </c>
      <c r="F969" t="s">
        <v>13</v>
      </c>
      <c r="G969">
        <v>7518.0253499999999</v>
      </c>
    </row>
    <row r="970" spans="1:7" x14ac:dyDescent="0.25">
      <c r="A970">
        <v>21</v>
      </c>
      <c r="B970" t="s">
        <v>10</v>
      </c>
      <c r="C970">
        <v>25.745000000000001</v>
      </c>
      <c r="D970">
        <v>2</v>
      </c>
      <c r="E970" t="s">
        <v>11</v>
      </c>
      <c r="F970" t="s">
        <v>14</v>
      </c>
      <c r="G970">
        <v>3279.8685500000001</v>
      </c>
    </row>
    <row r="971" spans="1:7" x14ac:dyDescent="0.25">
      <c r="A971">
        <v>39</v>
      </c>
      <c r="B971" t="s">
        <v>7</v>
      </c>
      <c r="C971">
        <v>34.32</v>
      </c>
      <c r="D971">
        <v>5</v>
      </c>
      <c r="E971" t="s">
        <v>11</v>
      </c>
      <c r="F971" t="s">
        <v>12</v>
      </c>
      <c r="G971">
        <v>8596.8277999999991</v>
      </c>
    </row>
    <row r="972" spans="1:7" x14ac:dyDescent="0.25">
      <c r="A972">
        <v>50</v>
      </c>
      <c r="B972" t="s">
        <v>7</v>
      </c>
      <c r="C972">
        <v>28.16</v>
      </c>
      <c r="D972">
        <v>3</v>
      </c>
      <c r="E972" t="s">
        <v>11</v>
      </c>
      <c r="F972" t="s">
        <v>12</v>
      </c>
      <c r="G972">
        <v>10702.642400000001</v>
      </c>
    </row>
    <row r="973" spans="1:7" x14ac:dyDescent="0.25">
      <c r="A973">
        <v>34</v>
      </c>
      <c r="B973" t="s">
        <v>7</v>
      </c>
      <c r="C973">
        <v>23.56</v>
      </c>
      <c r="D973">
        <v>0</v>
      </c>
      <c r="E973" t="s">
        <v>11</v>
      </c>
      <c r="F973" t="s">
        <v>14</v>
      </c>
      <c r="G973">
        <v>4992.3764000000001</v>
      </c>
    </row>
    <row r="974" spans="1:7" x14ac:dyDescent="0.25">
      <c r="A974">
        <v>22</v>
      </c>
      <c r="B974" t="s">
        <v>7</v>
      </c>
      <c r="C974">
        <v>20.234999999999999</v>
      </c>
      <c r="D974">
        <v>0</v>
      </c>
      <c r="E974" t="s">
        <v>11</v>
      </c>
      <c r="F974" t="s">
        <v>13</v>
      </c>
      <c r="G974">
        <v>2527.8186500000002</v>
      </c>
    </row>
    <row r="975" spans="1:7" x14ac:dyDescent="0.25">
      <c r="A975">
        <v>19</v>
      </c>
      <c r="B975" t="s">
        <v>7</v>
      </c>
      <c r="C975">
        <v>40.5</v>
      </c>
      <c r="D975">
        <v>0</v>
      </c>
      <c r="E975" t="s">
        <v>11</v>
      </c>
      <c r="F975" t="s">
        <v>9</v>
      </c>
      <c r="G975">
        <v>1759.338</v>
      </c>
    </row>
    <row r="976" spans="1:7" x14ac:dyDescent="0.25">
      <c r="A976">
        <v>26</v>
      </c>
      <c r="B976" t="s">
        <v>10</v>
      </c>
      <c r="C976">
        <v>35.42</v>
      </c>
      <c r="D976">
        <v>0</v>
      </c>
      <c r="E976" t="s">
        <v>11</v>
      </c>
      <c r="F976" t="s">
        <v>12</v>
      </c>
      <c r="G976">
        <v>2322.6217999999999</v>
      </c>
    </row>
    <row r="977" spans="1:7" x14ac:dyDescent="0.25">
      <c r="A977">
        <v>29</v>
      </c>
      <c r="B977" t="s">
        <v>10</v>
      </c>
      <c r="C977">
        <v>22.895</v>
      </c>
      <c r="D977">
        <v>0</v>
      </c>
      <c r="E977" t="s">
        <v>8</v>
      </c>
      <c r="F977" t="s">
        <v>14</v>
      </c>
      <c r="G977">
        <v>16138.762049999999</v>
      </c>
    </row>
    <row r="978" spans="1:7" x14ac:dyDescent="0.25">
      <c r="A978">
        <v>48</v>
      </c>
      <c r="B978" t="s">
        <v>10</v>
      </c>
      <c r="C978">
        <v>40.15</v>
      </c>
      <c r="D978">
        <v>0</v>
      </c>
      <c r="E978" t="s">
        <v>11</v>
      </c>
      <c r="F978" t="s">
        <v>12</v>
      </c>
      <c r="G978">
        <v>7804.1605</v>
      </c>
    </row>
    <row r="979" spans="1:7" x14ac:dyDescent="0.25">
      <c r="A979">
        <v>26</v>
      </c>
      <c r="B979" t="s">
        <v>10</v>
      </c>
      <c r="C979">
        <v>29.15</v>
      </c>
      <c r="D979">
        <v>1</v>
      </c>
      <c r="E979" t="s">
        <v>11</v>
      </c>
      <c r="F979" t="s">
        <v>12</v>
      </c>
      <c r="G979">
        <v>2902.9065000000001</v>
      </c>
    </row>
    <row r="980" spans="1:7" x14ac:dyDescent="0.25">
      <c r="A980">
        <v>45</v>
      </c>
      <c r="B980" t="s">
        <v>7</v>
      </c>
      <c r="C980">
        <v>39.994999999999997</v>
      </c>
      <c r="D980">
        <v>3</v>
      </c>
      <c r="E980" t="s">
        <v>11</v>
      </c>
      <c r="F980" t="s">
        <v>14</v>
      </c>
      <c r="G980">
        <v>9704.6680500000002</v>
      </c>
    </row>
    <row r="981" spans="1:7" x14ac:dyDescent="0.25">
      <c r="A981">
        <v>36</v>
      </c>
      <c r="B981" t="s">
        <v>7</v>
      </c>
      <c r="C981">
        <v>29.92</v>
      </c>
      <c r="D981">
        <v>0</v>
      </c>
      <c r="E981" t="s">
        <v>11</v>
      </c>
      <c r="F981" t="s">
        <v>12</v>
      </c>
      <c r="G981">
        <v>4889.0367999999999</v>
      </c>
    </row>
    <row r="982" spans="1:7" x14ac:dyDescent="0.25">
      <c r="A982">
        <v>54</v>
      </c>
      <c r="B982" t="s">
        <v>10</v>
      </c>
      <c r="C982">
        <v>25.46</v>
      </c>
      <c r="D982">
        <v>1</v>
      </c>
      <c r="E982" t="s">
        <v>11</v>
      </c>
      <c r="F982" t="s">
        <v>14</v>
      </c>
      <c r="G982">
        <v>25517.11363</v>
      </c>
    </row>
    <row r="983" spans="1:7" x14ac:dyDescent="0.25">
      <c r="A983">
        <v>34</v>
      </c>
      <c r="B983" t="s">
        <v>10</v>
      </c>
      <c r="C983">
        <v>21.375</v>
      </c>
      <c r="D983">
        <v>0</v>
      </c>
      <c r="E983" t="s">
        <v>11</v>
      </c>
      <c r="F983" t="s">
        <v>14</v>
      </c>
      <c r="G983">
        <v>4500.33925</v>
      </c>
    </row>
    <row r="984" spans="1:7" x14ac:dyDescent="0.25">
      <c r="A984">
        <v>31</v>
      </c>
      <c r="B984" t="s">
        <v>10</v>
      </c>
      <c r="C984">
        <v>25.9</v>
      </c>
      <c r="D984">
        <v>3</v>
      </c>
      <c r="E984" t="s">
        <v>8</v>
      </c>
      <c r="F984" t="s">
        <v>9</v>
      </c>
      <c r="G984">
        <v>19199.944</v>
      </c>
    </row>
    <row r="985" spans="1:7" x14ac:dyDescent="0.25">
      <c r="A985">
        <v>27</v>
      </c>
      <c r="B985" t="s">
        <v>7</v>
      </c>
      <c r="C985">
        <v>30.59</v>
      </c>
      <c r="D985">
        <v>1</v>
      </c>
      <c r="E985" t="s">
        <v>11</v>
      </c>
      <c r="F985" t="s">
        <v>14</v>
      </c>
      <c r="G985">
        <v>16796.411940000002</v>
      </c>
    </row>
    <row r="986" spans="1:7" x14ac:dyDescent="0.25">
      <c r="A986">
        <v>20</v>
      </c>
      <c r="B986" t="s">
        <v>10</v>
      </c>
      <c r="C986">
        <v>30.114999999999998</v>
      </c>
      <c r="D986">
        <v>5</v>
      </c>
      <c r="E986" t="s">
        <v>11</v>
      </c>
      <c r="F986" t="s">
        <v>14</v>
      </c>
      <c r="G986">
        <v>4915.0598499999996</v>
      </c>
    </row>
    <row r="987" spans="1:7" x14ac:dyDescent="0.25">
      <c r="A987">
        <v>44</v>
      </c>
      <c r="B987" t="s">
        <v>7</v>
      </c>
      <c r="C987">
        <v>25.8</v>
      </c>
      <c r="D987">
        <v>1</v>
      </c>
      <c r="E987" t="s">
        <v>11</v>
      </c>
      <c r="F987" t="s">
        <v>9</v>
      </c>
      <c r="G987">
        <v>7624.63</v>
      </c>
    </row>
    <row r="988" spans="1:7" x14ac:dyDescent="0.25">
      <c r="A988">
        <v>43</v>
      </c>
      <c r="B988" t="s">
        <v>10</v>
      </c>
      <c r="C988">
        <v>30.114999999999998</v>
      </c>
      <c r="D988">
        <v>3</v>
      </c>
      <c r="E988" t="s">
        <v>11</v>
      </c>
      <c r="F988" t="s">
        <v>13</v>
      </c>
      <c r="G988">
        <v>8410.0468500000006</v>
      </c>
    </row>
    <row r="989" spans="1:7" x14ac:dyDescent="0.25">
      <c r="A989">
        <v>45</v>
      </c>
      <c r="B989" t="s">
        <v>7</v>
      </c>
      <c r="C989">
        <v>27.645</v>
      </c>
      <c r="D989">
        <v>1</v>
      </c>
      <c r="E989" t="s">
        <v>11</v>
      </c>
      <c r="F989" t="s">
        <v>13</v>
      </c>
      <c r="G989">
        <v>28340.188849999999</v>
      </c>
    </row>
    <row r="990" spans="1:7" x14ac:dyDescent="0.25">
      <c r="A990">
        <v>34</v>
      </c>
      <c r="B990" t="s">
        <v>10</v>
      </c>
      <c r="C990">
        <v>34.674999999999997</v>
      </c>
      <c r="D990">
        <v>0</v>
      </c>
      <c r="E990" t="s">
        <v>11</v>
      </c>
      <c r="F990" t="s">
        <v>14</v>
      </c>
      <c r="G990">
        <v>4518.8262500000001</v>
      </c>
    </row>
    <row r="991" spans="1:7" x14ac:dyDescent="0.25">
      <c r="A991">
        <v>24</v>
      </c>
      <c r="B991" t="s">
        <v>7</v>
      </c>
      <c r="C991">
        <v>20.52</v>
      </c>
      <c r="D991">
        <v>0</v>
      </c>
      <c r="E991" t="s">
        <v>8</v>
      </c>
      <c r="F991" t="s">
        <v>14</v>
      </c>
      <c r="G991">
        <v>14571.890799999999</v>
      </c>
    </row>
    <row r="992" spans="1:7" x14ac:dyDescent="0.25">
      <c r="A992">
        <v>26</v>
      </c>
      <c r="B992" t="s">
        <v>7</v>
      </c>
      <c r="C992">
        <v>19.8</v>
      </c>
      <c r="D992">
        <v>1</v>
      </c>
      <c r="E992" t="s">
        <v>11</v>
      </c>
      <c r="F992" t="s">
        <v>9</v>
      </c>
      <c r="G992">
        <v>3378.91</v>
      </c>
    </row>
    <row r="993" spans="1:7" x14ac:dyDescent="0.25">
      <c r="A993">
        <v>38</v>
      </c>
      <c r="B993" t="s">
        <v>7</v>
      </c>
      <c r="C993">
        <v>27.835000000000001</v>
      </c>
      <c r="D993">
        <v>2</v>
      </c>
      <c r="E993" t="s">
        <v>11</v>
      </c>
      <c r="F993" t="s">
        <v>14</v>
      </c>
      <c r="G993">
        <v>7144.86265</v>
      </c>
    </row>
    <row r="994" spans="1:7" x14ac:dyDescent="0.25">
      <c r="A994">
        <v>50</v>
      </c>
      <c r="B994" t="s">
        <v>7</v>
      </c>
      <c r="C994">
        <v>31.6</v>
      </c>
      <c r="D994">
        <v>2</v>
      </c>
      <c r="E994" t="s">
        <v>11</v>
      </c>
      <c r="F994" t="s">
        <v>9</v>
      </c>
      <c r="G994">
        <v>10118.424000000001</v>
      </c>
    </row>
    <row r="995" spans="1:7" x14ac:dyDescent="0.25">
      <c r="A995">
        <v>38</v>
      </c>
      <c r="B995" t="s">
        <v>10</v>
      </c>
      <c r="C995">
        <v>28.27</v>
      </c>
      <c r="D995">
        <v>1</v>
      </c>
      <c r="E995" t="s">
        <v>11</v>
      </c>
      <c r="F995" t="s">
        <v>12</v>
      </c>
      <c r="G995">
        <v>5484.4673000000003</v>
      </c>
    </row>
    <row r="996" spans="1:7" x14ac:dyDescent="0.25">
      <c r="A996">
        <v>27</v>
      </c>
      <c r="B996" t="s">
        <v>7</v>
      </c>
      <c r="C996">
        <v>20.045000000000002</v>
      </c>
      <c r="D996">
        <v>3</v>
      </c>
      <c r="E996" t="s">
        <v>8</v>
      </c>
      <c r="F996" t="s">
        <v>13</v>
      </c>
      <c r="G996">
        <v>16420.494549999999</v>
      </c>
    </row>
    <row r="997" spans="1:7" x14ac:dyDescent="0.25">
      <c r="A997">
        <v>39</v>
      </c>
      <c r="B997" t="s">
        <v>7</v>
      </c>
      <c r="C997">
        <v>23.274999999999999</v>
      </c>
      <c r="D997">
        <v>3</v>
      </c>
      <c r="E997" t="s">
        <v>11</v>
      </c>
      <c r="F997" t="s">
        <v>14</v>
      </c>
      <c r="G997">
        <v>7986.4752500000004</v>
      </c>
    </row>
    <row r="998" spans="1:7" x14ac:dyDescent="0.25">
      <c r="A998">
        <v>39</v>
      </c>
      <c r="B998" t="s">
        <v>7</v>
      </c>
      <c r="C998">
        <v>34.1</v>
      </c>
      <c r="D998">
        <v>3</v>
      </c>
      <c r="E998" t="s">
        <v>11</v>
      </c>
      <c r="F998" t="s">
        <v>9</v>
      </c>
      <c r="G998">
        <v>7418.5219999999999</v>
      </c>
    </row>
    <row r="999" spans="1:7" x14ac:dyDescent="0.25">
      <c r="A999">
        <v>63</v>
      </c>
      <c r="B999" t="s">
        <v>7</v>
      </c>
      <c r="C999">
        <v>36.85</v>
      </c>
      <c r="D999">
        <v>0</v>
      </c>
      <c r="E999" t="s">
        <v>11</v>
      </c>
      <c r="F999" t="s">
        <v>12</v>
      </c>
      <c r="G999">
        <v>13887.968500000001</v>
      </c>
    </row>
    <row r="1000" spans="1:7" x14ac:dyDescent="0.25">
      <c r="A1000">
        <v>33</v>
      </c>
      <c r="B1000" t="s">
        <v>7</v>
      </c>
      <c r="C1000">
        <v>36.29</v>
      </c>
      <c r="D1000">
        <v>3</v>
      </c>
      <c r="E1000" t="s">
        <v>11</v>
      </c>
      <c r="F1000" t="s">
        <v>14</v>
      </c>
      <c r="G1000">
        <v>6551.7501000000002</v>
      </c>
    </row>
    <row r="1001" spans="1:7" x14ac:dyDescent="0.25">
      <c r="A1001">
        <v>36</v>
      </c>
      <c r="B1001" t="s">
        <v>7</v>
      </c>
      <c r="C1001">
        <v>26.885000000000002</v>
      </c>
      <c r="D1001">
        <v>0</v>
      </c>
      <c r="E1001" t="s">
        <v>11</v>
      </c>
      <c r="F1001" t="s">
        <v>13</v>
      </c>
      <c r="G1001">
        <v>5267.8181500000001</v>
      </c>
    </row>
    <row r="1002" spans="1:7" x14ac:dyDescent="0.25">
      <c r="A1002">
        <v>30</v>
      </c>
      <c r="B1002" t="s">
        <v>10</v>
      </c>
      <c r="C1002">
        <v>22.99</v>
      </c>
      <c r="D1002">
        <v>2</v>
      </c>
      <c r="E1002" t="s">
        <v>8</v>
      </c>
      <c r="F1002" t="s">
        <v>13</v>
      </c>
      <c r="G1002">
        <v>17361.766100000001</v>
      </c>
    </row>
    <row r="1003" spans="1:7" x14ac:dyDescent="0.25">
      <c r="A1003">
        <v>24</v>
      </c>
      <c r="B1003" t="s">
        <v>10</v>
      </c>
      <c r="C1003">
        <v>32.700000000000003</v>
      </c>
      <c r="D1003">
        <v>0</v>
      </c>
      <c r="E1003" t="s">
        <v>8</v>
      </c>
      <c r="F1003" t="s">
        <v>9</v>
      </c>
      <c r="G1003">
        <v>34472.841</v>
      </c>
    </row>
    <row r="1004" spans="1:7" x14ac:dyDescent="0.25">
      <c r="A1004">
        <v>24</v>
      </c>
      <c r="B1004" t="s">
        <v>10</v>
      </c>
      <c r="C1004">
        <v>25.8</v>
      </c>
      <c r="D1004">
        <v>0</v>
      </c>
      <c r="E1004" t="s">
        <v>11</v>
      </c>
      <c r="F1004" t="s">
        <v>9</v>
      </c>
      <c r="G1004">
        <v>1972.95</v>
      </c>
    </row>
    <row r="1005" spans="1:7" x14ac:dyDescent="0.25">
      <c r="A1005">
        <v>48</v>
      </c>
      <c r="B1005" t="s">
        <v>10</v>
      </c>
      <c r="C1005">
        <v>29.6</v>
      </c>
      <c r="D1005">
        <v>0</v>
      </c>
      <c r="E1005" t="s">
        <v>11</v>
      </c>
      <c r="F1005" t="s">
        <v>9</v>
      </c>
      <c r="G1005">
        <v>21232.182260000001</v>
      </c>
    </row>
    <row r="1006" spans="1:7" x14ac:dyDescent="0.25">
      <c r="A1006">
        <v>47</v>
      </c>
      <c r="B1006" t="s">
        <v>10</v>
      </c>
      <c r="C1006">
        <v>19.190000000000001</v>
      </c>
      <c r="D1006">
        <v>1</v>
      </c>
      <c r="E1006" t="s">
        <v>11</v>
      </c>
      <c r="F1006" t="s">
        <v>14</v>
      </c>
      <c r="G1006">
        <v>8627.5411000000004</v>
      </c>
    </row>
    <row r="1007" spans="1:7" x14ac:dyDescent="0.25">
      <c r="A1007">
        <v>29</v>
      </c>
      <c r="B1007" t="s">
        <v>10</v>
      </c>
      <c r="C1007">
        <v>31.73</v>
      </c>
      <c r="D1007">
        <v>2</v>
      </c>
      <c r="E1007" t="s">
        <v>11</v>
      </c>
      <c r="F1007" t="s">
        <v>13</v>
      </c>
      <c r="G1007">
        <v>4433.3877000000002</v>
      </c>
    </row>
    <row r="1008" spans="1:7" x14ac:dyDescent="0.25">
      <c r="A1008">
        <v>28</v>
      </c>
      <c r="B1008" t="s">
        <v>10</v>
      </c>
      <c r="C1008">
        <v>29.26</v>
      </c>
      <c r="D1008">
        <v>2</v>
      </c>
      <c r="E1008" t="s">
        <v>11</v>
      </c>
      <c r="F1008" t="s">
        <v>14</v>
      </c>
      <c r="G1008">
        <v>4438.2633999999998</v>
      </c>
    </row>
    <row r="1009" spans="1:7" x14ac:dyDescent="0.25">
      <c r="A1009">
        <v>47</v>
      </c>
      <c r="B1009" t="s">
        <v>10</v>
      </c>
      <c r="C1009">
        <v>28.215</v>
      </c>
      <c r="D1009">
        <v>3</v>
      </c>
      <c r="E1009" t="s">
        <v>8</v>
      </c>
      <c r="F1009" t="s">
        <v>13</v>
      </c>
      <c r="G1009">
        <v>24915.220850000002</v>
      </c>
    </row>
    <row r="1010" spans="1:7" x14ac:dyDescent="0.25">
      <c r="A1010">
        <v>25</v>
      </c>
      <c r="B1010" t="s">
        <v>10</v>
      </c>
      <c r="C1010">
        <v>24.984999999999999</v>
      </c>
      <c r="D1010">
        <v>2</v>
      </c>
      <c r="E1010" t="s">
        <v>11</v>
      </c>
      <c r="F1010" t="s">
        <v>14</v>
      </c>
      <c r="G1010">
        <v>23241.47453</v>
      </c>
    </row>
    <row r="1011" spans="1:7" x14ac:dyDescent="0.25">
      <c r="A1011">
        <v>51</v>
      </c>
      <c r="B1011" t="s">
        <v>10</v>
      </c>
      <c r="C1011">
        <v>27.74</v>
      </c>
      <c r="D1011">
        <v>1</v>
      </c>
      <c r="E1011" t="s">
        <v>11</v>
      </c>
      <c r="F1011" t="s">
        <v>14</v>
      </c>
      <c r="G1011">
        <v>9957.7216000000008</v>
      </c>
    </row>
    <row r="1012" spans="1:7" x14ac:dyDescent="0.25">
      <c r="A1012">
        <v>48</v>
      </c>
      <c r="B1012" t="s">
        <v>7</v>
      </c>
      <c r="C1012">
        <v>22.8</v>
      </c>
      <c r="D1012">
        <v>0</v>
      </c>
      <c r="E1012" t="s">
        <v>11</v>
      </c>
      <c r="F1012" t="s">
        <v>9</v>
      </c>
      <c r="G1012">
        <v>8269.0439999999999</v>
      </c>
    </row>
    <row r="1013" spans="1:7" x14ac:dyDescent="0.25">
      <c r="A1013">
        <v>43</v>
      </c>
      <c r="B1013" t="s">
        <v>10</v>
      </c>
      <c r="C1013">
        <v>20.13</v>
      </c>
      <c r="D1013">
        <v>2</v>
      </c>
      <c r="E1013" t="s">
        <v>8</v>
      </c>
      <c r="F1013" t="s">
        <v>12</v>
      </c>
      <c r="G1013">
        <v>18767.737700000001</v>
      </c>
    </row>
    <row r="1014" spans="1:7" x14ac:dyDescent="0.25">
      <c r="A1014">
        <v>61</v>
      </c>
      <c r="B1014" t="s">
        <v>7</v>
      </c>
      <c r="C1014">
        <v>33.33</v>
      </c>
      <c r="D1014">
        <v>4</v>
      </c>
      <c r="E1014" t="s">
        <v>11</v>
      </c>
      <c r="F1014" t="s">
        <v>12</v>
      </c>
      <c r="G1014">
        <v>36580.282160000002</v>
      </c>
    </row>
    <row r="1015" spans="1:7" x14ac:dyDescent="0.25">
      <c r="A1015">
        <v>48</v>
      </c>
      <c r="B1015" t="s">
        <v>10</v>
      </c>
      <c r="C1015">
        <v>32.299999999999997</v>
      </c>
      <c r="D1015">
        <v>1</v>
      </c>
      <c r="E1015" t="s">
        <v>11</v>
      </c>
      <c r="F1015" t="s">
        <v>13</v>
      </c>
      <c r="G1015">
        <v>8765.2489999999998</v>
      </c>
    </row>
    <row r="1016" spans="1:7" x14ac:dyDescent="0.25">
      <c r="A1016">
        <v>38</v>
      </c>
      <c r="B1016" t="s">
        <v>7</v>
      </c>
      <c r="C1016">
        <v>27.6</v>
      </c>
      <c r="D1016">
        <v>0</v>
      </c>
      <c r="E1016" t="s">
        <v>11</v>
      </c>
      <c r="F1016" t="s">
        <v>9</v>
      </c>
      <c r="G1016">
        <v>5383.5360000000001</v>
      </c>
    </row>
    <row r="1017" spans="1:7" x14ac:dyDescent="0.25">
      <c r="A1017">
        <v>59</v>
      </c>
      <c r="B1017" t="s">
        <v>10</v>
      </c>
      <c r="C1017">
        <v>25.46</v>
      </c>
      <c r="D1017">
        <v>0</v>
      </c>
      <c r="E1017" t="s">
        <v>11</v>
      </c>
      <c r="F1017" t="s">
        <v>13</v>
      </c>
      <c r="G1017">
        <v>12124.992399999999</v>
      </c>
    </row>
    <row r="1018" spans="1:7" x14ac:dyDescent="0.25">
      <c r="A1018">
        <v>19</v>
      </c>
      <c r="B1018" t="s">
        <v>7</v>
      </c>
      <c r="C1018">
        <v>24.605</v>
      </c>
      <c r="D1018">
        <v>1</v>
      </c>
      <c r="E1018" t="s">
        <v>11</v>
      </c>
      <c r="F1018" t="s">
        <v>13</v>
      </c>
      <c r="G1018">
        <v>2709.24395</v>
      </c>
    </row>
    <row r="1019" spans="1:7" x14ac:dyDescent="0.25">
      <c r="A1019">
        <v>26</v>
      </c>
      <c r="B1019" t="s">
        <v>7</v>
      </c>
      <c r="C1019">
        <v>34.200000000000003</v>
      </c>
      <c r="D1019">
        <v>2</v>
      </c>
      <c r="E1019" t="s">
        <v>11</v>
      </c>
      <c r="F1019" t="s">
        <v>9</v>
      </c>
      <c r="G1019">
        <v>3987.9259999999999</v>
      </c>
    </row>
    <row r="1020" spans="1:7" x14ac:dyDescent="0.25">
      <c r="A1020">
        <v>54</v>
      </c>
      <c r="B1020" t="s">
        <v>7</v>
      </c>
      <c r="C1020">
        <v>35.814999999999998</v>
      </c>
      <c r="D1020">
        <v>3</v>
      </c>
      <c r="E1020" t="s">
        <v>11</v>
      </c>
      <c r="F1020" t="s">
        <v>13</v>
      </c>
      <c r="G1020">
        <v>12495.290849999999</v>
      </c>
    </row>
    <row r="1021" spans="1:7" x14ac:dyDescent="0.25">
      <c r="A1021">
        <v>21</v>
      </c>
      <c r="B1021" t="s">
        <v>7</v>
      </c>
      <c r="C1021">
        <v>32.68</v>
      </c>
      <c r="D1021">
        <v>2</v>
      </c>
      <c r="E1021" t="s">
        <v>11</v>
      </c>
      <c r="F1021" t="s">
        <v>13</v>
      </c>
      <c r="G1021">
        <v>26018.950519999999</v>
      </c>
    </row>
    <row r="1022" spans="1:7" x14ac:dyDescent="0.25">
      <c r="A1022">
        <v>51</v>
      </c>
      <c r="B1022" t="s">
        <v>10</v>
      </c>
      <c r="C1022">
        <v>37</v>
      </c>
      <c r="D1022">
        <v>0</v>
      </c>
      <c r="E1022" t="s">
        <v>11</v>
      </c>
      <c r="F1022" t="s">
        <v>9</v>
      </c>
      <c r="G1022">
        <v>8798.5930000000008</v>
      </c>
    </row>
    <row r="1023" spans="1:7" x14ac:dyDescent="0.25">
      <c r="A1023">
        <v>22</v>
      </c>
      <c r="B1023" t="s">
        <v>7</v>
      </c>
      <c r="C1023">
        <v>31.02</v>
      </c>
      <c r="D1023">
        <v>3</v>
      </c>
      <c r="E1023" t="s">
        <v>8</v>
      </c>
      <c r="F1023" t="s">
        <v>12</v>
      </c>
      <c r="G1023">
        <v>35595.589800000002</v>
      </c>
    </row>
    <row r="1024" spans="1:7" x14ac:dyDescent="0.25">
      <c r="A1024">
        <v>47</v>
      </c>
      <c r="B1024" t="s">
        <v>10</v>
      </c>
      <c r="C1024">
        <v>36.08</v>
      </c>
      <c r="D1024">
        <v>1</v>
      </c>
      <c r="E1024" t="s">
        <v>8</v>
      </c>
      <c r="F1024" t="s">
        <v>12</v>
      </c>
      <c r="G1024">
        <v>42211.138200000001</v>
      </c>
    </row>
    <row r="1025" spans="1:7" x14ac:dyDescent="0.25">
      <c r="A1025">
        <v>18</v>
      </c>
      <c r="B1025" t="s">
        <v>10</v>
      </c>
      <c r="C1025">
        <v>23.32</v>
      </c>
      <c r="D1025">
        <v>1</v>
      </c>
      <c r="E1025" t="s">
        <v>11</v>
      </c>
      <c r="F1025" t="s">
        <v>12</v>
      </c>
      <c r="G1025">
        <v>1711.0268000000001</v>
      </c>
    </row>
    <row r="1026" spans="1:7" x14ac:dyDescent="0.25">
      <c r="A1026">
        <v>47</v>
      </c>
      <c r="B1026" t="s">
        <v>7</v>
      </c>
      <c r="C1026">
        <v>45.32</v>
      </c>
      <c r="D1026">
        <v>1</v>
      </c>
      <c r="E1026" t="s">
        <v>11</v>
      </c>
      <c r="F1026" t="s">
        <v>12</v>
      </c>
      <c r="G1026">
        <v>8569.8618000000006</v>
      </c>
    </row>
    <row r="1027" spans="1:7" x14ac:dyDescent="0.25">
      <c r="A1027">
        <v>21</v>
      </c>
      <c r="B1027" t="s">
        <v>7</v>
      </c>
      <c r="C1027">
        <v>34.6</v>
      </c>
      <c r="D1027">
        <v>0</v>
      </c>
      <c r="E1027" t="s">
        <v>11</v>
      </c>
      <c r="F1027" t="s">
        <v>9</v>
      </c>
      <c r="G1027">
        <v>2020.1769999999999</v>
      </c>
    </row>
    <row r="1028" spans="1:7" x14ac:dyDescent="0.25">
      <c r="A1028">
        <v>19</v>
      </c>
      <c r="B1028" t="s">
        <v>10</v>
      </c>
      <c r="C1028">
        <v>26.03</v>
      </c>
      <c r="D1028">
        <v>1</v>
      </c>
      <c r="E1028" t="s">
        <v>8</v>
      </c>
      <c r="F1028" t="s">
        <v>13</v>
      </c>
      <c r="G1028">
        <v>16450.894700000001</v>
      </c>
    </row>
    <row r="1029" spans="1:7" x14ac:dyDescent="0.25">
      <c r="A1029">
        <v>23</v>
      </c>
      <c r="B1029" t="s">
        <v>10</v>
      </c>
      <c r="C1029">
        <v>18.715</v>
      </c>
      <c r="D1029">
        <v>0</v>
      </c>
      <c r="E1029" t="s">
        <v>11</v>
      </c>
      <c r="F1029" t="s">
        <v>13</v>
      </c>
      <c r="G1029">
        <v>21595.382290000001</v>
      </c>
    </row>
    <row r="1030" spans="1:7" x14ac:dyDescent="0.25">
      <c r="A1030">
        <v>54</v>
      </c>
      <c r="B1030" t="s">
        <v>10</v>
      </c>
      <c r="C1030">
        <v>31.6</v>
      </c>
      <c r="D1030">
        <v>0</v>
      </c>
      <c r="E1030" t="s">
        <v>11</v>
      </c>
      <c r="F1030" t="s">
        <v>9</v>
      </c>
      <c r="G1030">
        <v>9850.4320000000007</v>
      </c>
    </row>
    <row r="1031" spans="1:7" x14ac:dyDescent="0.25">
      <c r="A1031">
        <v>37</v>
      </c>
      <c r="B1031" t="s">
        <v>7</v>
      </c>
      <c r="C1031">
        <v>17.29</v>
      </c>
      <c r="D1031">
        <v>2</v>
      </c>
      <c r="E1031" t="s">
        <v>11</v>
      </c>
      <c r="F1031" t="s">
        <v>14</v>
      </c>
      <c r="G1031">
        <v>6877.9800999999998</v>
      </c>
    </row>
    <row r="1032" spans="1:7" x14ac:dyDescent="0.25">
      <c r="A1032">
        <v>46</v>
      </c>
      <c r="B1032" t="s">
        <v>7</v>
      </c>
      <c r="C1032">
        <v>23.655000000000001</v>
      </c>
      <c r="D1032">
        <v>1</v>
      </c>
      <c r="E1032" t="s">
        <v>8</v>
      </c>
      <c r="F1032" t="s">
        <v>13</v>
      </c>
      <c r="G1032">
        <v>21677.283449999999</v>
      </c>
    </row>
    <row r="1033" spans="1:7" x14ac:dyDescent="0.25">
      <c r="A1033">
        <v>55</v>
      </c>
      <c r="B1033" t="s">
        <v>7</v>
      </c>
      <c r="C1033">
        <v>35.200000000000003</v>
      </c>
      <c r="D1033">
        <v>0</v>
      </c>
      <c r="E1033" t="s">
        <v>8</v>
      </c>
      <c r="F1033" t="s">
        <v>12</v>
      </c>
      <c r="G1033">
        <v>44423.803</v>
      </c>
    </row>
    <row r="1034" spans="1:7" x14ac:dyDescent="0.25">
      <c r="A1034">
        <v>30</v>
      </c>
      <c r="B1034" t="s">
        <v>7</v>
      </c>
      <c r="C1034">
        <v>27.93</v>
      </c>
      <c r="D1034">
        <v>0</v>
      </c>
      <c r="E1034" t="s">
        <v>11</v>
      </c>
      <c r="F1034" t="s">
        <v>14</v>
      </c>
      <c r="G1034">
        <v>4137.5227000000004</v>
      </c>
    </row>
    <row r="1035" spans="1:7" x14ac:dyDescent="0.25">
      <c r="A1035">
        <v>18</v>
      </c>
      <c r="B1035" t="s">
        <v>10</v>
      </c>
      <c r="C1035">
        <v>21.565000000000001</v>
      </c>
      <c r="D1035">
        <v>0</v>
      </c>
      <c r="E1035" t="s">
        <v>8</v>
      </c>
      <c r="F1035" t="s">
        <v>14</v>
      </c>
      <c r="G1035">
        <v>13747.87235</v>
      </c>
    </row>
    <row r="1036" spans="1:7" x14ac:dyDescent="0.25">
      <c r="A1036">
        <v>61</v>
      </c>
      <c r="B1036" t="s">
        <v>10</v>
      </c>
      <c r="C1036">
        <v>38.380000000000003</v>
      </c>
      <c r="D1036">
        <v>0</v>
      </c>
      <c r="E1036" t="s">
        <v>11</v>
      </c>
      <c r="F1036" t="s">
        <v>13</v>
      </c>
      <c r="G1036">
        <v>12950.0712</v>
      </c>
    </row>
    <row r="1037" spans="1:7" x14ac:dyDescent="0.25">
      <c r="A1037">
        <v>54</v>
      </c>
      <c r="B1037" t="s">
        <v>7</v>
      </c>
      <c r="C1037">
        <v>23</v>
      </c>
      <c r="D1037">
        <v>3</v>
      </c>
      <c r="E1037" t="s">
        <v>11</v>
      </c>
      <c r="F1037" t="s">
        <v>9</v>
      </c>
      <c r="G1037">
        <v>12094.477999999999</v>
      </c>
    </row>
    <row r="1038" spans="1:7" x14ac:dyDescent="0.25">
      <c r="A1038">
        <v>22</v>
      </c>
      <c r="B1038" t="s">
        <v>10</v>
      </c>
      <c r="C1038">
        <v>37.07</v>
      </c>
      <c r="D1038">
        <v>2</v>
      </c>
      <c r="E1038" t="s">
        <v>8</v>
      </c>
      <c r="F1038" t="s">
        <v>12</v>
      </c>
      <c r="G1038">
        <v>37484.4493</v>
      </c>
    </row>
    <row r="1039" spans="1:7" x14ac:dyDescent="0.25">
      <c r="A1039">
        <v>45</v>
      </c>
      <c r="B1039" t="s">
        <v>7</v>
      </c>
      <c r="C1039">
        <v>30.495000000000001</v>
      </c>
      <c r="D1039">
        <v>1</v>
      </c>
      <c r="E1039" t="s">
        <v>8</v>
      </c>
      <c r="F1039" t="s">
        <v>13</v>
      </c>
      <c r="G1039">
        <v>39725.518049999999</v>
      </c>
    </row>
    <row r="1040" spans="1:7" x14ac:dyDescent="0.25">
      <c r="A1040">
        <v>22</v>
      </c>
      <c r="B1040" t="s">
        <v>10</v>
      </c>
      <c r="C1040">
        <v>28.88</v>
      </c>
      <c r="D1040">
        <v>0</v>
      </c>
      <c r="E1040" t="s">
        <v>11</v>
      </c>
      <c r="F1040" t="s">
        <v>14</v>
      </c>
      <c r="G1040">
        <v>2250.8352</v>
      </c>
    </row>
    <row r="1041" spans="1:7" x14ac:dyDescent="0.25">
      <c r="A1041">
        <v>19</v>
      </c>
      <c r="B1041" t="s">
        <v>10</v>
      </c>
      <c r="C1041">
        <v>27.265000000000001</v>
      </c>
      <c r="D1041">
        <v>2</v>
      </c>
      <c r="E1041" t="s">
        <v>11</v>
      </c>
      <c r="F1041" t="s">
        <v>13</v>
      </c>
      <c r="G1041">
        <v>22493.659640000002</v>
      </c>
    </row>
    <row r="1042" spans="1:7" x14ac:dyDescent="0.25">
      <c r="A1042">
        <v>35</v>
      </c>
      <c r="B1042" t="s">
        <v>7</v>
      </c>
      <c r="C1042">
        <v>28.024999999999999</v>
      </c>
      <c r="D1042">
        <v>0</v>
      </c>
      <c r="E1042" t="s">
        <v>8</v>
      </c>
      <c r="F1042" t="s">
        <v>13</v>
      </c>
      <c r="G1042">
        <v>20234.854749999999</v>
      </c>
    </row>
    <row r="1043" spans="1:7" x14ac:dyDescent="0.25">
      <c r="A1043">
        <v>18</v>
      </c>
      <c r="B1043" t="s">
        <v>10</v>
      </c>
      <c r="C1043">
        <v>23.085000000000001</v>
      </c>
      <c r="D1043">
        <v>0</v>
      </c>
      <c r="E1043" t="s">
        <v>11</v>
      </c>
      <c r="F1043" t="s">
        <v>14</v>
      </c>
      <c r="G1043">
        <v>1704.7001499999999</v>
      </c>
    </row>
    <row r="1044" spans="1:7" x14ac:dyDescent="0.25">
      <c r="A1044">
        <v>20</v>
      </c>
      <c r="B1044" t="s">
        <v>10</v>
      </c>
      <c r="C1044">
        <v>30.684999999999999</v>
      </c>
      <c r="D1044">
        <v>0</v>
      </c>
      <c r="E1044" t="s">
        <v>8</v>
      </c>
      <c r="F1044" t="s">
        <v>14</v>
      </c>
      <c r="G1044">
        <v>33475.817150000003</v>
      </c>
    </row>
    <row r="1045" spans="1:7" x14ac:dyDescent="0.25">
      <c r="A1045">
        <v>28</v>
      </c>
      <c r="B1045" t="s">
        <v>7</v>
      </c>
      <c r="C1045">
        <v>25.8</v>
      </c>
      <c r="D1045">
        <v>0</v>
      </c>
      <c r="E1045" t="s">
        <v>11</v>
      </c>
      <c r="F1045" t="s">
        <v>9</v>
      </c>
      <c r="G1045">
        <v>3161.4540000000002</v>
      </c>
    </row>
    <row r="1046" spans="1:7" x14ac:dyDescent="0.25">
      <c r="A1046">
        <v>55</v>
      </c>
      <c r="B1046" t="s">
        <v>10</v>
      </c>
      <c r="C1046">
        <v>35.244999999999997</v>
      </c>
      <c r="D1046">
        <v>1</v>
      </c>
      <c r="E1046" t="s">
        <v>11</v>
      </c>
      <c r="F1046" t="s">
        <v>14</v>
      </c>
      <c r="G1046">
        <v>11394.065549999999</v>
      </c>
    </row>
    <row r="1047" spans="1:7" x14ac:dyDescent="0.25">
      <c r="A1047">
        <v>43</v>
      </c>
      <c r="B1047" t="s">
        <v>7</v>
      </c>
      <c r="C1047">
        <v>24.7</v>
      </c>
      <c r="D1047">
        <v>2</v>
      </c>
      <c r="E1047" t="s">
        <v>8</v>
      </c>
      <c r="F1047" t="s">
        <v>13</v>
      </c>
      <c r="G1047">
        <v>21880.82</v>
      </c>
    </row>
    <row r="1048" spans="1:7" x14ac:dyDescent="0.25">
      <c r="A1048">
        <v>43</v>
      </c>
      <c r="B1048" t="s">
        <v>7</v>
      </c>
      <c r="C1048">
        <v>25.08</v>
      </c>
      <c r="D1048">
        <v>0</v>
      </c>
      <c r="E1048" t="s">
        <v>11</v>
      </c>
      <c r="F1048" t="s">
        <v>14</v>
      </c>
      <c r="G1048">
        <v>7325.0482000000002</v>
      </c>
    </row>
    <row r="1049" spans="1:7" x14ac:dyDescent="0.25">
      <c r="A1049">
        <v>22</v>
      </c>
      <c r="B1049" t="s">
        <v>10</v>
      </c>
      <c r="C1049">
        <v>52.58</v>
      </c>
      <c r="D1049">
        <v>1</v>
      </c>
      <c r="E1049" t="s">
        <v>8</v>
      </c>
      <c r="F1049" t="s">
        <v>12</v>
      </c>
      <c r="G1049">
        <v>44501.398200000003</v>
      </c>
    </row>
    <row r="1050" spans="1:7" x14ac:dyDescent="0.25">
      <c r="A1050">
        <v>25</v>
      </c>
      <c r="B1050" t="s">
        <v>7</v>
      </c>
      <c r="C1050">
        <v>22.515000000000001</v>
      </c>
      <c r="D1050">
        <v>1</v>
      </c>
      <c r="E1050" t="s">
        <v>11</v>
      </c>
      <c r="F1050" t="s">
        <v>13</v>
      </c>
      <c r="G1050">
        <v>3594.17085</v>
      </c>
    </row>
    <row r="1051" spans="1:7" x14ac:dyDescent="0.25">
      <c r="A1051">
        <v>49</v>
      </c>
      <c r="B1051" t="s">
        <v>10</v>
      </c>
      <c r="C1051">
        <v>30.9</v>
      </c>
      <c r="D1051">
        <v>0</v>
      </c>
      <c r="E1051" t="s">
        <v>8</v>
      </c>
      <c r="F1051" t="s">
        <v>9</v>
      </c>
      <c r="G1051">
        <v>39727.614000000001</v>
      </c>
    </row>
    <row r="1052" spans="1:7" x14ac:dyDescent="0.25">
      <c r="A1052">
        <v>44</v>
      </c>
      <c r="B1052" t="s">
        <v>7</v>
      </c>
      <c r="C1052">
        <v>36.954999999999998</v>
      </c>
      <c r="D1052">
        <v>1</v>
      </c>
      <c r="E1052" t="s">
        <v>11</v>
      </c>
      <c r="F1052" t="s">
        <v>13</v>
      </c>
      <c r="G1052">
        <v>8023.1354499999998</v>
      </c>
    </row>
    <row r="1053" spans="1:7" x14ac:dyDescent="0.25">
      <c r="A1053">
        <v>64</v>
      </c>
      <c r="B1053" t="s">
        <v>10</v>
      </c>
      <c r="C1053">
        <v>26.41</v>
      </c>
      <c r="D1053">
        <v>0</v>
      </c>
      <c r="E1053" t="s">
        <v>11</v>
      </c>
      <c r="F1053" t="s">
        <v>14</v>
      </c>
      <c r="G1053">
        <v>14394.5579</v>
      </c>
    </row>
    <row r="1054" spans="1:7" x14ac:dyDescent="0.25">
      <c r="A1054">
        <v>49</v>
      </c>
      <c r="B1054" t="s">
        <v>10</v>
      </c>
      <c r="C1054">
        <v>29.83</v>
      </c>
      <c r="D1054">
        <v>1</v>
      </c>
      <c r="E1054" t="s">
        <v>11</v>
      </c>
      <c r="F1054" t="s">
        <v>14</v>
      </c>
      <c r="G1054">
        <v>9288.0267000000003</v>
      </c>
    </row>
    <row r="1055" spans="1:7" x14ac:dyDescent="0.25">
      <c r="A1055">
        <v>47</v>
      </c>
      <c r="B1055" t="s">
        <v>10</v>
      </c>
      <c r="C1055">
        <v>29.8</v>
      </c>
      <c r="D1055">
        <v>3</v>
      </c>
      <c r="E1055" t="s">
        <v>8</v>
      </c>
      <c r="F1055" t="s">
        <v>9</v>
      </c>
      <c r="G1055">
        <v>25309.489000000001</v>
      </c>
    </row>
    <row r="1056" spans="1:7" x14ac:dyDescent="0.25">
      <c r="A1056">
        <v>27</v>
      </c>
      <c r="B1056" t="s">
        <v>7</v>
      </c>
      <c r="C1056">
        <v>21.47</v>
      </c>
      <c r="D1056">
        <v>0</v>
      </c>
      <c r="E1056" t="s">
        <v>11</v>
      </c>
      <c r="F1056" t="s">
        <v>13</v>
      </c>
      <c r="G1056">
        <v>3353.4703</v>
      </c>
    </row>
    <row r="1057" spans="1:7" x14ac:dyDescent="0.25">
      <c r="A1057">
        <v>55</v>
      </c>
      <c r="B1057" t="s">
        <v>10</v>
      </c>
      <c r="C1057">
        <v>27.645</v>
      </c>
      <c r="D1057">
        <v>0</v>
      </c>
      <c r="E1057" t="s">
        <v>11</v>
      </c>
      <c r="F1057" t="s">
        <v>13</v>
      </c>
      <c r="G1057">
        <v>10594.501550000001</v>
      </c>
    </row>
    <row r="1058" spans="1:7" x14ac:dyDescent="0.25">
      <c r="A1058">
        <v>48</v>
      </c>
      <c r="B1058" t="s">
        <v>7</v>
      </c>
      <c r="C1058">
        <v>28.9</v>
      </c>
      <c r="D1058">
        <v>0</v>
      </c>
      <c r="E1058" t="s">
        <v>11</v>
      </c>
      <c r="F1058" t="s">
        <v>9</v>
      </c>
      <c r="G1058">
        <v>8277.5229999999992</v>
      </c>
    </row>
    <row r="1059" spans="1:7" x14ac:dyDescent="0.25">
      <c r="A1059">
        <v>45</v>
      </c>
      <c r="B1059" t="s">
        <v>7</v>
      </c>
      <c r="C1059">
        <v>31.79</v>
      </c>
      <c r="D1059">
        <v>0</v>
      </c>
      <c r="E1059" t="s">
        <v>11</v>
      </c>
      <c r="F1059" t="s">
        <v>12</v>
      </c>
      <c r="G1059">
        <v>17929.303370000001</v>
      </c>
    </row>
    <row r="1060" spans="1:7" x14ac:dyDescent="0.25">
      <c r="A1060">
        <v>24</v>
      </c>
      <c r="B1060" t="s">
        <v>7</v>
      </c>
      <c r="C1060">
        <v>39.49</v>
      </c>
      <c r="D1060">
        <v>0</v>
      </c>
      <c r="E1060" t="s">
        <v>11</v>
      </c>
      <c r="F1060" t="s">
        <v>12</v>
      </c>
      <c r="G1060">
        <v>2480.9791</v>
      </c>
    </row>
    <row r="1061" spans="1:7" x14ac:dyDescent="0.25">
      <c r="A1061">
        <v>32</v>
      </c>
      <c r="B1061" t="s">
        <v>10</v>
      </c>
      <c r="C1061">
        <v>33.82</v>
      </c>
      <c r="D1061">
        <v>1</v>
      </c>
      <c r="E1061" t="s">
        <v>11</v>
      </c>
      <c r="F1061" t="s">
        <v>13</v>
      </c>
      <c r="G1061">
        <v>4462.7218000000003</v>
      </c>
    </row>
    <row r="1062" spans="1:7" x14ac:dyDescent="0.25">
      <c r="A1062">
        <v>24</v>
      </c>
      <c r="B1062" t="s">
        <v>10</v>
      </c>
      <c r="C1062">
        <v>32.01</v>
      </c>
      <c r="D1062">
        <v>0</v>
      </c>
      <c r="E1062" t="s">
        <v>11</v>
      </c>
      <c r="F1062" t="s">
        <v>12</v>
      </c>
      <c r="G1062">
        <v>1981.5818999999999</v>
      </c>
    </row>
    <row r="1063" spans="1:7" x14ac:dyDescent="0.25">
      <c r="A1063">
        <v>57</v>
      </c>
      <c r="B1063" t="s">
        <v>10</v>
      </c>
      <c r="C1063">
        <v>27.94</v>
      </c>
      <c r="D1063">
        <v>1</v>
      </c>
      <c r="E1063" t="s">
        <v>11</v>
      </c>
      <c r="F1063" t="s">
        <v>12</v>
      </c>
      <c r="G1063">
        <v>11554.223599999999</v>
      </c>
    </row>
    <row r="1064" spans="1:7" x14ac:dyDescent="0.25">
      <c r="A1064">
        <v>59</v>
      </c>
      <c r="B1064" t="s">
        <v>10</v>
      </c>
      <c r="C1064">
        <v>41.14</v>
      </c>
      <c r="D1064">
        <v>1</v>
      </c>
      <c r="E1064" t="s">
        <v>8</v>
      </c>
      <c r="F1064" t="s">
        <v>12</v>
      </c>
      <c r="G1064">
        <v>48970.247600000002</v>
      </c>
    </row>
    <row r="1065" spans="1:7" x14ac:dyDescent="0.25">
      <c r="A1065">
        <v>36</v>
      </c>
      <c r="B1065" t="s">
        <v>10</v>
      </c>
      <c r="C1065">
        <v>28.594999999999999</v>
      </c>
      <c r="D1065">
        <v>3</v>
      </c>
      <c r="E1065" t="s">
        <v>11</v>
      </c>
      <c r="F1065" t="s">
        <v>13</v>
      </c>
      <c r="G1065">
        <v>6548.1950500000003</v>
      </c>
    </row>
    <row r="1066" spans="1:7" x14ac:dyDescent="0.25">
      <c r="A1066">
        <v>29</v>
      </c>
      <c r="B1066" t="s">
        <v>7</v>
      </c>
      <c r="C1066">
        <v>25.6</v>
      </c>
      <c r="D1066">
        <v>4</v>
      </c>
      <c r="E1066" t="s">
        <v>11</v>
      </c>
      <c r="F1066" t="s">
        <v>9</v>
      </c>
      <c r="G1066">
        <v>5708.8670000000002</v>
      </c>
    </row>
    <row r="1067" spans="1:7" x14ac:dyDescent="0.25">
      <c r="A1067">
        <v>42</v>
      </c>
      <c r="B1067" t="s">
        <v>7</v>
      </c>
      <c r="C1067">
        <v>25.3</v>
      </c>
      <c r="D1067">
        <v>1</v>
      </c>
      <c r="E1067" t="s">
        <v>11</v>
      </c>
      <c r="F1067" t="s">
        <v>9</v>
      </c>
      <c r="G1067">
        <v>7045.4989999999998</v>
      </c>
    </row>
    <row r="1068" spans="1:7" x14ac:dyDescent="0.25">
      <c r="A1068">
        <v>48</v>
      </c>
      <c r="B1068" t="s">
        <v>10</v>
      </c>
      <c r="C1068">
        <v>37.29</v>
      </c>
      <c r="D1068">
        <v>2</v>
      </c>
      <c r="E1068" t="s">
        <v>11</v>
      </c>
      <c r="F1068" t="s">
        <v>12</v>
      </c>
      <c r="G1068">
        <v>8978.1851000000006</v>
      </c>
    </row>
    <row r="1069" spans="1:7" x14ac:dyDescent="0.25">
      <c r="A1069">
        <v>39</v>
      </c>
      <c r="B1069" t="s">
        <v>10</v>
      </c>
      <c r="C1069">
        <v>42.655000000000001</v>
      </c>
      <c r="D1069">
        <v>0</v>
      </c>
      <c r="E1069" t="s">
        <v>11</v>
      </c>
      <c r="F1069" t="s">
        <v>14</v>
      </c>
      <c r="G1069">
        <v>5757.41345</v>
      </c>
    </row>
    <row r="1070" spans="1:7" x14ac:dyDescent="0.25">
      <c r="A1070">
        <v>63</v>
      </c>
      <c r="B1070" t="s">
        <v>10</v>
      </c>
      <c r="C1070">
        <v>21.66</v>
      </c>
      <c r="D1070">
        <v>1</v>
      </c>
      <c r="E1070" t="s">
        <v>11</v>
      </c>
      <c r="F1070" t="s">
        <v>13</v>
      </c>
      <c r="G1070">
        <v>14349.8544</v>
      </c>
    </row>
    <row r="1071" spans="1:7" x14ac:dyDescent="0.25">
      <c r="A1071">
        <v>54</v>
      </c>
      <c r="B1071" t="s">
        <v>7</v>
      </c>
      <c r="C1071">
        <v>31.9</v>
      </c>
      <c r="D1071">
        <v>1</v>
      </c>
      <c r="E1071" t="s">
        <v>11</v>
      </c>
      <c r="F1071" t="s">
        <v>12</v>
      </c>
      <c r="G1071">
        <v>10928.849</v>
      </c>
    </row>
    <row r="1072" spans="1:7" x14ac:dyDescent="0.25">
      <c r="A1072">
        <v>37</v>
      </c>
      <c r="B1072" t="s">
        <v>10</v>
      </c>
      <c r="C1072">
        <v>37.07</v>
      </c>
      <c r="D1072">
        <v>1</v>
      </c>
      <c r="E1072" t="s">
        <v>8</v>
      </c>
      <c r="F1072" t="s">
        <v>12</v>
      </c>
      <c r="G1072">
        <v>39871.704299999998</v>
      </c>
    </row>
    <row r="1073" spans="1:7" x14ac:dyDescent="0.25">
      <c r="A1073">
        <v>63</v>
      </c>
      <c r="B1073" t="s">
        <v>10</v>
      </c>
      <c r="C1073">
        <v>31.445</v>
      </c>
      <c r="D1073">
        <v>0</v>
      </c>
      <c r="E1073" t="s">
        <v>11</v>
      </c>
      <c r="F1073" t="s">
        <v>14</v>
      </c>
      <c r="G1073">
        <v>13974.455550000001</v>
      </c>
    </row>
    <row r="1074" spans="1:7" x14ac:dyDescent="0.25">
      <c r="A1074">
        <v>21</v>
      </c>
      <c r="B1074" t="s">
        <v>10</v>
      </c>
      <c r="C1074">
        <v>31.254999999999999</v>
      </c>
      <c r="D1074">
        <v>0</v>
      </c>
      <c r="E1074" t="s">
        <v>11</v>
      </c>
      <c r="F1074" t="s">
        <v>13</v>
      </c>
      <c r="G1074">
        <v>1909.52745</v>
      </c>
    </row>
    <row r="1075" spans="1:7" x14ac:dyDescent="0.25">
      <c r="A1075">
        <v>54</v>
      </c>
      <c r="B1075" t="s">
        <v>7</v>
      </c>
      <c r="C1075">
        <v>28.88</v>
      </c>
      <c r="D1075">
        <v>2</v>
      </c>
      <c r="E1075" t="s">
        <v>11</v>
      </c>
      <c r="F1075" t="s">
        <v>14</v>
      </c>
      <c r="G1075">
        <v>12096.6512</v>
      </c>
    </row>
    <row r="1076" spans="1:7" x14ac:dyDescent="0.25">
      <c r="A1076">
        <v>60</v>
      </c>
      <c r="B1076" t="s">
        <v>7</v>
      </c>
      <c r="C1076">
        <v>18.335000000000001</v>
      </c>
      <c r="D1076">
        <v>0</v>
      </c>
      <c r="E1076" t="s">
        <v>11</v>
      </c>
      <c r="F1076" t="s">
        <v>14</v>
      </c>
      <c r="G1076">
        <v>13204.28565</v>
      </c>
    </row>
    <row r="1077" spans="1:7" x14ac:dyDescent="0.25">
      <c r="A1077">
        <v>32</v>
      </c>
      <c r="B1077" t="s">
        <v>7</v>
      </c>
      <c r="C1077">
        <v>29.59</v>
      </c>
      <c r="D1077">
        <v>1</v>
      </c>
      <c r="E1077" t="s">
        <v>11</v>
      </c>
      <c r="F1077" t="s">
        <v>12</v>
      </c>
      <c r="G1077">
        <v>4562.8420999999998</v>
      </c>
    </row>
    <row r="1078" spans="1:7" x14ac:dyDescent="0.25">
      <c r="A1078">
        <v>47</v>
      </c>
      <c r="B1078" t="s">
        <v>7</v>
      </c>
      <c r="C1078">
        <v>32</v>
      </c>
      <c r="D1078">
        <v>1</v>
      </c>
      <c r="E1078" t="s">
        <v>11</v>
      </c>
      <c r="F1078" t="s">
        <v>9</v>
      </c>
      <c r="G1078">
        <v>8551.3469999999998</v>
      </c>
    </row>
    <row r="1079" spans="1:7" x14ac:dyDescent="0.25">
      <c r="A1079">
        <v>21</v>
      </c>
      <c r="B1079" t="s">
        <v>10</v>
      </c>
      <c r="C1079">
        <v>26.03</v>
      </c>
      <c r="D1079">
        <v>0</v>
      </c>
      <c r="E1079" t="s">
        <v>11</v>
      </c>
      <c r="F1079" t="s">
        <v>14</v>
      </c>
      <c r="G1079">
        <v>2102.2647000000002</v>
      </c>
    </row>
    <row r="1080" spans="1:7" x14ac:dyDescent="0.25">
      <c r="A1080">
        <v>28</v>
      </c>
      <c r="B1080" t="s">
        <v>10</v>
      </c>
      <c r="C1080">
        <v>31.68</v>
      </c>
      <c r="D1080">
        <v>0</v>
      </c>
      <c r="E1080" t="s">
        <v>8</v>
      </c>
      <c r="F1080" t="s">
        <v>12</v>
      </c>
      <c r="G1080">
        <v>34672.147199999999</v>
      </c>
    </row>
    <row r="1081" spans="1:7" x14ac:dyDescent="0.25">
      <c r="A1081">
        <v>63</v>
      </c>
      <c r="B1081" t="s">
        <v>10</v>
      </c>
      <c r="C1081">
        <v>33.659999999999997</v>
      </c>
      <c r="D1081">
        <v>3</v>
      </c>
      <c r="E1081" t="s">
        <v>11</v>
      </c>
      <c r="F1081" t="s">
        <v>12</v>
      </c>
      <c r="G1081">
        <v>15161.5344</v>
      </c>
    </row>
    <row r="1082" spans="1:7" x14ac:dyDescent="0.25">
      <c r="A1082">
        <v>18</v>
      </c>
      <c r="B1082" t="s">
        <v>10</v>
      </c>
      <c r="C1082">
        <v>21.78</v>
      </c>
      <c r="D1082">
        <v>2</v>
      </c>
      <c r="E1082" t="s">
        <v>11</v>
      </c>
      <c r="F1082" t="s">
        <v>12</v>
      </c>
      <c r="G1082">
        <v>11884.048580000001</v>
      </c>
    </row>
    <row r="1083" spans="1:7" x14ac:dyDescent="0.25">
      <c r="A1083">
        <v>32</v>
      </c>
      <c r="B1083" t="s">
        <v>10</v>
      </c>
      <c r="C1083">
        <v>27.835000000000001</v>
      </c>
      <c r="D1083">
        <v>1</v>
      </c>
      <c r="E1083" t="s">
        <v>11</v>
      </c>
      <c r="F1083" t="s">
        <v>13</v>
      </c>
      <c r="G1083">
        <v>4454.40265</v>
      </c>
    </row>
    <row r="1084" spans="1:7" x14ac:dyDescent="0.25">
      <c r="A1084">
        <v>38</v>
      </c>
      <c r="B1084" t="s">
        <v>10</v>
      </c>
      <c r="C1084">
        <v>19.95</v>
      </c>
      <c r="D1084">
        <v>1</v>
      </c>
      <c r="E1084" t="s">
        <v>11</v>
      </c>
      <c r="F1084" t="s">
        <v>13</v>
      </c>
      <c r="G1084">
        <v>5855.9025000000001</v>
      </c>
    </row>
    <row r="1085" spans="1:7" x14ac:dyDescent="0.25">
      <c r="A1085">
        <v>32</v>
      </c>
      <c r="B1085" t="s">
        <v>10</v>
      </c>
      <c r="C1085">
        <v>31.5</v>
      </c>
      <c r="D1085">
        <v>1</v>
      </c>
      <c r="E1085" t="s">
        <v>11</v>
      </c>
      <c r="F1085" t="s">
        <v>9</v>
      </c>
      <c r="G1085">
        <v>4076.4969999999998</v>
      </c>
    </row>
    <row r="1086" spans="1:7" x14ac:dyDescent="0.25">
      <c r="A1086">
        <v>62</v>
      </c>
      <c r="B1086" t="s">
        <v>7</v>
      </c>
      <c r="C1086">
        <v>30.495000000000001</v>
      </c>
      <c r="D1086">
        <v>2</v>
      </c>
      <c r="E1086" t="s">
        <v>11</v>
      </c>
      <c r="F1086" t="s">
        <v>13</v>
      </c>
      <c r="G1086">
        <v>15019.760050000001</v>
      </c>
    </row>
    <row r="1087" spans="1:7" x14ac:dyDescent="0.25">
      <c r="A1087">
        <v>39</v>
      </c>
      <c r="B1087" t="s">
        <v>7</v>
      </c>
      <c r="C1087">
        <v>18.3</v>
      </c>
      <c r="D1087">
        <v>5</v>
      </c>
      <c r="E1087" t="s">
        <v>8</v>
      </c>
      <c r="F1087" t="s">
        <v>9</v>
      </c>
      <c r="G1087">
        <v>19023.259999999998</v>
      </c>
    </row>
    <row r="1088" spans="1:7" x14ac:dyDescent="0.25">
      <c r="A1088">
        <v>55</v>
      </c>
      <c r="B1088" t="s">
        <v>10</v>
      </c>
      <c r="C1088">
        <v>28.975000000000001</v>
      </c>
      <c r="D1088">
        <v>0</v>
      </c>
      <c r="E1088" t="s">
        <v>11</v>
      </c>
      <c r="F1088" t="s">
        <v>14</v>
      </c>
      <c r="G1088">
        <v>10796.35025</v>
      </c>
    </row>
    <row r="1089" spans="1:7" x14ac:dyDescent="0.25">
      <c r="A1089">
        <v>57</v>
      </c>
      <c r="B1089" t="s">
        <v>10</v>
      </c>
      <c r="C1089">
        <v>31.54</v>
      </c>
      <c r="D1089">
        <v>0</v>
      </c>
      <c r="E1089" t="s">
        <v>11</v>
      </c>
      <c r="F1089" t="s">
        <v>13</v>
      </c>
      <c r="G1089">
        <v>11353.2276</v>
      </c>
    </row>
    <row r="1090" spans="1:7" x14ac:dyDescent="0.25">
      <c r="A1090">
        <v>52</v>
      </c>
      <c r="B1090" t="s">
        <v>10</v>
      </c>
      <c r="C1090">
        <v>47.74</v>
      </c>
      <c r="D1090">
        <v>1</v>
      </c>
      <c r="E1090" t="s">
        <v>11</v>
      </c>
      <c r="F1090" t="s">
        <v>12</v>
      </c>
      <c r="G1090">
        <v>9748.9105999999992</v>
      </c>
    </row>
    <row r="1091" spans="1:7" x14ac:dyDescent="0.25">
      <c r="A1091">
        <v>56</v>
      </c>
      <c r="B1091" t="s">
        <v>10</v>
      </c>
      <c r="C1091">
        <v>22.1</v>
      </c>
      <c r="D1091">
        <v>0</v>
      </c>
      <c r="E1091" t="s">
        <v>11</v>
      </c>
      <c r="F1091" t="s">
        <v>9</v>
      </c>
      <c r="G1091">
        <v>10577.087</v>
      </c>
    </row>
    <row r="1092" spans="1:7" x14ac:dyDescent="0.25">
      <c r="A1092">
        <v>47</v>
      </c>
      <c r="B1092" t="s">
        <v>10</v>
      </c>
      <c r="C1092">
        <v>36.19</v>
      </c>
      <c r="D1092">
        <v>0</v>
      </c>
      <c r="E1092" t="s">
        <v>8</v>
      </c>
      <c r="F1092" t="s">
        <v>12</v>
      </c>
      <c r="G1092">
        <v>41676.081100000003</v>
      </c>
    </row>
    <row r="1093" spans="1:7" x14ac:dyDescent="0.25">
      <c r="A1093">
        <v>55</v>
      </c>
      <c r="B1093" t="s">
        <v>7</v>
      </c>
      <c r="C1093">
        <v>29.83</v>
      </c>
      <c r="D1093">
        <v>0</v>
      </c>
      <c r="E1093" t="s">
        <v>11</v>
      </c>
      <c r="F1093" t="s">
        <v>14</v>
      </c>
      <c r="G1093">
        <v>11286.538699999999</v>
      </c>
    </row>
    <row r="1094" spans="1:7" x14ac:dyDescent="0.25">
      <c r="A1094">
        <v>23</v>
      </c>
      <c r="B1094" t="s">
        <v>10</v>
      </c>
      <c r="C1094">
        <v>32.700000000000003</v>
      </c>
      <c r="D1094">
        <v>3</v>
      </c>
      <c r="E1094" t="s">
        <v>11</v>
      </c>
      <c r="F1094" t="s">
        <v>9</v>
      </c>
      <c r="G1094">
        <v>3591.48</v>
      </c>
    </row>
    <row r="1095" spans="1:7" x14ac:dyDescent="0.25">
      <c r="A1095">
        <v>22</v>
      </c>
      <c r="B1095" t="s">
        <v>7</v>
      </c>
      <c r="C1095">
        <v>30.4</v>
      </c>
      <c r="D1095">
        <v>0</v>
      </c>
      <c r="E1095" t="s">
        <v>8</v>
      </c>
      <c r="F1095" t="s">
        <v>13</v>
      </c>
      <c r="G1095">
        <v>33907.548000000003</v>
      </c>
    </row>
    <row r="1096" spans="1:7" x14ac:dyDescent="0.25">
      <c r="A1096">
        <v>50</v>
      </c>
      <c r="B1096" t="s">
        <v>7</v>
      </c>
      <c r="C1096">
        <v>33.700000000000003</v>
      </c>
      <c r="D1096">
        <v>4</v>
      </c>
      <c r="E1096" t="s">
        <v>11</v>
      </c>
      <c r="F1096" t="s">
        <v>9</v>
      </c>
      <c r="G1096">
        <v>11299.343000000001</v>
      </c>
    </row>
    <row r="1097" spans="1:7" x14ac:dyDescent="0.25">
      <c r="A1097">
        <v>18</v>
      </c>
      <c r="B1097" t="s">
        <v>7</v>
      </c>
      <c r="C1097">
        <v>31.35</v>
      </c>
      <c r="D1097">
        <v>4</v>
      </c>
      <c r="E1097" t="s">
        <v>11</v>
      </c>
      <c r="F1097" t="s">
        <v>14</v>
      </c>
      <c r="G1097">
        <v>4561.1885000000002</v>
      </c>
    </row>
    <row r="1098" spans="1:7" x14ac:dyDescent="0.25">
      <c r="A1098">
        <v>51</v>
      </c>
      <c r="B1098" t="s">
        <v>7</v>
      </c>
      <c r="C1098">
        <v>34.96</v>
      </c>
      <c r="D1098">
        <v>2</v>
      </c>
      <c r="E1098" t="s">
        <v>8</v>
      </c>
      <c r="F1098" t="s">
        <v>14</v>
      </c>
      <c r="G1098">
        <v>44641.197399999997</v>
      </c>
    </row>
    <row r="1099" spans="1:7" x14ac:dyDescent="0.25">
      <c r="A1099">
        <v>22</v>
      </c>
      <c r="B1099" t="s">
        <v>10</v>
      </c>
      <c r="C1099">
        <v>33.770000000000003</v>
      </c>
      <c r="D1099">
        <v>0</v>
      </c>
      <c r="E1099" t="s">
        <v>11</v>
      </c>
      <c r="F1099" t="s">
        <v>12</v>
      </c>
      <c r="G1099">
        <v>1674.6323</v>
      </c>
    </row>
    <row r="1100" spans="1:7" x14ac:dyDescent="0.25">
      <c r="A1100">
        <v>52</v>
      </c>
      <c r="B1100" t="s">
        <v>7</v>
      </c>
      <c r="C1100">
        <v>30.875</v>
      </c>
      <c r="D1100">
        <v>0</v>
      </c>
      <c r="E1100" t="s">
        <v>11</v>
      </c>
      <c r="F1100" t="s">
        <v>14</v>
      </c>
      <c r="G1100">
        <v>23045.566159999998</v>
      </c>
    </row>
    <row r="1101" spans="1:7" x14ac:dyDescent="0.25">
      <c r="A1101">
        <v>25</v>
      </c>
      <c r="B1101" t="s">
        <v>7</v>
      </c>
      <c r="C1101">
        <v>33.99</v>
      </c>
      <c r="D1101">
        <v>1</v>
      </c>
      <c r="E1101" t="s">
        <v>11</v>
      </c>
      <c r="F1101" t="s">
        <v>12</v>
      </c>
      <c r="G1101">
        <v>3227.1210999999998</v>
      </c>
    </row>
    <row r="1102" spans="1:7" x14ac:dyDescent="0.25">
      <c r="A1102">
        <v>33</v>
      </c>
      <c r="B1102" t="s">
        <v>7</v>
      </c>
      <c r="C1102">
        <v>19.094999999999999</v>
      </c>
      <c r="D1102">
        <v>2</v>
      </c>
      <c r="E1102" t="s">
        <v>8</v>
      </c>
      <c r="F1102" t="s">
        <v>14</v>
      </c>
      <c r="G1102">
        <v>16776.304049999999</v>
      </c>
    </row>
    <row r="1103" spans="1:7" x14ac:dyDescent="0.25">
      <c r="A1103">
        <v>53</v>
      </c>
      <c r="B1103" t="s">
        <v>10</v>
      </c>
      <c r="C1103">
        <v>28.6</v>
      </c>
      <c r="D1103">
        <v>3</v>
      </c>
      <c r="E1103" t="s">
        <v>11</v>
      </c>
      <c r="F1103" t="s">
        <v>9</v>
      </c>
      <c r="G1103">
        <v>11253.421</v>
      </c>
    </row>
    <row r="1104" spans="1:7" x14ac:dyDescent="0.25">
      <c r="A1104">
        <v>29</v>
      </c>
      <c r="B1104" t="s">
        <v>10</v>
      </c>
      <c r="C1104">
        <v>38.94</v>
      </c>
      <c r="D1104">
        <v>1</v>
      </c>
      <c r="E1104" t="s">
        <v>11</v>
      </c>
      <c r="F1104" t="s">
        <v>12</v>
      </c>
      <c r="G1104">
        <v>3471.4096</v>
      </c>
    </row>
    <row r="1105" spans="1:7" x14ac:dyDescent="0.25">
      <c r="A1105">
        <v>58</v>
      </c>
      <c r="B1105" t="s">
        <v>10</v>
      </c>
      <c r="C1105">
        <v>36.08</v>
      </c>
      <c r="D1105">
        <v>0</v>
      </c>
      <c r="E1105" t="s">
        <v>11</v>
      </c>
      <c r="F1105" t="s">
        <v>12</v>
      </c>
      <c r="G1105">
        <v>11363.2832</v>
      </c>
    </row>
    <row r="1106" spans="1:7" x14ac:dyDescent="0.25">
      <c r="A1106">
        <v>37</v>
      </c>
      <c r="B1106" t="s">
        <v>10</v>
      </c>
      <c r="C1106">
        <v>29.8</v>
      </c>
      <c r="D1106">
        <v>0</v>
      </c>
      <c r="E1106" t="s">
        <v>11</v>
      </c>
      <c r="F1106" t="s">
        <v>9</v>
      </c>
      <c r="G1106">
        <v>20420.604650000001</v>
      </c>
    </row>
    <row r="1107" spans="1:7" x14ac:dyDescent="0.25">
      <c r="A1107">
        <v>54</v>
      </c>
      <c r="B1107" t="s">
        <v>7</v>
      </c>
      <c r="C1107">
        <v>31.24</v>
      </c>
      <c r="D1107">
        <v>0</v>
      </c>
      <c r="E1107" t="s">
        <v>11</v>
      </c>
      <c r="F1107" t="s">
        <v>12</v>
      </c>
      <c r="G1107">
        <v>10338.9316</v>
      </c>
    </row>
    <row r="1108" spans="1:7" x14ac:dyDescent="0.25">
      <c r="A1108">
        <v>49</v>
      </c>
      <c r="B1108" t="s">
        <v>7</v>
      </c>
      <c r="C1108">
        <v>29.925000000000001</v>
      </c>
      <c r="D1108">
        <v>0</v>
      </c>
      <c r="E1108" t="s">
        <v>11</v>
      </c>
      <c r="F1108" t="s">
        <v>13</v>
      </c>
      <c r="G1108">
        <v>8988.1587500000005</v>
      </c>
    </row>
    <row r="1109" spans="1:7" x14ac:dyDescent="0.25">
      <c r="A1109">
        <v>50</v>
      </c>
      <c r="B1109" t="s">
        <v>7</v>
      </c>
      <c r="C1109">
        <v>26.22</v>
      </c>
      <c r="D1109">
        <v>2</v>
      </c>
      <c r="E1109" t="s">
        <v>11</v>
      </c>
      <c r="F1109" t="s">
        <v>13</v>
      </c>
      <c r="G1109">
        <v>10493.9458</v>
      </c>
    </row>
    <row r="1110" spans="1:7" x14ac:dyDescent="0.25">
      <c r="A1110">
        <v>26</v>
      </c>
      <c r="B1110" t="s">
        <v>10</v>
      </c>
      <c r="C1110">
        <v>30</v>
      </c>
      <c r="D1110">
        <v>1</v>
      </c>
      <c r="E1110" t="s">
        <v>11</v>
      </c>
      <c r="F1110" t="s">
        <v>9</v>
      </c>
      <c r="G1110">
        <v>2904.0880000000002</v>
      </c>
    </row>
    <row r="1111" spans="1:7" x14ac:dyDescent="0.25">
      <c r="A1111">
        <v>45</v>
      </c>
      <c r="B1111" t="s">
        <v>10</v>
      </c>
      <c r="C1111">
        <v>20.350000000000001</v>
      </c>
      <c r="D1111">
        <v>3</v>
      </c>
      <c r="E1111" t="s">
        <v>11</v>
      </c>
      <c r="F1111" t="s">
        <v>12</v>
      </c>
      <c r="G1111">
        <v>8605.3615000000009</v>
      </c>
    </row>
    <row r="1112" spans="1:7" x14ac:dyDescent="0.25">
      <c r="A1112">
        <v>54</v>
      </c>
      <c r="B1112" t="s">
        <v>7</v>
      </c>
      <c r="C1112">
        <v>32.299999999999997</v>
      </c>
      <c r="D1112">
        <v>1</v>
      </c>
      <c r="E1112" t="s">
        <v>11</v>
      </c>
      <c r="F1112" t="s">
        <v>14</v>
      </c>
      <c r="G1112">
        <v>11512.405000000001</v>
      </c>
    </row>
    <row r="1113" spans="1:7" x14ac:dyDescent="0.25">
      <c r="A1113">
        <v>38</v>
      </c>
      <c r="B1113" t="s">
        <v>10</v>
      </c>
      <c r="C1113">
        <v>38.39</v>
      </c>
      <c r="D1113">
        <v>3</v>
      </c>
      <c r="E1113" t="s">
        <v>8</v>
      </c>
      <c r="F1113" t="s">
        <v>12</v>
      </c>
      <c r="G1113">
        <v>41949.244100000004</v>
      </c>
    </row>
    <row r="1114" spans="1:7" x14ac:dyDescent="0.25">
      <c r="A1114">
        <v>48</v>
      </c>
      <c r="B1114" t="s">
        <v>7</v>
      </c>
      <c r="C1114">
        <v>25.85</v>
      </c>
      <c r="D1114">
        <v>3</v>
      </c>
      <c r="E1114" t="s">
        <v>8</v>
      </c>
      <c r="F1114" t="s">
        <v>12</v>
      </c>
      <c r="G1114">
        <v>24180.933499999999</v>
      </c>
    </row>
    <row r="1115" spans="1:7" x14ac:dyDescent="0.25">
      <c r="A1115">
        <v>28</v>
      </c>
      <c r="B1115" t="s">
        <v>7</v>
      </c>
      <c r="C1115">
        <v>26.315000000000001</v>
      </c>
      <c r="D1115">
        <v>3</v>
      </c>
      <c r="E1115" t="s">
        <v>11</v>
      </c>
      <c r="F1115" t="s">
        <v>13</v>
      </c>
      <c r="G1115">
        <v>5312.1698500000002</v>
      </c>
    </row>
    <row r="1116" spans="1:7" x14ac:dyDescent="0.25">
      <c r="A1116">
        <v>23</v>
      </c>
      <c r="B1116" t="s">
        <v>10</v>
      </c>
      <c r="C1116">
        <v>24.51</v>
      </c>
      <c r="D1116">
        <v>0</v>
      </c>
      <c r="E1116" t="s">
        <v>11</v>
      </c>
      <c r="F1116" t="s">
        <v>14</v>
      </c>
      <c r="G1116">
        <v>2396.0958999999998</v>
      </c>
    </row>
    <row r="1117" spans="1:7" x14ac:dyDescent="0.25">
      <c r="A1117">
        <v>55</v>
      </c>
      <c r="B1117" t="s">
        <v>10</v>
      </c>
      <c r="C1117">
        <v>32.67</v>
      </c>
      <c r="D1117">
        <v>1</v>
      </c>
      <c r="E1117" t="s">
        <v>11</v>
      </c>
      <c r="F1117" t="s">
        <v>12</v>
      </c>
      <c r="G1117">
        <v>10807.4863</v>
      </c>
    </row>
    <row r="1118" spans="1:7" x14ac:dyDescent="0.25">
      <c r="A1118">
        <v>41</v>
      </c>
      <c r="B1118" t="s">
        <v>10</v>
      </c>
      <c r="C1118">
        <v>29.64</v>
      </c>
      <c r="D1118">
        <v>5</v>
      </c>
      <c r="E1118" t="s">
        <v>11</v>
      </c>
      <c r="F1118" t="s">
        <v>14</v>
      </c>
      <c r="G1118">
        <v>9222.4025999999994</v>
      </c>
    </row>
    <row r="1119" spans="1:7" x14ac:dyDescent="0.25">
      <c r="A1119">
        <v>25</v>
      </c>
      <c r="B1119" t="s">
        <v>10</v>
      </c>
      <c r="C1119">
        <v>33.33</v>
      </c>
      <c r="D1119">
        <v>2</v>
      </c>
      <c r="E1119" t="s">
        <v>8</v>
      </c>
      <c r="F1119" t="s">
        <v>12</v>
      </c>
      <c r="G1119">
        <v>36124.573700000001</v>
      </c>
    </row>
    <row r="1120" spans="1:7" x14ac:dyDescent="0.25">
      <c r="A1120">
        <v>33</v>
      </c>
      <c r="B1120" t="s">
        <v>10</v>
      </c>
      <c r="C1120">
        <v>35.75</v>
      </c>
      <c r="D1120">
        <v>1</v>
      </c>
      <c r="E1120" t="s">
        <v>8</v>
      </c>
      <c r="F1120" t="s">
        <v>12</v>
      </c>
      <c r="G1120">
        <v>38282.749499999998</v>
      </c>
    </row>
    <row r="1121" spans="1:7" x14ac:dyDescent="0.25">
      <c r="A1121">
        <v>30</v>
      </c>
      <c r="B1121" t="s">
        <v>7</v>
      </c>
      <c r="C1121">
        <v>19.95</v>
      </c>
      <c r="D1121">
        <v>3</v>
      </c>
      <c r="E1121" t="s">
        <v>11</v>
      </c>
      <c r="F1121" t="s">
        <v>13</v>
      </c>
      <c r="G1121">
        <v>5693.4305000000004</v>
      </c>
    </row>
    <row r="1122" spans="1:7" x14ac:dyDescent="0.25">
      <c r="A1122">
        <v>23</v>
      </c>
      <c r="B1122" t="s">
        <v>7</v>
      </c>
      <c r="C1122">
        <v>31.4</v>
      </c>
      <c r="D1122">
        <v>0</v>
      </c>
      <c r="E1122" t="s">
        <v>8</v>
      </c>
      <c r="F1122" t="s">
        <v>9</v>
      </c>
      <c r="G1122">
        <v>34166.273000000001</v>
      </c>
    </row>
    <row r="1123" spans="1:7" x14ac:dyDescent="0.25">
      <c r="A1123">
        <v>46</v>
      </c>
      <c r="B1123" t="s">
        <v>10</v>
      </c>
      <c r="C1123">
        <v>38.17</v>
      </c>
      <c r="D1123">
        <v>2</v>
      </c>
      <c r="E1123" t="s">
        <v>11</v>
      </c>
      <c r="F1123" t="s">
        <v>12</v>
      </c>
      <c r="G1123">
        <v>8347.1643000000004</v>
      </c>
    </row>
    <row r="1124" spans="1:7" x14ac:dyDescent="0.25">
      <c r="A1124">
        <v>53</v>
      </c>
      <c r="B1124" t="s">
        <v>7</v>
      </c>
      <c r="C1124">
        <v>36.86</v>
      </c>
      <c r="D1124">
        <v>3</v>
      </c>
      <c r="E1124" t="s">
        <v>8</v>
      </c>
      <c r="F1124" t="s">
        <v>13</v>
      </c>
      <c r="G1124">
        <v>46661.4424</v>
      </c>
    </row>
    <row r="1125" spans="1:7" x14ac:dyDescent="0.25">
      <c r="A1125">
        <v>27</v>
      </c>
      <c r="B1125" t="s">
        <v>7</v>
      </c>
      <c r="C1125">
        <v>32.395000000000003</v>
      </c>
      <c r="D1125">
        <v>1</v>
      </c>
      <c r="E1125" t="s">
        <v>11</v>
      </c>
      <c r="F1125" t="s">
        <v>14</v>
      </c>
      <c r="G1125">
        <v>18903.491409999999</v>
      </c>
    </row>
    <row r="1126" spans="1:7" x14ac:dyDescent="0.25">
      <c r="A1126">
        <v>23</v>
      </c>
      <c r="B1126" t="s">
        <v>7</v>
      </c>
      <c r="C1126">
        <v>42.75</v>
      </c>
      <c r="D1126">
        <v>1</v>
      </c>
      <c r="E1126" t="s">
        <v>8</v>
      </c>
      <c r="F1126" t="s">
        <v>14</v>
      </c>
      <c r="G1126">
        <v>40904.199500000002</v>
      </c>
    </row>
    <row r="1127" spans="1:7" x14ac:dyDescent="0.25">
      <c r="A1127">
        <v>63</v>
      </c>
      <c r="B1127" t="s">
        <v>7</v>
      </c>
      <c r="C1127">
        <v>25.08</v>
      </c>
      <c r="D1127">
        <v>0</v>
      </c>
      <c r="E1127" t="s">
        <v>11</v>
      </c>
      <c r="F1127" t="s">
        <v>13</v>
      </c>
      <c r="G1127">
        <v>14254.608200000001</v>
      </c>
    </row>
    <row r="1128" spans="1:7" x14ac:dyDescent="0.25">
      <c r="A1128">
        <v>55</v>
      </c>
      <c r="B1128" t="s">
        <v>10</v>
      </c>
      <c r="C1128">
        <v>29.9</v>
      </c>
      <c r="D1128">
        <v>0</v>
      </c>
      <c r="E1128" t="s">
        <v>11</v>
      </c>
      <c r="F1128" t="s">
        <v>9</v>
      </c>
      <c r="G1128">
        <v>10214.636</v>
      </c>
    </row>
    <row r="1129" spans="1:7" x14ac:dyDescent="0.25">
      <c r="A1129">
        <v>35</v>
      </c>
      <c r="B1129" t="s">
        <v>7</v>
      </c>
      <c r="C1129">
        <v>35.86</v>
      </c>
      <c r="D1129">
        <v>2</v>
      </c>
      <c r="E1129" t="s">
        <v>11</v>
      </c>
      <c r="F1129" t="s">
        <v>12</v>
      </c>
      <c r="G1129">
        <v>5836.5204000000003</v>
      </c>
    </row>
    <row r="1130" spans="1:7" x14ac:dyDescent="0.25">
      <c r="A1130">
        <v>34</v>
      </c>
      <c r="B1130" t="s">
        <v>10</v>
      </c>
      <c r="C1130">
        <v>32.799999999999997</v>
      </c>
      <c r="D1130">
        <v>1</v>
      </c>
      <c r="E1130" t="s">
        <v>11</v>
      </c>
      <c r="F1130" t="s">
        <v>9</v>
      </c>
      <c r="G1130">
        <v>14358.364369999999</v>
      </c>
    </row>
    <row r="1131" spans="1:7" x14ac:dyDescent="0.25">
      <c r="A1131">
        <v>19</v>
      </c>
      <c r="B1131" t="s">
        <v>7</v>
      </c>
      <c r="C1131">
        <v>18.600000000000001</v>
      </c>
      <c r="D1131">
        <v>0</v>
      </c>
      <c r="E1131" t="s">
        <v>11</v>
      </c>
      <c r="F1131" t="s">
        <v>9</v>
      </c>
      <c r="G1131">
        <v>1728.8969999999999</v>
      </c>
    </row>
    <row r="1132" spans="1:7" x14ac:dyDescent="0.25">
      <c r="A1132">
        <v>39</v>
      </c>
      <c r="B1132" t="s">
        <v>7</v>
      </c>
      <c r="C1132">
        <v>23.87</v>
      </c>
      <c r="D1132">
        <v>5</v>
      </c>
      <c r="E1132" t="s">
        <v>11</v>
      </c>
      <c r="F1132" t="s">
        <v>12</v>
      </c>
      <c r="G1132">
        <v>8582.3022999999994</v>
      </c>
    </row>
    <row r="1133" spans="1:7" x14ac:dyDescent="0.25">
      <c r="A1133">
        <v>27</v>
      </c>
      <c r="B1133" t="s">
        <v>10</v>
      </c>
      <c r="C1133">
        <v>45.9</v>
      </c>
      <c r="D1133">
        <v>2</v>
      </c>
      <c r="E1133" t="s">
        <v>11</v>
      </c>
      <c r="F1133" t="s">
        <v>9</v>
      </c>
      <c r="G1133">
        <v>3693.4279999999999</v>
      </c>
    </row>
    <row r="1134" spans="1:7" x14ac:dyDescent="0.25">
      <c r="A1134">
        <v>57</v>
      </c>
      <c r="B1134" t="s">
        <v>10</v>
      </c>
      <c r="C1134">
        <v>40.28</v>
      </c>
      <c r="D1134">
        <v>0</v>
      </c>
      <c r="E1134" t="s">
        <v>11</v>
      </c>
      <c r="F1134" t="s">
        <v>14</v>
      </c>
      <c r="G1134">
        <v>20709.020339999999</v>
      </c>
    </row>
    <row r="1135" spans="1:7" x14ac:dyDescent="0.25">
      <c r="A1135">
        <v>52</v>
      </c>
      <c r="B1135" t="s">
        <v>7</v>
      </c>
      <c r="C1135">
        <v>18.335000000000001</v>
      </c>
      <c r="D1135">
        <v>0</v>
      </c>
      <c r="E1135" t="s">
        <v>11</v>
      </c>
      <c r="F1135" t="s">
        <v>13</v>
      </c>
      <c r="G1135">
        <v>9991.0376500000002</v>
      </c>
    </row>
    <row r="1136" spans="1:7" x14ac:dyDescent="0.25">
      <c r="A1136">
        <v>28</v>
      </c>
      <c r="B1136" t="s">
        <v>10</v>
      </c>
      <c r="C1136">
        <v>33.82</v>
      </c>
      <c r="D1136">
        <v>0</v>
      </c>
      <c r="E1136" t="s">
        <v>11</v>
      </c>
      <c r="F1136" t="s">
        <v>13</v>
      </c>
      <c r="G1136">
        <v>19673.335729999999</v>
      </c>
    </row>
    <row r="1137" spans="1:7" x14ac:dyDescent="0.25">
      <c r="A1137">
        <v>50</v>
      </c>
      <c r="B1137" t="s">
        <v>7</v>
      </c>
      <c r="C1137">
        <v>28.12</v>
      </c>
      <c r="D1137">
        <v>3</v>
      </c>
      <c r="E1137" t="s">
        <v>11</v>
      </c>
      <c r="F1137" t="s">
        <v>13</v>
      </c>
      <c r="G1137">
        <v>11085.586799999999</v>
      </c>
    </row>
    <row r="1138" spans="1:7" x14ac:dyDescent="0.25">
      <c r="A1138">
        <v>44</v>
      </c>
      <c r="B1138" t="s">
        <v>7</v>
      </c>
      <c r="C1138">
        <v>25</v>
      </c>
      <c r="D1138">
        <v>1</v>
      </c>
      <c r="E1138" t="s">
        <v>11</v>
      </c>
      <c r="F1138" t="s">
        <v>9</v>
      </c>
      <c r="G1138">
        <v>7623.518</v>
      </c>
    </row>
    <row r="1139" spans="1:7" x14ac:dyDescent="0.25">
      <c r="A1139">
        <v>26</v>
      </c>
      <c r="B1139" t="s">
        <v>7</v>
      </c>
      <c r="C1139">
        <v>22.23</v>
      </c>
      <c r="D1139">
        <v>0</v>
      </c>
      <c r="E1139" t="s">
        <v>11</v>
      </c>
      <c r="F1139" t="s">
        <v>13</v>
      </c>
      <c r="G1139">
        <v>3176.2876999999999</v>
      </c>
    </row>
    <row r="1140" spans="1:7" x14ac:dyDescent="0.25">
      <c r="A1140">
        <v>33</v>
      </c>
      <c r="B1140" t="s">
        <v>10</v>
      </c>
      <c r="C1140">
        <v>30.25</v>
      </c>
      <c r="D1140">
        <v>0</v>
      </c>
      <c r="E1140" t="s">
        <v>11</v>
      </c>
      <c r="F1140" t="s">
        <v>12</v>
      </c>
      <c r="G1140">
        <v>3704.3544999999999</v>
      </c>
    </row>
    <row r="1141" spans="1:7" x14ac:dyDescent="0.25">
      <c r="A1141">
        <v>19</v>
      </c>
      <c r="B1141" t="s">
        <v>7</v>
      </c>
      <c r="C1141">
        <v>32.49</v>
      </c>
      <c r="D1141">
        <v>0</v>
      </c>
      <c r="E1141" t="s">
        <v>8</v>
      </c>
      <c r="F1141" t="s">
        <v>13</v>
      </c>
      <c r="G1141">
        <v>36898.733079999998</v>
      </c>
    </row>
    <row r="1142" spans="1:7" x14ac:dyDescent="0.25">
      <c r="A1142">
        <v>50</v>
      </c>
      <c r="B1142" t="s">
        <v>10</v>
      </c>
      <c r="C1142">
        <v>37.07</v>
      </c>
      <c r="D1142">
        <v>1</v>
      </c>
      <c r="E1142" t="s">
        <v>11</v>
      </c>
      <c r="F1142" t="s">
        <v>12</v>
      </c>
      <c r="G1142">
        <v>9048.0272999999997</v>
      </c>
    </row>
    <row r="1143" spans="1:7" x14ac:dyDescent="0.25">
      <c r="A1143">
        <v>41</v>
      </c>
      <c r="B1143" t="s">
        <v>7</v>
      </c>
      <c r="C1143">
        <v>32.6</v>
      </c>
      <c r="D1143">
        <v>3</v>
      </c>
      <c r="E1143" t="s">
        <v>11</v>
      </c>
      <c r="F1143" t="s">
        <v>9</v>
      </c>
      <c r="G1143">
        <v>7954.5169999999998</v>
      </c>
    </row>
    <row r="1144" spans="1:7" x14ac:dyDescent="0.25">
      <c r="A1144">
        <v>52</v>
      </c>
      <c r="B1144" t="s">
        <v>7</v>
      </c>
      <c r="C1144">
        <v>24.86</v>
      </c>
      <c r="D1144">
        <v>0</v>
      </c>
      <c r="E1144" t="s">
        <v>11</v>
      </c>
      <c r="F1144" t="s">
        <v>12</v>
      </c>
      <c r="G1144">
        <v>27117.993780000001</v>
      </c>
    </row>
    <row r="1145" spans="1:7" x14ac:dyDescent="0.25">
      <c r="A1145">
        <v>39</v>
      </c>
      <c r="B1145" t="s">
        <v>10</v>
      </c>
      <c r="C1145">
        <v>32.340000000000003</v>
      </c>
      <c r="D1145">
        <v>2</v>
      </c>
      <c r="E1145" t="s">
        <v>11</v>
      </c>
      <c r="F1145" t="s">
        <v>12</v>
      </c>
      <c r="G1145">
        <v>6338.0756000000001</v>
      </c>
    </row>
    <row r="1146" spans="1:7" x14ac:dyDescent="0.25">
      <c r="A1146">
        <v>50</v>
      </c>
      <c r="B1146" t="s">
        <v>10</v>
      </c>
      <c r="C1146">
        <v>32.299999999999997</v>
      </c>
      <c r="D1146">
        <v>2</v>
      </c>
      <c r="E1146" t="s">
        <v>11</v>
      </c>
      <c r="F1146" t="s">
        <v>9</v>
      </c>
      <c r="G1146">
        <v>9630.3970000000008</v>
      </c>
    </row>
    <row r="1147" spans="1:7" x14ac:dyDescent="0.25">
      <c r="A1147">
        <v>52</v>
      </c>
      <c r="B1147" t="s">
        <v>10</v>
      </c>
      <c r="C1147">
        <v>32.774999999999999</v>
      </c>
      <c r="D1147">
        <v>3</v>
      </c>
      <c r="E1147" t="s">
        <v>11</v>
      </c>
      <c r="F1147" t="s">
        <v>13</v>
      </c>
      <c r="G1147">
        <v>11289.10925</v>
      </c>
    </row>
    <row r="1148" spans="1:7" x14ac:dyDescent="0.25">
      <c r="A1148">
        <v>60</v>
      </c>
      <c r="B1148" t="s">
        <v>10</v>
      </c>
      <c r="C1148">
        <v>32.799999999999997</v>
      </c>
      <c r="D1148">
        <v>0</v>
      </c>
      <c r="E1148" t="s">
        <v>8</v>
      </c>
      <c r="F1148" t="s">
        <v>9</v>
      </c>
      <c r="G1148">
        <v>52590.829389999999</v>
      </c>
    </row>
    <row r="1149" spans="1:7" x14ac:dyDescent="0.25">
      <c r="A1149">
        <v>20</v>
      </c>
      <c r="B1149" t="s">
        <v>7</v>
      </c>
      <c r="C1149">
        <v>31.92</v>
      </c>
      <c r="D1149">
        <v>0</v>
      </c>
      <c r="E1149" t="s">
        <v>11</v>
      </c>
      <c r="F1149" t="s">
        <v>13</v>
      </c>
      <c r="G1149">
        <v>2261.5688</v>
      </c>
    </row>
    <row r="1150" spans="1:7" x14ac:dyDescent="0.25">
      <c r="A1150">
        <v>55</v>
      </c>
      <c r="B1150" t="s">
        <v>10</v>
      </c>
      <c r="C1150">
        <v>21.5</v>
      </c>
      <c r="D1150">
        <v>1</v>
      </c>
      <c r="E1150" t="s">
        <v>11</v>
      </c>
      <c r="F1150" t="s">
        <v>9</v>
      </c>
      <c r="G1150">
        <v>10791.96</v>
      </c>
    </row>
    <row r="1151" spans="1:7" x14ac:dyDescent="0.25">
      <c r="A1151">
        <v>42</v>
      </c>
      <c r="B1151" t="s">
        <v>10</v>
      </c>
      <c r="C1151">
        <v>34.1</v>
      </c>
      <c r="D1151">
        <v>0</v>
      </c>
      <c r="E1151" t="s">
        <v>11</v>
      </c>
      <c r="F1151" t="s">
        <v>9</v>
      </c>
      <c r="G1151">
        <v>5979.7309999999998</v>
      </c>
    </row>
    <row r="1152" spans="1:7" x14ac:dyDescent="0.25">
      <c r="A1152">
        <v>18</v>
      </c>
      <c r="B1152" t="s">
        <v>7</v>
      </c>
      <c r="C1152">
        <v>30.305</v>
      </c>
      <c r="D1152">
        <v>0</v>
      </c>
      <c r="E1152" t="s">
        <v>11</v>
      </c>
      <c r="F1152" t="s">
        <v>14</v>
      </c>
      <c r="G1152">
        <v>2203.7359499999998</v>
      </c>
    </row>
    <row r="1153" spans="1:7" x14ac:dyDescent="0.25">
      <c r="A1153">
        <v>58</v>
      </c>
      <c r="B1153" t="s">
        <v>7</v>
      </c>
      <c r="C1153">
        <v>36.479999999999997</v>
      </c>
      <c r="D1153">
        <v>0</v>
      </c>
      <c r="E1153" t="s">
        <v>11</v>
      </c>
      <c r="F1153" t="s">
        <v>13</v>
      </c>
      <c r="G1153">
        <v>12235.8392</v>
      </c>
    </row>
    <row r="1154" spans="1:7" x14ac:dyDescent="0.25">
      <c r="A1154">
        <v>43</v>
      </c>
      <c r="B1154" t="s">
        <v>7</v>
      </c>
      <c r="C1154">
        <v>32.56</v>
      </c>
      <c r="D1154">
        <v>3</v>
      </c>
      <c r="E1154" t="s">
        <v>8</v>
      </c>
      <c r="F1154" t="s">
        <v>12</v>
      </c>
      <c r="G1154">
        <v>40941.285400000001</v>
      </c>
    </row>
    <row r="1155" spans="1:7" x14ac:dyDescent="0.25">
      <c r="A1155">
        <v>35</v>
      </c>
      <c r="B1155" t="s">
        <v>7</v>
      </c>
      <c r="C1155">
        <v>35.814999999999998</v>
      </c>
      <c r="D1155">
        <v>1</v>
      </c>
      <c r="E1155" t="s">
        <v>11</v>
      </c>
      <c r="F1155" t="s">
        <v>13</v>
      </c>
      <c r="G1155">
        <v>5630.4578499999998</v>
      </c>
    </row>
    <row r="1156" spans="1:7" x14ac:dyDescent="0.25">
      <c r="A1156">
        <v>48</v>
      </c>
      <c r="B1156" t="s">
        <v>7</v>
      </c>
      <c r="C1156">
        <v>27.93</v>
      </c>
      <c r="D1156">
        <v>4</v>
      </c>
      <c r="E1156" t="s">
        <v>11</v>
      </c>
      <c r="F1156" t="s">
        <v>13</v>
      </c>
      <c r="G1156">
        <v>11015.1747</v>
      </c>
    </row>
    <row r="1157" spans="1:7" x14ac:dyDescent="0.25">
      <c r="A1157">
        <v>36</v>
      </c>
      <c r="B1157" t="s">
        <v>7</v>
      </c>
      <c r="C1157">
        <v>22.135000000000002</v>
      </c>
      <c r="D1157">
        <v>3</v>
      </c>
      <c r="E1157" t="s">
        <v>11</v>
      </c>
      <c r="F1157" t="s">
        <v>14</v>
      </c>
      <c r="G1157">
        <v>7228.2156500000001</v>
      </c>
    </row>
    <row r="1158" spans="1:7" x14ac:dyDescent="0.25">
      <c r="A1158">
        <v>19</v>
      </c>
      <c r="B1158" t="s">
        <v>10</v>
      </c>
      <c r="C1158">
        <v>44.88</v>
      </c>
      <c r="D1158">
        <v>0</v>
      </c>
      <c r="E1158" t="s">
        <v>8</v>
      </c>
      <c r="F1158" t="s">
        <v>12</v>
      </c>
      <c r="G1158">
        <v>39722.746200000001</v>
      </c>
    </row>
    <row r="1159" spans="1:7" x14ac:dyDescent="0.25">
      <c r="A1159">
        <v>23</v>
      </c>
      <c r="B1159" t="s">
        <v>7</v>
      </c>
      <c r="C1159">
        <v>23.18</v>
      </c>
      <c r="D1159">
        <v>2</v>
      </c>
      <c r="E1159" t="s">
        <v>11</v>
      </c>
      <c r="F1159" t="s">
        <v>13</v>
      </c>
      <c r="G1159">
        <v>14426.073850000001</v>
      </c>
    </row>
    <row r="1160" spans="1:7" x14ac:dyDescent="0.25">
      <c r="A1160">
        <v>20</v>
      </c>
      <c r="B1160" t="s">
        <v>7</v>
      </c>
      <c r="C1160">
        <v>30.59</v>
      </c>
      <c r="D1160">
        <v>0</v>
      </c>
      <c r="E1160" t="s">
        <v>11</v>
      </c>
      <c r="F1160" t="s">
        <v>14</v>
      </c>
      <c r="G1160">
        <v>2459.7201</v>
      </c>
    </row>
    <row r="1161" spans="1:7" x14ac:dyDescent="0.25">
      <c r="A1161">
        <v>32</v>
      </c>
      <c r="B1161" t="s">
        <v>7</v>
      </c>
      <c r="C1161">
        <v>41.1</v>
      </c>
      <c r="D1161">
        <v>0</v>
      </c>
      <c r="E1161" t="s">
        <v>11</v>
      </c>
      <c r="F1161" t="s">
        <v>9</v>
      </c>
      <c r="G1161">
        <v>3989.8409999999999</v>
      </c>
    </row>
    <row r="1162" spans="1:7" x14ac:dyDescent="0.25">
      <c r="A1162">
        <v>43</v>
      </c>
      <c r="B1162" t="s">
        <v>7</v>
      </c>
      <c r="C1162">
        <v>34.58</v>
      </c>
      <c r="D1162">
        <v>1</v>
      </c>
      <c r="E1162" t="s">
        <v>11</v>
      </c>
      <c r="F1162" t="s">
        <v>13</v>
      </c>
      <c r="G1162">
        <v>7727.2532000000001</v>
      </c>
    </row>
    <row r="1163" spans="1:7" x14ac:dyDescent="0.25">
      <c r="A1163">
        <v>34</v>
      </c>
      <c r="B1163" t="s">
        <v>10</v>
      </c>
      <c r="C1163">
        <v>42.13</v>
      </c>
      <c r="D1163">
        <v>2</v>
      </c>
      <c r="E1163" t="s">
        <v>11</v>
      </c>
      <c r="F1163" t="s">
        <v>12</v>
      </c>
      <c r="G1163">
        <v>5124.1886999999997</v>
      </c>
    </row>
    <row r="1164" spans="1:7" x14ac:dyDescent="0.25">
      <c r="A1164">
        <v>30</v>
      </c>
      <c r="B1164" t="s">
        <v>10</v>
      </c>
      <c r="C1164">
        <v>38.83</v>
      </c>
      <c r="D1164">
        <v>1</v>
      </c>
      <c r="E1164" t="s">
        <v>11</v>
      </c>
      <c r="F1164" t="s">
        <v>12</v>
      </c>
      <c r="G1164">
        <v>18963.171920000001</v>
      </c>
    </row>
    <row r="1165" spans="1:7" x14ac:dyDescent="0.25">
      <c r="A1165">
        <v>18</v>
      </c>
      <c r="B1165" t="s">
        <v>7</v>
      </c>
      <c r="C1165">
        <v>28.215</v>
      </c>
      <c r="D1165">
        <v>0</v>
      </c>
      <c r="E1165" t="s">
        <v>11</v>
      </c>
      <c r="F1165" t="s">
        <v>14</v>
      </c>
      <c r="G1165">
        <v>2200.8308499999998</v>
      </c>
    </row>
    <row r="1166" spans="1:7" x14ac:dyDescent="0.25">
      <c r="A1166">
        <v>41</v>
      </c>
      <c r="B1166" t="s">
        <v>7</v>
      </c>
      <c r="C1166">
        <v>28.31</v>
      </c>
      <c r="D1166">
        <v>1</v>
      </c>
      <c r="E1166" t="s">
        <v>11</v>
      </c>
      <c r="F1166" t="s">
        <v>13</v>
      </c>
      <c r="G1166">
        <v>7153.5538999999999</v>
      </c>
    </row>
    <row r="1167" spans="1:7" x14ac:dyDescent="0.25">
      <c r="A1167">
        <v>35</v>
      </c>
      <c r="B1167" t="s">
        <v>7</v>
      </c>
      <c r="C1167">
        <v>26.125</v>
      </c>
      <c r="D1167">
        <v>0</v>
      </c>
      <c r="E1167" t="s">
        <v>11</v>
      </c>
      <c r="F1167" t="s">
        <v>14</v>
      </c>
      <c r="G1167">
        <v>5227.9887500000004</v>
      </c>
    </row>
    <row r="1168" spans="1:7" x14ac:dyDescent="0.25">
      <c r="A1168">
        <v>57</v>
      </c>
      <c r="B1168" t="s">
        <v>10</v>
      </c>
      <c r="C1168">
        <v>40.369999999999997</v>
      </c>
      <c r="D1168">
        <v>0</v>
      </c>
      <c r="E1168" t="s">
        <v>11</v>
      </c>
      <c r="F1168" t="s">
        <v>12</v>
      </c>
      <c r="G1168">
        <v>10982.5013</v>
      </c>
    </row>
    <row r="1169" spans="1:7" x14ac:dyDescent="0.25">
      <c r="A1169">
        <v>29</v>
      </c>
      <c r="B1169" t="s">
        <v>7</v>
      </c>
      <c r="C1169">
        <v>24.6</v>
      </c>
      <c r="D1169">
        <v>2</v>
      </c>
      <c r="E1169" t="s">
        <v>11</v>
      </c>
      <c r="F1169" t="s">
        <v>9</v>
      </c>
      <c r="G1169">
        <v>4529.4769999999999</v>
      </c>
    </row>
    <row r="1170" spans="1:7" x14ac:dyDescent="0.25">
      <c r="A1170">
        <v>32</v>
      </c>
      <c r="B1170" t="s">
        <v>10</v>
      </c>
      <c r="C1170">
        <v>35.200000000000003</v>
      </c>
      <c r="D1170">
        <v>2</v>
      </c>
      <c r="E1170" t="s">
        <v>11</v>
      </c>
      <c r="F1170" t="s">
        <v>9</v>
      </c>
      <c r="G1170">
        <v>4670.6400000000003</v>
      </c>
    </row>
    <row r="1171" spans="1:7" x14ac:dyDescent="0.25">
      <c r="A1171">
        <v>37</v>
      </c>
      <c r="B1171" t="s">
        <v>7</v>
      </c>
      <c r="C1171">
        <v>34.104999999999997</v>
      </c>
      <c r="D1171">
        <v>1</v>
      </c>
      <c r="E1171" t="s">
        <v>11</v>
      </c>
      <c r="F1171" t="s">
        <v>13</v>
      </c>
      <c r="G1171">
        <v>6112.3529500000004</v>
      </c>
    </row>
    <row r="1172" spans="1:7" x14ac:dyDescent="0.25">
      <c r="A1172">
        <v>18</v>
      </c>
      <c r="B1172" t="s">
        <v>10</v>
      </c>
      <c r="C1172">
        <v>27.36</v>
      </c>
      <c r="D1172">
        <v>1</v>
      </c>
      <c r="E1172" t="s">
        <v>8</v>
      </c>
      <c r="F1172" t="s">
        <v>14</v>
      </c>
      <c r="G1172">
        <v>17178.682400000002</v>
      </c>
    </row>
    <row r="1173" spans="1:7" x14ac:dyDescent="0.25">
      <c r="A1173">
        <v>43</v>
      </c>
      <c r="B1173" t="s">
        <v>7</v>
      </c>
      <c r="C1173">
        <v>26.7</v>
      </c>
      <c r="D1173">
        <v>2</v>
      </c>
      <c r="E1173" t="s">
        <v>8</v>
      </c>
      <c r="F1173" t="s">
        <v>9</v>
      </c>
      <c r="G1173">
        <v>22478.6</v>
      </c>
    </row>
    <row r="1174" spans="1:7" x14ac:dyDescent="0.25">
      <c r="A1174">
        <v>56</v>
      </c>
      <c r="B1174" t="s">
        <v>7</v>
      </c>
      <c r="C1174">
        <v>41.91</v>
      </c>
      <c r="D1174">
        <v>0</v>
      </c>
      <c r="E1174" t="s">
        <v>11</v>
      </c>
      <c r="F1174" t="s">
        <v>12</v>
      </c>
      <c r="G1174">
        <v>11093.6229</v>
      </c>
    </row>
    <row r="1175" spans="1:7" x14ac:dyDescent="0.25">
      <c r="A1175">
        <v>38</v>
      </c>
      <c r="B1175" t="s">
        <v>10</v>
      </c>
      <c r="C1175">
        <v>29.26</v>
      </c>
      <c r="D1175">
        <v>2</v>
      </c>
      <c r="E1175" t="s">
        <v>11</v>
      </c>
      <c r="F1175" t="s">
        <v>13</v>
      </c>
      <c r="G1175">
        <v>6457.8433999999997</v>
      </c>
    </row>
    <row r="1176" spans="1:7" x14ac:dyDescent="0.25">
      <c r="A1176">
        <v>29</v>
      </c>
      <c r="B1176" t="s">
        <v>10</v>
      </c>
      <c r="C1176">
        <v>32.11</v>
      </c>
      <c r="D1176">
        <v>2</v>
      </c>
      <c r="E1176" t="s">
        <v>11</v>
      </c>
      <c r="F1176" t="s">
        <v>13</v>
      </c>
      <c r="G1176">
        <v>4433.9159</v>
      </c>
    </row>
    <row r="1177" spans="1:7" x14ac:dyDescent="0.25">
      <c r="A1177">
        <v>22</v>
      </c>
      <c r="B1177" t="s">
        <v>7</v>
      </c>
      <c r="C1177">
        <v>27.1</v>
      </c>
      <c r="D1177">
        <v>0</v>
      </c>
      <c r="E1177" t="s">
        <v>11</v>
      </c>
      <c r="F1177" t="s">
        <v>9</v>
      </c>
      <c r="G1177">
        <v>2154.3609999999999</v>
      </c>
    </row>
    <row r="1178" spans="1:7" x14ac:dyDescent="0.25">
      <c r="A1178">
        <v>52</v>
      </c>
      <c r="B1178" t="s">
        <v>7</v>
      </c>
      <c r="C1178">
        <v>24.13</v>
      </c>
      <c r="D1178">
        <v>1</v>
      </c>
      <c r="E1178" t="s">
        <v>8</v>
      </c>
      <c r="F1178" t="s">
        <v>13</v>
      </c>
      <c r="G1178">
        <v>23887.662700000001</v>
      </c>
    </row>
    <row r="1179" spans="1:7" x14ac:dyDescent="0.25">
      <c r="A1179">
        <v>40</v>
      </c>
      <c r="B1179" t="s">
        <v>7</v>
      </c>
      <c r="C1179">
        <v>27.4</v>
      </c>
      <c r="D1179">
        <v>1</v>
      </c>
      <c r="E1179" t="s">
        <v>11</v>
      </c>
      <c r="F1179" t="s">
        <v>9</v>
      </c>
      <c r="G1179">
        <v>6496.8860000000004</v>
      </c>
    </row>
    <row r="1180" spans="1:7" x14ac:dyDescent="0.25">
      <c r="A1180">
        <v>23</v>
      </c>
      <c r="B1180" t="s">
        <v>7</v>
      </c>
      <c r="C1180">
        <v>34.865000000000002</v>
      </c>
      <c r="D1180">
        <v>0</v>
      </c>
      <c r="E1180" t="s">
        <v>11</v>
      </c>
      <c r="F1180" t="s">
        <v>14</v>
      </c>
      <c r="G1180">
        <v>2899.4893499999998</v>
      </c>
    </row>
    <row r="1181" spans="1:7" x14ac:dyDescent="0.25">
      <c r="A1181">
        <v>31</v>
      </c>
      <c r="B1181" t="s">
        <v>10</v>
      </c>
      <c r="C1181">
        <v>29.81</v>
      </c>
      <c r="D1181">
        <v>0</v>
      </c>
      <c r="E1181" t="s">
        <v>8</v>
      </c>
      <c r="F1181" t="s">
        <v>12</v>
      </c>
      <c r="G1181">
        <v>19350.368900000001</v>
      </c>
    </row>
    <row r="1182" spans="1:7" x14ac:dyDescent="0.25">
      <c r="A1182">
        <v>42</v>
      </c>
      <c r="B1182" t="s">
        <v>7</v>
      </c>
      <c r="C1182">
        <v>41.325000000000003</v>
      </c>
      <c r="D1182">
        <v>1</v>
      </c>
      <c r="E1182" t="s">
        <v>11</v>
      </c>
      <c r="F1182" t="s">
        <v>14</v>
      </c>
      <c r="G1182">
        <v>7650.7737500000003</v>
      </c>
    </row>
    <row r="1183" spans="1:7" x14ac:dyDescent="0.25">
      <c r="A1183">
        <v>24</v>
      </c>
      <c r="B1183" t="s">
        <v>7</v>
      </c>
      <c r="C1183">
        <v>29.925000000000001</v>
      </c>
      <c r="D1183">
        <v>0</v>
      </c>
      <c r="E1183" t="s">
        <v>11</v>
      </c>
      <c r="F1183" t="s">
        <v>13</v>
      </c>
      <c r="G1183">
        <v>2850.6837500000001</v>
      </c>
    </row>
    <row r="1184" spans="1:7" x14ac:dyDescent="0.25">
      <c r="A1184">
        <v>25</v>
      </c>
      <c r="B1184" t="s">
        <v>7</v>
      </c>
      <c r="C1184">
        <v>30.3</v>
      </c>
      <c r="D1184">
        <v>0</v>
      </c>
      <c r="E1184" t="s">
        <v>11</v>
      </c>
      <c r="F1184" t="s">
        <v>9</v>
      </c>
      <c r="G1184">
        <v>2632.9920000000002</v>
      </c>
    </row>
    <row r="1185" spans="1:7" x14ac:dyDescent="0.25">
      <c r="A1185">
        <v>48</v>
      </c>
      <c r="B1185" t="s">
        <v>7</v>
      </c>
      <c r="C1185">
        <v>27.36</v>
      </c>
      <c r="D1185">
        <v>1</v>
      </c>
      <c r="E1185" t="s">
        <v>11</v>
      </c>
      <c r="F1185" t="s">
        <v>14</v>
      </c>
      <c r="G1185">
        <v>9447.3824000000004</v>
      </c>
    </row>
    <row r="1186" spans="1:7" x14ac:dyDescent="0.25">
      <c r="A1186">
        <v>23</v>
      </c>
      <c r="B1186" t="s">
        <v>7</v>
      </c>
      <c r="C1186">
        <v>28.49</v>
      </c>
      <c r="D1186">
        <v>1</v>
      </c>
      <c r="E1186" t="s">
        <v>8</v>
      </c>
      <c r="F1186" t="s">
        <v>12</v>
      </c>
      <c r="G1186">
        <v>18328.238099999999</v>
      </c>
    </row>
    <row r="1187" spans="1:7" x14ac:dyDescent="0.25">
      <c r="A1187">
        <v>45</v>
      </c>
      <c r="B1187" t="s">
        <v>10</v>
      </c>
      <c r="C1187">
        <v>23.56</v>
      </c>
      <c r="D1187">
        <v>2</v>
      </c>
      <c r="E1187" t="s">
        <v>11</v>
      </c>
      <c r="F1187" t="s">
        <v>14</v>
      </c>
      <c r="G1187">
        <v>8603.8233999999993</v>
      </c>
    </row>
    <row r="1188" spans="1:7" x14ac:dyDescent="0.25">
      <c r="A1188">
        <v>20</v>
      </c>
      <c r="B1188" t="s">
        <v>10</v>
      </c>
      <c r="C1188">
        <v>35.625</v>
      </c>
      <c r="D1188">
        <v>3</v>
      </c>
      <c r="E1188" t="s">
        <v>8</v>
      </c>
      <c r="F1188" t="s">
        <v>13</v>
      </c>
      <c r="G1188">
        <v>37465.34375</v>
      </c>
    </row>
    <row r="1189" spans="1:7" x14ac:dyDescent="0.25">
      <c r="A1189">
        <v>62</v>
      </c>
      <c r="B1189" t="s">
        <v>7</v>
      </c>
      <c r="C1189">
        <v>32.68</v>
      </c>
      <c r="D1189">
        <v>0</v>
      </c>
      <c r="E1189" t="s">
        <v>11</v>
      </c>
      <c r="F1189" t="s">
        <v>13</v>
      </c>
      <c r="G1189">
        <v>13844.797200000001</v>
      </c>
    </row>
    <row r="1190" spans="1:7" x14ac:dyDescent="0.25">
      <c r="A1190">
        <v>43</v>
      </c>
      <c r="B1190" t="s">
        <v>7</v>
      </c>
      <c r="C1190">
        <v>25.27</v>
      </c>
      <c r="D1190">
        <v>1</v>
      </c>
      <c r="E1190" t="s">
        <v>8</v>
      </c>
      <c r="F1190" t="s">
        <v>14</v>
      </c>
      <c r="G1190">
        <v>21771.3423</v>
      </c>
    </row>
    <row r="1191" spans="1:7" x14ac:dyDescent="0.25">
      <c r="A1191">
        <v>23</v>
      </c>
      <c r="B1191" t="s">
        <v>7</v>
      </c>
      <c r="C1191">
        <v>28</v>
      </c>
      <c r="D1191">
        <v>0</v>
      </c>
      <c r="E1191" t="s">
        <v>11</v>
      </c>
      <c r="F1191" t="s">
        <v>9</v>
      </c>
      <c r="G1191">
        <v>13126.677449999999</v>
      </c>
    </row>
    <row r="1192" spans="1:7" x14ac:dyDescent="0.25">
      <c r="A1192">
        <v>31</v>
      </c>
      <c r="B1192" t="s">
        <v>7</v>
      </c>
      <c r="C1192">
        <v>32.774999999999999</v>
      </c>
      <c r="D1192">
        <v>2</v>
      </c>
      <c r="E1192" t="s">
        <v>11</v>
      </c>
      <c r="F1192" t="s">
        <v>13</v>
      </c>
      <c r="G1192">
        <v>5327.4002499999997</v>
      </c>
    </row>
    <row r="1193" spans="1:7" x14ac:dyDescent="0.25">
      <c r="A1193">
        <v>41</v>
      </c>
      <c r="B1193" t="s">
        <v>7</v>
      </c>
      <c r="C1193">
        <v>21.754999999999999</v>
      </c>
      <c r="D1193">
        <v>1</v>
      </c>
      <c r="E1193" t="s">
        <v>11</v>
      </c>
      <c r="F1193" t="s">
        <v>14</v>
      </c>
      <c r="G1193">
        <v>13725.47184</v>
      </c>
    </row>
    <row r="1194" spans="1:7" x14ac:dyDescent="0.25">
      <c r="A1194">
        <v>58</v>
      </c>
      <c r="B1194" t="s">
        <v>7</v>
      </c>
      <c r="C1194">
        <v>32.395000000000003</v>
      </c>
      <c r="D1194">
        <v>1</v>
      </c>
      <c r="E1194" t="s">
        <v>11</v>
      </c>
      <c r="F1194" t="s">
        <v>14</v>
      </c>
      <c r="G1194">
        <v>13019.161050000001</v>
      </c>
    </row>
    <row r="1195" spans="1:7" x14ac:dyDescent="0.25">
      <c r="A1195">
        <v>48</v>
      </c>
      <c r="B1195" t="s">
        <v>7</v>
      </c>
      <c r="C1195">
        <v>36.575000000000003</v>
      </c>
      <c r="D1195">
        <v>0</v>
      </c>
      <c r="E1195" t="s">
        <v>11</v>
      </c>
      <c r="F1195" t="s">
        <v>13</v>
      </c>
      <c r="G1195">
        <v>8671.1912499999999</v>
      </c>
    </row>
    <row r="1196" spans="1:7" x14ac:dyDescent="0.25">
      <c r="A1196">
        <v>31</v>
      </c>
      <c r="B1196" t="s">
        <v>7</v>
      </c>
      <c r="C1196">
        <v>21.754999999999999</v>
      </c>
      <c r="D1196">
        <v>0</v>
      </c>
      <c r="E1196" t="s">
        <v>11</v>
      </c>
      <c r="F1196" t="s">
        <v>13</v>
      </c>
      <c r="G1196">
        <v>4134.0824499999999</v>
      </c>
    </row>
    <row r="1197" spans="1:7" x14ac:dyDescent="0.25">
      <c r="A1197">
        <v>19</v>
      </c>
      <c r="B1197" t="s">
        <v>7</v>
      </c>
      <c r="C1197">
        <v>27.93</v>
      </c>
      <c r="D1197">
        <v>3</v>
      </c>
      <c r="E1197" t="s">
        <v>11</v>
      </c>
      <c r="F1197" t="s">
        <v>13</v>
      </c>
      <c r="G1197">
        <v>18838.703659999999</v>
      </c>
    </row>
    <row r="1198" spans="1:7" x14ac:dyDescent="0.25">
      <c r="A1198">
        <v>19</v>
      </c>
      <c r="B1198" t="s">
        <v>7</v>
      </c>
      <c r="C1198">
        <v>30.02</v>
      </c>
      <c r="D1198">
        <v>0</v>
      </c>
      <c r="E1198" t="s">
        <v>8</v>
      </c>
      <c r="F1198" t="s">
        <v>13</v>
      </c>
      <c r="G1198">
        <v>33307.550799999997</v>
      </c>
    </row>
    <row r="1199" spans="1:7" x14ac:dyDescent="0.25">
      <c r="A1199">
        <v>41</v>
      </c>
      <c r="B1199" t="s">
        <v>10</v>
      </c>
      <c r="C1199">
        <v>33.549999999999997</v>
      </c>
      <c r="D1199">
        <v>0</v>
      </c>
      <c r="E1199" t="s">
        <v>11</v>
      </c>
      <c r="F1199" t="s">
        <v>12</v>
      </c>
      <c r="G1199">
        <v>5699.8374999999996</v>
      </c>
    </row>
    <row r="1200" spans="1:7" x14ac:dyDescent="0.25">
      <c r="A1200">
        <v>40</v>
      </c>
      <c r="B1200" t="s">
        <v>10</v>
      </c>
      <c r="C1200">
        <v>29.355</v>
      </c>
      <c r="D1200">
        <v>1</v>
      </c>
      <c r="E1200" t="s">
        <v>11</v>
      </c>
      <c r="F1200" t="s">
        <v>13</v>
      </c>
      <c r="G1200">
        <v>6393.6034499999996</v>
      </c>
    </row>
    <row r="1201" spans="1:7" x14ac:dyDescent="0.25">
      <c r="A1201">
        <v>31</v>
      </c>
      <c r="B1201" t="s">
        <v>7</v>
      </c>
      <c r="C1201">
        <v>25.8</v>
      </c>
      <c r="D1201">
        <v>2</v>
      </c>
      <c r="E1201" t="s">
        <v>11</v>
      </c>
      <c r="F1201" t="s">
        <v>9</v>
      </c>
      <c r="G1201">
        <v>4934.7049999999999</v>
      </c>
    </row>
    <row r="1202" spans="1:7" x14ac:dyDescent="0.25">
      <c r="A1202">
        <v>37</v>
      </c>
      <c r="B1202" t="s">
        <v>10</v>
      </c>
      <c r="C1202">
        <v>24.32</v>
      </c>
      <c r="D1202">
        <v>2</v>
      </c>
      <c r="E1202" t="s">
        <v>11</v>
      </c>
      <c r="F1202" t="s">
        <v>13</v>
      </c>
      <c r="G1202">
        <v>6198.7518</v>
      </c>
    </row>
    <row r="1203" spans="1:7" x14ac:dyDescent="0.25">
      <c r="A1203">
        <v>46</v>
      </c>
      <c r="B1203" t="s">
        <v>10</v>
      </c>
      <c r="C1203">
        <v>40.375</v>
      </c>
      <c r="D1203">
        <v>2</v>
      </c>
      <c r="E1203" t="s">
        <v>11</v>
      </c>
      <c r="F1203" t="s">
        <v>13</v>
      </c>
      <c r="G1203">
        <v>8733.2292500000003</v>
      </c>
    </row>
    <row r="1204" spans="1:7" x14ac:dyDescent="0.25">
      <c r="A1204">
        <v>22</v>
      </c>
      <c r="B1204" t="s">
        <v>10</v>
      </c>
      <c r="C1204">
        <v>32.11</v>
      </c>
      <c r="D1204">
        <v>0</v>
      </c>
      <c r="E1204" t="s">
        <v>11</v>
      </c>
      <c r="F1204" t="s">
        <v>13</v>
      </c>
      <c r="G1204">
        <v>2055.3249000000001</v>
      </c>
    </row>
    <row r="1205" spans="1:7" x14ac:dyDescent="0.25">
      <c r="A1205">
        <v>51</v>
      </c>
      <c r="B1205" t="s">
        <v>10</v>
      </c>
      <c r="C1205">
        <v>32.299999999999997</v>
      </c>
      <c r="D1205">
        <v>1</v>
      </c>
      <c r="E1205" t="s">
        <v>11</v>
      </c>
      <c r="F1205" t="s">
        <v>14</v>
      </c>
      <c r="G1205">
        <v>9964.06</v>
      </c>
    </row>
    <row r="1206" spans="1:7" x14ac:dyDescent="0.25">
      <c r="A1206">
        <v>18</v>
      </c>
      <c r="B1206" t="s">
        <v>7</v>
      </c>
      <c r="C1206">
        <v>27.28</v>
      </c>
      <c r="D1206">
        <v>3</v>
      </c>
      <c r="E1206" t="s">
        <v>8</v>
      </c>
      <c r="F1206" t="s">
        <v>12</v>
      </c>
      <c r="G1206">
        <v>18223.4512</v>
      </c>
    </row>
    <row r="1207" spans="1:7" x14ac:dyDescent="0.25">
      <c r="A1207">
        <v>35</v>
      </c>
      <c r="B1207" t="s">
        <v>10</v>
      </c>
      <c r="C1207">
        <v>17.86</v>
      </c>
      <c r="D1207">
        <v>1</v>
      </c>
      <c r="E1207" t="s">
        <v>11</v>
      </c>
      <c r="F1207" t="s">
        <v>13</v>
      </c>
      <c r="G1207">
        <v>5116.5003999999999</v>
      </c>
    </row>
    <row r="1208" spans="1:7" x14ac:dyDescent="0.25">
      <c r="A1208">
        <v>59</v>
      </c>
      <c r="B1208" t="s">
        <v>7</v>
      </c>
      <c r="C1208">
        <v>34.799999999999997</v>
      </c>
      <c r="D1208">
        <v>2</v>
      </c>
      <c r="E1208" t="s">
        <v>11</v>
      </c>
      <c r="F1208" t="s">
        <v>9</v>
      </c>
      <c r="G1208">
        <v>36910.608030000003</v>
      </c>
    </row>
    <row r="1209" spans="1:7" x14ac:dyDescent="0.25">
      <c r="A1209">
        <v>36</v>
      </c>
      <c r="B1209" t="s">
        <v>10</v>
      </c>
      <c r="C1209">
        <v>33.4</v>
      </c>
      <c r="D1209">
        <v>2</v>
      </c>
      <c r="E1209" t="s">
        <v>8</v>
      </c>
      <c r="F1209" t="s">
        <v>9</v>
      </c>
      <c r="G1209">
        <v>38415.474000000002</v>
      </c>
    </row>
    <row r="1210" spans="1:7" x14ac:dyDescent="0.25">
      <c r="A1210">
        <v>37</v>
      </c>
      <c r="B1210" t="s">
        <v>7</v>
      </c>
      <c r="C1210">
        <v>25.555</v>
      </c>
      <c r="D1210">
        <v>1</v>
      </c>
      <c r="E1210" t="s">
        <v>8</v>
      </c>
      <c r="F1210" t="s">
        <v>14</v>
      </c>
      <c r="G1210">
        <v>20296.863450000001</v>
      </c>
    </row>
    <row r="1211" spans="1:7" x14ac:dyDescent="0.25">
      <c r="A1211">
        <v>59</v>
      </c>
      <c r="B1211" t="s">
        <v>10</v>
      </c>
      <c r="C1211">
        <v>37.1</v>
      </c>
      <c r="D1211">
        <v>1</v>
      </c>
      <c r="E1211" t="s">
        <v>11</v>
      </c>
      <c r="F1211" t="s">
        <v>9</v>
      </c>
      <c r="G1211">
        <v>12347.172</v>
      </c>
    </row>
    <row r="1212" spans="1:7" x14ac:dyDescent="0.25">
      <c r="A1212">
        <v>36</v>
      </c>
      <c r="B1212" t="s">
        <v>10</v>
      </c>
      <c r="C1212">
        <v>30.875</v>
      </c>
      <c r="D1212">
        <v>1</v>
      </c>
      <c r="E1212" t="s">
        <v>11</v>
      </c>
      <c r="F1212" t="s">
        <v>13</v>
      </c>
      <c r="G1212">
        <v>5373.3642499999996</v>
      </c>
    </row>
    <row r="1213" spans="1:7" x14ac:dyDescent="0.25">
      <c r="A1213">
        <v>39</v>
      </c>
      <c r="B1213" t="s">
        <v>10</v>
      </c>
      <c r="C1213">
        <v>34.1</v>
      </c>
      <c r="D1213">
        <v>2</v>
      </c>
      <c r="E1213" t="s">
        <v>11</v>
      </c>
      <c r="F1213" t="s">
        <v>12</v>
      </c>
      <c r="G1213">
        <v>23563.016179999999</v>
      </c>
    </row>
    <row r="1214" spans="1:7" x14ac:dyDescent="0.25">
      <c r="A1214">
        <v>18</v>
      </c>
      <c r="B1214" t="s">
        <v>10</v>
      </c>
      <c r="C1214">
        <v>21.47</v>
      </c>
      <c r="D1214">
        <v>0</v>
      </c>
      <c r="E1214" t="s">
        <v>11</v>
      </c>
      <c r="F1214" t="s">
        <v>14</v>
      </c>
      <c r="G1214">
        <v>1702.4553000000001</v>
      </c>
    </row>
    <row r="1215" spans="1:7" x14ac:dyDescent="0.25">
      <c r="A1215">
        <v>52</v>
      </c>
      <c r="B1215" t="s">
        <v>7</v>
      </c>
      <c r="C1215">
        <v>33.299999999999997</v>
      </c>
      <c r="D1215">
        <v>2</v>
      </c>
      <c r="E1215" t="s">
        <v>11</v>
      </c>
      <c r="F1215" t="s">
        <v>9</v>
      </c>
      <c r="G1215">
        <v>10806.839</v>
      </c>
    </row>
    <row r="1216" spans="1:7" x14ac:dyDescent="0.25">
      <c r="A1216">
        <v>27</v>
      </c>
      <c r="B1216" t="s">
        <v>7</v>
      </c>
      <c r="C1216">
        <v>31.254999999999999</v>
      </c>
      <c r="D1216">
        <v>1</v>
      </c>
      <c r="E1216" t="s">
        <v>11</v>
      </c>
      <c r="F1216" t="s">
        <v>13</v>
      </c>
      <c r="G1216">
        <v>3956.0714499999999</v>
      </c>
    </row>
    <row r="1217" spans="1:7" x14ac:dyDescent="0.25">
      <c r="A1217">
        <v>18</v>
      </c>
      <c r="B1217" t="s">
        <v>10</v>
      </c>
      <c r="C1217">
        <v>39.14</v>
      </c>
      <c r="D1217">
        <v>0</v>
      </c>
      <c r="E1217" t="s">
        <v>11</v>
      </c>
      <c r="F1217" t="s">
        <v>14</v>
      </c>
      <c r="G1217">
        <v>12890.057650000001</v>
      </c>
    </row>
    <row r="1218" spans="1:7" x14ac:dyDescent="0.25">
      <c r="A1218">
        <v>40</v>
      </c>
      <c r="B1218" t="s">
        <v>10</v>
      </c>
      <c r="C1218">
        <v>25.08</v>
      </c>
      <c r="D1218">
        <v>0</v>
      </c>
      <c r="E1218" t="s">
        <v>11</v>
      </c>
      <c r="F1218" t="s">
        <v>12</v>
      </c>
      <c r="G1218">
        <v>5415.6611999999996</v>
      </c>
    </row>
    <row r="1219" spans="1:7" x14ac:dyDescent="0.25">
      <c r="A1219">
        <v>29</v>
      </c>
      <c r="B1219" t="s">
        <v>10</v>
      </c>
      <c r="C1219">
        <v>37.29</v>
      </c>
      <c r="D1219">
        <v>2</v>
      </c>
      <c r="E1219" t="s">
        <v>11</v>
      </c>
      <c r="F1219" t="s">
        <v>12</v>
      </c>
      <c r="G1219">
        <v>4058.1161000000002</v>
      </c>
    </row>
    <row r="1220" spans="1:7" x14ac:dyDescent="0.25">
      <c r="A1220">
        <v>46</v>
      </c>
      <c r="B1220" t="s">
        <v>7</v>
      </c>
      <c r="C1220">
        <v>34.6</v>
      </c>
      <c r="D1220">
        <v>1</v>
      </c>
      <c r="E1220" t="s">
        <v>8</v>
      </c>
      <c r="F1220" t="s">
        <v>9</v>
      </c>
      <c r="G1220">
        <v>41661.601999999999</v>
      </c>
    </row>
    <row r="1221" spans="1:7" x14ac:dyDescent="0.25">
      <c r="A1221">
        <v>38</v>
      </c>
      <c r="B1221" t="s">
        <v>7</v>
      </c>
      <c r="C1221">
        <v>30.21</v>
      </c>
      <c r="D1221">
        <v>3</v>
      </c>
      <c r="E1221" t="s">
        <v>11</v>
      </c>
      <c r="F1221" t="s">
        <v>13</v>
      </c>
      <c r="G1221">
        <v>7537.1638999999996</v>
      </c>
    </row>
    <row r="1222" spans="1:7" x14ac:dyDescent="0.25">
      <c r="A1222">
        <v>30</v>
      </c>
      <c r="B1222" t="s">
        <v>7</v>
      </c>
      <c r="C1222">
        <v>21.945</v>
      </c>
      <c r="D1222">
        <v>1</v>
      </c>
      <c r="E1222" t="s">
        <v>11</v>
      </c>
      <c r="F1222" t="s">
        <v>14</v>
      </c>
      <c r="G1222">
        <v>4718.2035500000002</v>
      </c>
    </row>
    <row r="1223" spans="1:7" x14ac:dyDescent="0.25">
      <c r="A1223">
        <v>40</v>
      </c>
      <c r="B1223" t="s">
        <v>10</v>
      </c>
      <c r="C1223">
        <v>24.97</v>
      </c>
      <c r="D1223">
        <v>2</v>
      </c>
      <c r="E1223" t="s">
        <v>11</v>
      </c>
      <c r="F1223" t="s">
        <v>12</v>
      </c>
      <c r="G1223">
        <v>6593.5083000000004</v>
      </c>
    </row>
    <row r="1224" spans="1:7" x14ac:dyDescent="0.25">
      <c r="A1224">
        <v>50</v>
      </c>
      <c r="B1224" t="s">
        <v>10</v>
      </c>
      <c r="C1224">
        <v>25.3</v>
      </c>
      <c r="D1224">
        <v>0</v>
      </c>
      <c r="E1224" t="s">
        <v>11</v>
      </c>
      <c r="F1224" t="s">
        <v>12</v>
      </c>
      <c r="G1224">
        <v>8442.6669999999995</v>
      </c>
    </row>
    <row r="1225" spans="1:7" x14ac:dyDescent="0.25">
      <c r="A1225">
        <v>20</v>
      </c>
      <c r="B1225" t="s">
        <v>7</v>
      </c>
      <c r="C1225">
        <v>24.42</v>
      </c>
      <c r="D1225">
        <v>0</v>
      </c>
      <c r="E1225" t="s">
        <v>8</v>
      </c>
      <c r="F1225" t="s">
        <v>12</v>
      </c>
      <c r="G1225">
        <v>26125.674770000001</v>
      </c>
    </row>
    <row r="1226" spans="1:7" x14ac:dyDescent="0.25">
      <c r="A1226">
        <v>41</v>
      </c>
      <c r="B1226" t="s">
        <v>10</v>
      </c>
      <c r="C1226">
        <v>23.94</v>
      </c>
      <c r="D1226">
        <v>1</v>
      </c>
      <c r="E1226" t="s">
        <v>11</v>
      </c>
      <c r="F1226" t="s">
        <v>14</v>
      </c>
      <c r="G1226">
        <v>6858.4795999999997</v>
      </c>
    </row>
    <row r="1227" spans="1:7" x14ac:dyDescent="0.25">
      <c r="A1227">
        <v>33</v>
      </c>
      <c r="B1227" t="s">
        <v>7</v>
      </c>
      <c r="C1227">
        <v>39.82</v>
      </c>
      <c r="D1227">
        <v>1</v>
      </c>
      <c r="E1227" t="s">
        <v>11</v>
      </c>
      <c r="F1227" t="s">
        <v>12</v>
      </c>
      <c r="G1227">
        <v>4795.6567999999997</v>
      </c>
    </row>
    <row r="1228" spans="1:7" x14ac:dyDescent="0.25">
      <c r="A1228">
        <v>38</v>
      </c>
      <c r="B1228" t="s">
        <v>10</v>
      </c>
      <c r="C1228">
        <v>16.815000000000001</v>
      </c>
      <c r="D1228">
        <v>2</v>
      </c>
      <c r="E1228" t="s">
        <v>11</v>
      </c>
      <c r="F1228" t="s">
        <v>14</v>
      </c>
      <c r="G1228">
        <v>6640.5448500000002</v>
      </c>
    </row>
    <row r="1229" spans="1:7" x14ac:dyDescent="0.25">
      <c r="A1229">
        <v>42</v>
      </c>
      <c r="B1229" t="s">
        <v>10</v>
      </c>
      <c r="C1229">
        <v>37.18</v>
      </c>
      <c r="D1229">
        <v>2</v>
      </c>
      <c r="E1229" t="s">
        <v>11</v>
      </c>
      <c r="F1229" t="s">
        <v>12</v>
      </c>
      <c r="G1229">
        <v>7162.0122000000001</v>
      </c>
    </row>
    <row r="1230" spans="1:7" x14ac:dyDescent="0.25">
      <c r="A1230">
        <v>56</v>
      </c>
      <c r="B1230" t="s">
        <v>10</v>
      </c>
      <c r="C1230">
        <v>34.43</v>
      </c>
      <c r="D1230">
        <v>0</v>
      </c>
      <c r="E1230" t="s">
        <v>11</v>
      </c>
      <c r="F1230" t="s">
        <v>12</v>
      </c>
      <c r="G1230">
        <v>10594.225700000001</v>
      </c>
    </row>
    <row r="1231" spans="1:7" x14ac:dyDescent="0.25">
      <c r="A1231">
        <v>58</v>
      </c>
      <c r="B1231" t="s">
        <v>10</v>
      </c>
      <c r="C1231">
        <v>30.305</v>
      </c>
      <c r="D1231">
        <v>0</v>
      </c>
      <c r="E1231" t="s">
        <v>11</v>
      </c>
      <c r="F1231" t="s">
        <v>14</v>
      </c>
      <c r="G1231">
        <v>11938.255950000001</v>
      </c>
    </row>
    <row r="1232" spans="1:7" x14ac:dyDescent="0.25">
      <c r="A1232">
        <v>52</v>
      </c>
      <c r="B1232" t="s">
        <v>10</v>
      </c>
      <c r="C1232">
        <v>34.484999999999999</v>
      </c>
      <c r="D1232">
        <v>3</v>
      </c>
      <c r="E1232" t="s">
        <v>8</v>
      </c>
      <c r="F1232" t="s">
        <v>13</v>
      </c>
      <c r="G1232">
        <v>60021.398970000002</v>
      </c>
    </row>
    <row r="1233" spans="1:7" x14ac:dyDescent="0.25">
      <c r="A1233">
        <v>20</v>
      </c>
      <c r="B1233" t="s">
        <v>7</v>
      </c>
      <c r="C1233">
        <v>21.8</v>
      </c>
      <c r="D1233">
        <v>0</v>
      </c>
      <c r="E1233" t="s">
        <v>8</v>
      </c>
      <c r="F1233" t="s">
        <v>9</v>
      </c>
      <c r="G1233">
        <v>20167.336029999999</v>
      </c>
    </row>
    <row r="1234" spans="1:7" x14ac:dyDescent="0.25">
      <c r="A1234">
        <v>54</v>
      </c>
      <c r="B1234" t="s">
        <v>7</v>
      </c>
      <c r="C1234">
        <v>24.605</v>
      </c>
      <c r="D1234">
        <v>3</v>
      </c>
      <c r="E1234" t="s">
        <v>11</v>
      </c>
      <c r="F1234" t="s">
        <v>13</v>
      </c>
      <c r="G1234">
        <v>12479.70895</v>
      </c>
    </row>
    <row r="1235" spans="1:7" x14ac:dyDescent="0.25">
      <c r="A1235">
        <v>58</v>
      </c>
      <c r="B1235" t="s">
        <v>10</v>
      </c>
      <c r="C1235">
        <v>23.3</v>
      </c>
      <c r="D1235">
        <v>0</v>
      </c>
      <c r="E1235" t="s">
        <v>11</v>
      </c>
      <c r="F1235" t="s">
        <v>9</v>
      </c>
      <c r="G1235">
        <v>11345.519</v>
      </c>
    </row>
    <row r="1236" spans="1:7" x14ac:dyDescent="0.25">
      <c r="A1236">
        <v>45</v>
      </c>
      <c r="B1236" t="s">
        <v>7</v>
      </c>
      <c r="C1236">
        <v>27.83</v>
      </c>
      <c r="D1236">
        <v>2</v>
      </c>
      <c r="E1236" t="s">
        <v>11</v>
      </c>
      <c r="F1236" t="s">
        <v>12</v>
      </c>
      <c r="G1236">
        <v>8515.7587000000003</v>
      </c>
    </row>
    <row r="1237" spans="1:7" x14ac:dyDescent="0.25">
      <c r="A1237">
        <v>26</v>
      </c>
      <c r="B1237" t="s">
        <v>10</v>
      </c>
      <c r="C1237">
        <v>31.065000000000001</v>
      </c>
      <c r="D1237">
        <v>0</v>
      </c>
      <c r="E1237" t="s">
        <v>11</v>
      </c>
      <c r="F1237" t="s">
        <v>13</v>
      </c>
      <c r="G1237">
        <v>2699.56835</v>
      </c>
    </row>
    <row r="1238" spans="1:7" x14ac:dyDescent="0.25">
      <c r="A1238">
        <v>63</v>
      </c>
      <c r="B1238" t="s">
        <v>7</v>
      </c>
      <c r="C1238">
        <v>21.66</v>
      </c>
      <c r="D1238">
        <v>0</v>
      </c>
      <c r="E1238" t="s">
        <v>11</v>
      </c>
      <c r="F1238" t="s">
        <v>14</v>
      </c>
      <c r="G1238">
        <v>14449.8544</v>
      </c>
    </row>
    <row r="1239" spans="1:7" x14ac:dyDescent="0.25">
      <c r="A1239">
        <v>58</v>
      </c>
      <c r="B1239" t="s">
        <v>7</v>
      </c>
      <c r="C1239">
        <v>28.215</v>
      </c>
      <c r="D1239">
        <v>0</v>
      </c>
      <c r="E1239" t="s">
        <v>11</v>
      </c>
      <c r="F1239" t="s">
        <v>13</v>
      </c>
      <c r="G1239">
        <v>12224.350850000001</v>
      </c>
    </row>
    <row r="1240" spans="1:7" x14ac:dyDescent="0.25">
      <c r="A1240">
        <v>37</v>
      </c>
      <c r="B1240" t="s">
        <v>10</v>
      </c>
      <c r="C1240">
        <v>22.704999999999998</v>
      </c>
      <c r="D1240">
        <v>3</v>
      </c>
      <c r="E1240" t="s">
        <v>11</v>
      </c>
      <c r="F1240" t="s">
        <v>14</v>
      </c>
      <c r="G1240">
        <v>6985.50695</v>
      </c>
    </row>
    <row r="1241" spans="1:7" x14ac:dyDescent="0.25">
      <c r="A1241">
        <v>25</v>
      </c>
      <c r="B1241" t="s">
        <v>7</v>
      </c>
      <c r="C1241">
        <v>42.13</v>
      </c>
      <c r="D1241">
        <v>1</v>
      </c>
      <c r="E1241" t="s">
        <v>11</v>
      </c>
      <c r="F1241" t="s">
        <v>12</v>
      </c>
      <c r="G1241">
        <v>3238.4357</v>
      </c>
    </row>
    <row r="1242" spans="1:7" x14ac:dyDescent="0.25">
      <c r="A1242">
        <v>52</v>
      </c>
      <c r="B1242" t="s">
        <v>10</v>
      </c>
      <c r="C1242">
        <v>41.8</v>
      </c>
      <c r="D1242">
        <v>2</v>
      </c>
      <c r="E1242" t="s">
        <v>8</v>
      </c>
      <c r="F1242" t="s">
        <v>12</v>
      </c>
      <c r="G1242">
        <v>47269.853999999999</v>
      </c>
    </row>
    <row r="1243" spans="1:7" x14ac:dyDescent="0.25">
      <c r="A1243">
        <v>64</v>
      </c>
      <c r="B1243" t="s">
        <v>10</v>
      </c>
      <c r="C1243">
        <v>36.96</v>
      </c>
      <c r="D1243">
        <v>2</v>
      </c>
      <c r="E1243" t="s">
        <v>8</v>
      </c>
      <c r="F1243" t="s">
        <v>12</v>
      </c>
      <c r="G1243">
        <v>49577.662400000001</v>
      </c>
    </row>
    <row r="1244" spans="1:7" x14ac:dyDescent="0.25">
      <c r="A1244">
        <v>22</v>
      </c>
      <c r="B1244" t="s">
        <v>7</v>
      </c>
      <c r="C1244">
        <v>21.28</v>
      </c>
      <c r="D1244">
        <v>3</v>
      </c>
      <c r="E1244" t="s">
        <v>11</v>
      </c>
      <c r="F1244" t="s">
        <v>13</v>
      </c>
      <c r="G1244">
        <v>4296.2712000000001</v>
      </c>
    </row>
    <row r="1245" spans="1:7" x14ac:dyDescent="0.25">
      <c r="A1245">
        <v>28</v>
      </c>
      <c r="B1245" t="s">
        <v>7</v>
      </c>
      <c r="C1245">
        <v>33.11</v>
      </c>
      <c r="D1245">
        <v>0</v>
      </c>
      <c r="E1245" t="s">
        <v>11</v>
      </c>
      <c r="F1245" t="s">
        <v>12</v>
      </c>
      <c r="G1245">
        <v>3171.6149</v>
      </c>
    </row>
    <row r="1246" spans="1:7" x14ac:dyDescent="0.25">
      <c r="A1246">
        <v>18</v>
      </c>
      <c r="B1246" t="s">
        <v>10</v>
      </c>
      <c r="C1246">
        <v>33.33</v>
      </c>
      <c r="D1246">
        <v>0</v>
      </c>
      <c r="E1246" t="s">
        <v>11</v>
      </c>
      <c r="F1246" t="s">
        <v>12</v>
      </c>
      <c r="G1246">
        <v>1135.9407000000001</v>
      </c>
    </row>
    <row r="1247" spans="1:7" x14ac:dyDescent="0.25">
      <c r="A1247">
        <v>28</v>
      </c>
      <c r="B1247" t="s">
        <v>10</v>
      </c>
      <c r="C1247">
        <v>24.3</v>
      </c>
      <c r="D1247">
        <v>5</v>
      </c>
      <c r="E1247" t="s">
        <v>11</v>
      </c>
      <c r="F1247" t="s">
        <v>9</v>
      </c>
      <c r="G1247">
        <v>5615.3689999999997</v>
      </c>
    </row>
    <row r="1248" spans="1:7" x14ac:dyDescent="0.25">
      <c r="A1248">
        <v>45</v>
      </c>
      <c r="B1248" t="s">
        <v>7</v>
      </c>
      <c r="C1248">
        <v>25.7</v>
      </c>
      <c r="D1248">
        <v>3</v>
      </c>
      <c r="E1248" t="s">
        <v>11</v>
      </c>
      <c r="F1248" t="s">
        <v>9</v>
      </c>
      <c r="G1248">
        <v>9101.7980000000007</v>
      </c>
    </row>
    <row r="1249" spans="1:7" x14ac:dyDescent="0.25">
      <c r="A1249">
        <v>33</v>
      </c>
      <c r="B1249" t="s">
        <v>10</v>
      </c>
      <c r="C1249">
        <v>29.4</v>
      </c>
      <c r="D1249">
        <v>4</v>
      </c>
      <c r="E1249" t="s">
        <v>11</v>
      </c>
      <c r="F1249" t="s">
        <v>9</v>
      </c>
      <c r="G1249">
        <v>6059.1729999999998</v>
      </c>
    </row>
    <row r="1250" spans="1:7" x14ac:dyDescent="0.25">
      <c r="A1250">
        <v>18</v>
      </c>
      <c r="B1250" t="s">
        <v>7</v>
      </c>
      <c r="C1250">
        <v>39.82</v>
      </c>
      <c r="D1250">
        <v>0</v>
      </c>
      <c r="E1250" t="s">
        <v>11</v>
      </c>
      <c r="F1250" t="s">
        <v>12</v>
      </c>
      <c r="G1250">
        <v>1633.9618</v>
      </c>
    </row>
    <row r="1251" spans="1:7" x14ac:dyDescent="0.25">
      <c r="A1251">
        <v>32</v>
      </c>
      <c r="B1251" t="s">
        <v>10</v>
      </c>
      <c r="C1251">
        <v>33.630000000000003</v>
      </c>
      <c r="D1251">
        <v>1</v>
      </c>
      <c r="E1251" t="s">
        <v>8</v>
      </c>
      <c r="F1251" t="s">
        <v>14</v>
      </c>
      <c r="G1251">
        <v>37607.527699999999</v>
      </c>
    </row>
    <row r="1252" spans="1:7" x14ac:dyDescent="0.25">
      <c r="A1252">
        <v>24</v>
      </c>
      <c r="B1252" t="s">
        <v>10</v>
      </c>
      <c r="C1252">
        <v>29.83</v>
      </c>
      <c r="D1252">
        <v>0</v>
      </c>
      <c r="E1252" t="s">
        <v>8</v>
      </c>
      <c r="F1252" t="s">
        <v>14</v>
      </c>
      <c r="G1252">
        <v>18648.421699999999</v>
      </c>
    </row>
    <row r="1253" spans="1:7" x14ac:dyDescent="0.25">
      <c r="A1253">
        <v>19</v>
      </c>
      <c r="B1253" t="s">
        <v>10</v>
      </c>
      <c r="C1253">
        <v>19.8</v>
      </c>
      <c r="D1253">
        <v>0</v>
      </c>
      <c r="E1253" t="s">
        <v>11</v>
      </c>
      <c r="F1253" t="s">
        <v>9</v>
      </c>
      <c r="G1253">
        <v>1241.5650000000001</v>
      </c>
    </row>
    <row r="1254" spans="1:7" x14ac:dyDescent="0.25">
      <c r="A1254">
        <v>20</v>
      </c>
      <c r="B1254" t="s">
        <v>10</v>
      </c>
      <c r="C1254">
        <v>27.3</v>
      </c>
      <c r="D1254">
        <v>0</v>
      </c>
      <c r="E1254" t="s">
        <v>8</v>
      </c>
      <c r="F1254" t="s">
        <v>9</v>
      </c>
      <c r="G1254">
        <v>16232.847</v>
      </c>
    </row>
    <row r="1255" spans="1:7" x14ac:dyDescent="0.25">
      <c r="A1255">
        <v>40</v>
      </c>
      <c r="B1255" t="s">
        <v>7</v>
      </c>
      <c r="C1255">
        <v>29.3</v>
      </c>
      <c r="D1255">
        <v>4</v>
      </c>
      <c r="E1255" t="s">
        <v>11</v>
      </c>
      <c r="F1255" t="s">
        <v>9</v>
      </c>
      <c r="G1255">
        <v>15828.82173</v>
      </c>
    </row>
    <row r="1256" spans="1:7" x14ac:dyDescent="0.25">
      <c r="A1256">
        <v>34</v>
      </c>
      <c r="B1256" t="s">
        <v>7</v>
      </c>
      <c r="C1256">
        <v>27.72</v>
      </c>
      <c r="D1256">
        <v>0</v>
      </c>
      <c r="E1256" t="s">
        <v>11</v>
      </c>
      <c r="F1256" t="s">
        <v>12</v>
      </c>
      <c r="G1256">
        <v>4415.1588000000002</v>
      </c>
    </row>
    <row r="1257" spans="1:7" x14ac:dyDescent="0.25">
      <c r="A1257">
        <v>42</v>
      </c>
      <c r="B1257" t="s">
        <v>7</v>
      </c>
      <c r="C1257">
        <v>37.9</v>
      </c>
      <c r="D1257">
        <v>0</v>
      </c>
      <c r="E1257" t="s">
        <v>11</v>
      </c>
      <c r="F1257" t="s">
        <v>9</v>
      </c>
      <c r="G1257">
        <v>6474.0129999999999</v>
      </c>
    </row>
    <row r="1258" spans="1:7" x14ac:dyDescent="0.25">
      <c r="A1258">
        <v>51</v>
      </c>
      <c r="B1258" t="s">
        <v>7</v>
      </c>
      <c r="C1258">
        <v>36.384999999999998</v>
      </c>
      <c r="D1258">
        <v>3</v>
      </c>
      <c r="E1258" t="s">
        <v>11</v>
      </c>
      <c r="F1258" t="s">
        <v>13</v>
      </c>
      <c r="G1258">
        <v>11436.738149999999</v>
      </c>
    </row>
    <row r="1259" spans="1:7" x14ac:dyDescent="0.25">
      <c r="A1259">
        <v>54</v>
      </c>
      <c r="B1259" t="s">
        <v>7</v>
      </c>
      <c r="C1259">
        <v>27.645</v>
      </c>
      <c r="D1259">
        <v>1</v>
      </c>
      <c r="E1259" t="s">
        <v>11</v>
      </c>
      <c r="F1259" t="s">
        <v>13</v>
      </c>
      <c r="G1259">
        <v>11305.93455</v>
      </c>
    </row>
    <row r="1260" spans="1:7" x14ac:dyDescent="0.25">
      <c r="A1260">
        <v>55</v>
      </c>
      <c r="B1260" t="s">
        <v>10</v>
      </c>
      <c r="C1260">
        <v>37.715000000000003</v>
      </c>
      <c r="D1260">
        <v>3</v>
      </c>
      <c r="E1260" t="s">
        <v>11</v>
      </c>
      <c r="F1260" t="s">
        <v>13</v>
      </c>
      <c r="G1260">
        <v>30063.580549999999</v>
      </c>
    </row>
    <row r="1261" spans="1:7" x14ac:dyDescent="0.25">
      <c r="A1261">
        <v>52</v>
      </c>
      <c r="B1261" t="s">
        <v>7</v>
      </c>
      <c r="C1261">
        <v>23.18</v>
      </c>
      <c r="D1261">
        <v>0</v>
      </c>
      <c r="E1261" t="s">
        <v>11</v>
      </c>
      <c r="F1261" t="s">
        <v>14</v>
      </c>
      <c r="G1261">
        <v>10197.772199999999</v>
      </c>
    </row>
    <row r="1262" spans="1:7" x14ac:dyDescent="0.25">
      <c r="A1262">
        <v>32</v>
      </c>
      <c r="B1262" t="s">
        <v>7</v>
      </c>
      <c r="C1262">
        <v>20.52</v>
      </c>
      <c r="D1262">
        <v>0</v>
      </c>
      <c r="E1262" t="s">
        <v>11</v>
      </c>
      <c r="F1262" t="s">
        <v>14</v>
      </c>
      <c r="G1262">
        <v>4544.2348000000002</v>
      </c>
    </row>
    <row r="1263" spans="1:7" x14ac:dyDescent="0.25">
      <c r="A1263">
        <v>28</v>
      </c>
      <c r="B1263" t="s">
        <v>10</v>
      </c>
      <c r="C1263">
        <v>37.1</v>
      </c>
      <c r="D1263">
        <v>1</v>
      </c>
      <c r="E1263" t="s">
        <v>11</v>
      </c>
      <c r="F1263" t="s">
        <v>9</v>
      </c>
      <c r="G1263">
        <v>3277.1610000000001</v>
      </c>
    </row>
    <row r="1264" spans="1:7" x14ac:dyDescent="0.25">
      <c r="A1264">
        <v>41</v>
      </c>
      <c r="B1264" t="s">
        <v>7</v>
      </c>
      <c r="C1264">
        <v>28.05</v>
      </c>
      <c r="D1264">
        <v>1</v>
      </c>
      <c r="E1264" t="s">
        <v>11</v>
      </c>
      <c r="F1264" t="s">
        <v>12</v>
      </c>
      <c r="G1264">
        <v>6770.1925000000001</v>
      </c>
    </row>
    <row r="1265" spans="1:7" x14ac:dyDescent="0.25">
      <c r="A1265">
        <v>43</v>
      </c>
      <c r="B1265" t="s">
        <v>7</v>
      </c>
      <c r="C1265">
        <v>29.9</v>
      </c>
      <c r="D1265">
        <v>1</v>
      </c>
      <c r="E1265" t="s">
        <v>11</v>
      </c>
      <c r="F1265" t="s">
        <v>9</v>
      </c>
      <c r="G1265">
        <v>7337.7479999999996</v>
      </c>
    </row>
    <row r="1266" spans="1:7" x14ac:dyDescent="0.25">
      <c r="A1266">
        <v>49</v>
      </c>
      <c r="B1266" t="s">
        <v>7</v>
      </c>
      <c r="C1266">
        <v>33.344999999999999</v>
      </c>
      <c r="D1266">
        <v>2</v>
      </c>
      <c r="E1266" t="s">
        <v>11</v>
      </c>
      <c r="F1266" t="s">
        <v>14</v>
      </c>
      <c r="G1266">
        <v>10370.912549999999</v>
      </c>
    </row>
    <row r="1267" spans="1:7" x14ac:dyDescent="0.25">
      <c r="A1267">
        <v>64</v>
      </c>
      <c r="B1267" t="s">
        <v>10</v>
      </c>
      <c r="C1267">
        <v>23.76</v>
      </c>
      <c r="D1267">
        <v>0</v>
      </c>
      <c r="E1267" t="s">
        <v>8</v>
      </c>
      <c r="F1267" t="s">
        <v>12</v>
      </c>
      <c r="G1267">
        <v>26926.5144</v>
      </c>
    </row>
    <row r="1268" spans="1:7" x14ac:dyDescent="0.25">
      <c r="A1268">
        <v>55</v>
      </c>
      <c r="B1268" t="s">
        <v>7</v>
      </c>
      <c r="C1268">
        <v>30.5</v>
      </c>
      <c r="D1268">
        <v>0</v>
      </c>
      <c r="E1268" t="s">
        <v>11</v>
      </c>
      <c r="F1268" t="s">
        <v>9</v>
      </c>
      <c r="G1268">
        <v>10704.47</v>
      </c>
    </row>
    <row r="1269" spans="1:7" x14ac:dyDescent="0.25">
      <c r="A1269">
        <v>24</v>
      </c>
      <c r="B1269" t="s">
        <v>10</v>
      </c>
      <c r="C1269">
        <v>31.065000000000001</v>
      </c>
      <c r="D1269">
        <v>0</v>
      </c>
      <c r="E1269" t="s">
        <v>8</v>
      </c>
      <c r="F1269" t="s">
        <v>14</v>
      </c>
      <c r="G1269">
        <v>34254.053350000002</v>
      </c>
    </row>
    <row r="1270" spans="1:7" x14ac:dyDescent="0.25">
      <c r="A1270">
        <v>20</v>
      </c>
      <c r="B1270" t="s">
        <v>7</v>
      </c>
      <c r="C1270">
        <v>33.299999999999997</v>
      </c>
      <c r="D1270">
        <v>0</v>
      </c>
      <c r="E1270" t="s">
        <v>11</v>
      </c>
      <c r="F1270" t="s">
        <v>9</v>
      </c>
      <c r="G1270">
        <v>1880.4870000000001</v>
      </c>
    </row>
    <row r="1271" spans="1:7" x14ac:dyDescent="0.25">
      <c r="A1271">
        <v>45</v>
      </c>
      <c r="B1271" t="s">
        <v>10</v>
      </c>
      <c r="C1271">
        <v>27.5</v>
      </c>
      <c r="D1271">
        <v>3</v>
      </c>
      <c r="E1271" t="s">
        <v>11</v>
      </c>
      <c r="F1271" t="s">
        <v>9</v>
      </c>
      <c r="G1271">
        <v>8615.2999999999993</v>
      </c>
    </row>
    <row r="1272" spans="1:7" x14ac:dyDescent="0.25">
      <c r="A1272">
        <v>26</v>
      </c>
      <c r="B1272" t="s">
        <v>10</v>
      </c>
      <c r="C1272">
        <v>33.914999999999999</v>
      </c>
      <c r="D1272">
        <v>1</v>
      </c>
      <c r="E1272" t="s">
        <v>11</v>
      </c>
      <c r="F1272" t="s">
        <v>13</v>
      </c>
      <c r="G1272">
        <v>3292.5298499999999</v>
      </c>
    </row>
    <row r="1273" spans="1:7" x14ac:dyDescent="0.25">
      <c r="A1273">
        <v>25</v>
      </c>
      <c r="B1273" t="s">
        <v>7</v>
      </c>
      <c r="C1273">
        <v>34.484999999999999</v>
      </c>
      <c r="D1273">
        <v>0</v>
      </c>
      <c r="E1273" t="s">
        <v>11</v>
      </c>
      <c r="F1273" t="s">
        <v>13</v>
      </c>
      <c r="G1273">
        <v>3021.80915</v>
      </c>
    </row>
    <row r="1274" spans="1:7" x14ac:dyDescent="0.25">
      <c r="A1274">
        <v>43</v>
      </c>
      <c r="B1274" t="s">
        <v>10</v>
      </c>
      <c r="C1274">
        <v>25.52</v>
      </c>
      <c r="D1274">
        <v>5</v>
      </c>
      <c r="E1274" t="s">
        <v>11</v>
      </c>
      <c r="F1274" t="s">
        <v>12</v>
      </c>
      <c r="G1274">
        <v>14478.33015</v>
      </c>
    </row>
    <row r="1275" spans="1:7" x14ac:dyDescent="0.25">
      <c r="A1275">
        <v>35</v>
      </c>
      <c r="B1275" t="s">
        <v>10</v>
      </c>
      <c r="C1275">
        <v>27.61</v>
      </c>
      <c r="D1275">
        <v>1</v>
      </c>
      <c r="E1275" t="s">
        <v>11</v>
      </c>
      <c r="F1275" t="s">
        <v>12</v>
      </c>
      <c r="G1275">
        <v>4747.0528999999997</v>
      </c>
    </row>
    <row r="1276" spans="1:7" x14ac:dyDescent="0.25">
      <c r="A1276">
        <v>26</v>
      </c>
      <c r="B1276" t="s">
        <v>10</v>
      </c>
      <c r="C1276">
        <v>27.06</v>
      </c>
      <c r="D1276">
        <v>0</v>
      </c>
      <c r="E1276" t="s">
        <v>8</v>
      </c>
      <c r="F1276" t="s">
        <v>12</v>
      </c>
      <c r="G1276">
        <v>17043.341400000001</v>
      </c>
    </row>
    <row r="1277" spans="1:7" x14ac:dyDescent="0.25">
      <c r="A1277">
        <v>57</v>
      </c>
      <c r="B1277" t="s">
        <v>10</v>
      </c>
      <c r="C1277">
        <v>23.7</v>
      </c>
      <c r="D1277">
        <v>0</v>
      </c>
      <c r="E1277" t="s">
        <v>11</v>
      </c>
      <c r="F1277" t="s">
        <v>9</v>
      </c>
      <c r="G1277">
        <v>10959.33</v>
      </c>
    </row>
    <row r="1278" spans="1:7" x14ac:dyDescent="0.25">
      <c r="A1278">
        <v>22</v>
      </c>
      <c r="B1278" t="s">
        <v>7</v>
      </c>
      <c r="C1278">
        <v>30.4</v>
      </c>
      <c r="D1278">
        <v>0</v>
      </c>
      <c r="E1278" t="s">
        <v>11</v>
      </c>
      <c r="F1278" t="s">
        <v>14</v>
      </c>
      <c r="G1278">
        <v>2741.9479999999999</v>
      </c>
    </row>
    <row r="1279" spans="1:7" x14ac:dyDescent="0.25">
      <c r="A1279">
        <v>32</v>
      </c>
      <c r="B1279" t="s">
        <v>7</v>
      </c>
      <c r="C1279">
        <v>29.734999999999999</v>
      </c>
      <c r="D1279">
        <v>0</v>
      </c>
      <c r="E1279" t="s">
        <v>11</v>
      </c>
      <c r="F1279" t="s">
        <v>13</v>
      </c>
      <c r="G1279">
        <v>4357.0436499999996</v>
      </c>
    </row>
    <row r="1280" spans="1:7" x14ac:dyDescent="0.25">
      <c r="A1280">
        <v>39</v>
      </c>
      <c r="B1280" t="s">
        <v>10</v>
      </c>
      <c r="C1280">
        <v>29.925000000000001</v>
      </c>
      <c r="D1280">
        <v>1</v>
      </c>
      <c r="E1280" t="s">
        <v>8</v>
      </c>
      <c r="F1280" t="s">
        <v>14</v>
      </c>
      <c r="G1280">
        <v>22462.043750000001</v>
      </c>
    </row>
    <row r="1281" spans="1:7" x14ac:dyDescent="0.25">
      <c r="A1281">
        <v>25</v>
      </c>
      <c r="B1281" t="s">
        <v>7</v>
      </c>
      <c r="C1281">
        <v>26.79</v>
      </c>
      <c r="D1281">
        <v>2</v>
      </c>
      <c r="E1281" t="s">
        <v>11</v>
      </c>
      <c r="F1281" t="s">
        <v>13</v>
      </c>
      <c r="G1281">
        <v>4189.1130999999996</v>
      </c>
    </row>
    <row r="1282" spans="1:7" x14ac:dyDescent="0.25">
      <c r="A1282">
        <v>48</v>
      </c>
      <c r="B1282" t="s">
        <v>7</v>
      </c>
      <c r="C1282">
        <v>33.33</v>
      </c>
      <c r="D1282">
        <v>0</v>
      </c>
      <c r="E1282" t="s">
        <v>11</v>
      </c>
      <c r="F1282" t="s">
        <v>12</v>
      </c>
      <c r="G1282">
        <v>8283.6807000000008</v>
      </c>
    </row>
    <row r="1283" spans="1:7" x14ac:dyDescent="0.25">
      <c r="A1283">
        <v>47</v>
      </c>
      <c r="B1283" t="s">
        <v>7</v>
      </c>
      <c r="C1283">
        <v>27.645</v>
      </c>
      <c r="D1283">
        <v>2</v>
      </c>
      <c r="E1283" t="s">
        <v>8</v>
      </c>
      <c r="F1283" t="s">
        <v>13</v>
      </c>
      <c r="G1283">
        <v>24535.698550000001</v>
      </c>
    </row>
    <row r="1284" spans="1:7" x14ac:dyDescent="0.25">
      <c r="A1284">
        <v>18</v>
      </c>
      <c r="B1284" t="s">
        <v>7</v>
      </c>
      <c r="C1284">
        <v>21.66</v>
      </c>
      <c r="D1284">
        <v>0</v>
      </c>
      <c r="E1284" t="s">
        <v>8</v>
      </c>
      <c r="F1284" t="s">
        <v>14</v>
      </c>
      <c r="G1284">
        <v>14283.4594</v>
      </c>
    </row>
    <row r="1285" spans="1:7" x14ac:dyDescent="0.25">
      <c r="A1285">
        <v>18</v>
      </c>
      <c r="B1285" t="s">
        <v>10</v>
      </c>
      <c r="C1285">
        <v>30.03</v>
      </c>
      <c r="D1285">
        <v>1</v>
      </c>
      <c r="E1285" t="s">
        <v>11</v>
      </c>
      <c r="F1285" t="s">
        <v>12</v>
      </c>
      <c r="G1285">
        <v>1720.3536999999999</v>
      </c>
    </row>
    <row r="1286" spans="1:7" x14ac:dyDescent="0.25">
      <c r="A1286">
        <v>61</v>
      </c>
      <c r="B1286" t="s">
        <v>10</v>
      </c>
      <c r="C1286">
        <v>36.299999999999997</v>
      </c>
      <c r="D1286">
        <v>1</v>
      </c>
      <c r="E1286" t="s">
        <v>8</v>
      </c>
      <c r="F1286" t="s">
        <v>9</v>
      </c>
      <c r="G1286">
        <v>47403.88</v>
      </c>
    </row>
    <row r="1287" spans="1:7" x14ac:dyDescent="0.25">
      <c r="A1287">
        <v>47</v>
      </c>
      <c r="B1287" t="s">
        <v>7</v>
      </c>
      <c r="C1287">
        <v>24.32</v>
      </c>
      <c r="D1287">
        <v>0</v>
      </c>
      <c r="E1287" t="s">
        <v>11</v>
      </c>
      <c r="F1287" t="s">
        <v>14</v>
      </c>
      <c r="G1287">
        <v>8534.6718000000001</v>
      </c>
    </row>
    <row r="1288" spans="1:7" x14ac:dyDescent="0.25">
      <c r="A1288">
        <v>28</v>
      </c>
      <c r="B1288" t="s">
        <v>7</v>
      </c>
      <c r="C1288">
        <v>17.29</v>
      </c>
      <c r="D1288">
        <v>0</v>
      </c>
      <c r="E1288" t="s">
        <v>11</v>
      </c>
      <c r="F1288" t="s">
        <v>14</v>
      </c>
      <c r="G1288">
        <v>3732.6251000000002</v>
      </c>
    </row>
    <row r="1289" spans="1:7" x14ac:dyDescent="0.25">
      <c r="A1289">
        <v>36</v>
      </c>
      <c r="B1289" t="s">
        <v>7</v>
      </c>
      <c r="C1289">
        <v>25.9</v>
      </c>
      <c r="D1289">
        <v>1</v>
      </c>
      <c r="E1289" t="s">
        <v>11</v>
      </c>
      <c r="F1289" t="s">
        <v>9</v>
      </c>
      <c r="G1289">
        <v>5472.4489999999996</v>
      </c>
    </row>
    <row r="1290" spans="1:7" x14ac:dyDescent="0.25">
      <c r="A1290">
        <v>20</v>
      </c>
      <c r="B1290" t="s">
        <v>10</v>
      </c>
      <c r="C1290">
        <v>39.4</v>
      </c>
      <c r="D1290">
        <v>2</v>
      </c>
      <c r="E1290" t="s">
        <v>8</v>
      </c>
      <c r="F1290" t="s">
        <v>9</v>
      </c>
      <c r="G1290">
        <v>38344.565999999999</v>
      </c>
    </row>
    <row r="1291" spans="1:7" x14ac:dyDescent="0.25">
      <c r="A1291">
        <v>44</v>
      </c>
      <c r="B1291" t="s">
        <v>10</v>
      </c>
      <c r="C1291">
        <v>34.32</v>
      </c>
      <c r="D1291">
        <v>1</v>
      </c>
      <c r="E1291" t="s">
        <v>11</v>
      </c>
      <c r="F1291" t="s">
        <v>12</v>
      </c>
      <c r="G1291">
        <v>7147.4727999999996</v>
      </c>
    </row>
    <row r="1292" spans="1:7" x14ac:dyDescent="0.25">
      <c r="A1292">
        <v>38</v>
      </c>
      <c r="B1292" t="s">
        <v>7</v>
      </c>
      <c r="C1292">
        <v>19.95</v>
      </c>
      <c r="D1292">
        <v>2</v>
      </c>
      <c r="E1292" t="s">
        <v>11</v>
      </c>
      <c r="F1292" t="s">
        <v>14</v>
      </c>
      <c r="G1292">
        <v>7133.9025000000001</v>
      </c>
    </row>
    <row r="1293" spans="1:7" x14ac:dyDescent="0.25">
      <c r="A1293">
        <v>19</v>
      </c>
      <c r="B1293" t="s">
        <v>10</v>
      </c>
      <c r="C1293">
        <v>34.9</v>
      </c>
      <c r="D1293">
        <v>0</v>
      </c>
      <c r="E1293" t="s">
        <v>8</v>
      </c>
      <c r="F1293" t="s">
        <v>9</v>
      </c>
      <c r="G1293">
        <v>34828.654000000002</v>
      </c>
    </row>
    <row r="1294" spans="1:7" x14ac:dyDescent="0.25">
      <c r="A1294">
        <v>21</v>
      </c>
      <c r="B1294" t="s">
        <v>10</v>
      </c>
      <c r="C1294">
        <v>23.21</v>
      </c>
      <c r="D1294">
        <v>0</v>
      </c>
      <c r="E1294" t="s">
        <v>11</v>
      </c>
      <c r="F1294" t="s">
        <v>12</v>
      </c>
      <c r="G1294">
        <v>1515.3449000000001</v>
      </c>
    </row>
    <row r="1295" spans="1:7" x14ac:dyDescent="0.25">
      <c r="A1295">
        <v>46</v>
      </c>
      <c r="B1295" t="s">
        <v>10</v>
      </c>
      <c r="C1295">
        <v>25.745000000000001</v>
      </c>
      <c r="D1295">
        <v>3</v>
      </c>
      <c r="E1295" t="s">
        <v>11</v>
      </c>
      <c r="F1295" t="s">
        <v>13</v>
      </c>
      <c r="G1295">
        <v>9301.8935500000007</v>
      </c>
    </row>
    <row r="1296" spans="1:7" x14ac:dyDescent="0.25">
      <c r="A1296">
        <v>58</v>
      </c>
      <c r="B1296" t="s">
        <v>10</v>
      </c>
      <c r="C1296">
        <v>25.175000000000001</v>
      </c>
      <c r="D1296">
        <v>0</v>
      </c>
      <c r="E1296" t="s">
        <v>11</v>
      </c>
      <c r="F1296" t="s">
        <v>14</v>
      </c>
      <c r="G1296">
        <v>11931.125249999999</v>
      </c>
    </row>
    <row r="1297" spans="1:7" x14ac:dyDescent="0.25">
      <c r="A1297">
        <v>20</v>
      </c>
      <c r="B1297" t="s">
        <v>10</v>
      </c>
      <c r="C1297">
        <v>22</v>
      </c>
      <c r="D1297">
        <v>1</v>
      </c>
      <c r="E1297" t="s">
        <v>11</v>
      </c>
      <c r="F1297" t="s">
        <v>9</v>
      </c>
      <c r="G1297">
        <v>1964.78</v>
      </c>
    </row>
    <row r="1298" spans="1:7" x14ac:dyDescent="0.25">
      <c r="A1298">
        <v>18</v>
      </c>
      <c r="B1298" t="s">
        <v>10</v>
      </c>
      <c r="C1298">
        <v>26.125</v>
      </c>
      <c r="D1298">
        <v>0</v>
      </c>
      <c r="E1298" t="s">
        <v>11</v>
      </c>
      <c r="F1298" t="s">
        <v>14</v>
      </c>
      <c r="G1298">
        <v>1708.9257500000001</v>
      </c>
    </row>
    <row r="1299" spans="1:7" x14ac:dyDescent="0.25">
      <c r="A1299">
        <v>28</v>
      </c>
      <c r="B1299" t="s">
        <v>7</v>
      </c>
      <c r="C1299">
        <v>26.51</v>
      </c>
      <c r="D1299">
        <v>2</v>
      </c>
      <c r="E1299" t="s">
        <v>11</v>
      </c>
      <c r="F1299" t="s">
        <v>12</v>
      </c>
      <c r="G1299">
        <v>4340.4408999999996</v>
      </c>
    </row>
    <row r="1300" spans="1:7" x14ac:dyDescent="0.25">
      <c r="A1300">
        <v>33</v>
      </c>
      <c r="B1300" t="s">
        <v>10</v>
      </c>
      <c r="C1300">
        <v>27.454999999999998</v>
      </c>
      <c r="D1300">
        <v>2</v>
      </c>
      <c r="E1300" t="s">
        <v>11</v>
      </c>
      <c r="F1300" t="s">
        <v>13</v>
      </c>
      <c r="G1300">
        <v>5261.4694499999996</v>
      </c>
    </row>
    <row r="1301" spans="1:7" x14ac:dyDescent="0.25">
      <c r="A1301">
        <v>19</v>
      </c>
      <c r="B1301" t="s">
        <v>7</v>
      </c>
      <c r="C1301">
        <v>25.745000000000001</v>
      </c>
      <c r="D1301">
        <v>1</v>
      </c>
      <c r="E1301" t="s">
        <v>11</v>
      </c>
      <c r="F1301" t="s">
        <v>13</v>
      </c>
      <c r="G1301">
        <v>2710.8285500000002</v>
      </c>
    </row>
    <row r="1302" spans="1:7" x14ac:dyDescent="0.25">
      <c r="A1302">
        <v>45</v>
      </c>
      <c r="B1302" t="s">
        <v>10</v>
      </c>
      <c r="C1302">
        <v>30.36</v>
      </c>
      <c r="D1302">
        <v>0</v>
      </c>
      <c r="E1302" t="s">
        <v>8</v>
      </c>
      <c r="F1302" t="s">
        <v>12</v>
      </c>
      <c r="G1302">
        <v>62592.873090000001</v>
      </c>
    </row>
    <row r="1303" spans="1:7" x14ac:dyDescent="0.25">
      <c r="A1303">
        <v>62</v>
      </c>
      <c r="B1303" t="s">
        <v>10</v>
      </c>
      <c r="C1303">
        <v>30.875</v>
      </c>
      <c r="D1303">
        <v>3</v>
      </c>
      <c r="E1303" t="s">
        <v>8</v>
      </c>
      <c r="F1303" t="s">
        <v>13</v>
      </c>
      <c r="G1303">
        <v>46718.163249999998</v>
      </c>
    </row>
    <row r="1304" spans="1:7" x14ac:dyDescent="0.25">
      <c r="A1304">
        <v>25</v>
      </c>
      <c r="B1304" t="s">
        <v>7</v>
      </c>
      <c r="C1304">
        <v>20.8</v>
      </c>
      <c r="D1304">
        <v>1</v>
      </c>
      <c r="E1304" t="s">
        <v>11</v>
      </c>
      <c r="F1304" t="s">
        <v>9</v>
      </c>
      <c r="G1304">
        <v>3208.7869999999998</v>
      </c>
    </row>
    <row r="1305" spans="1:7" x14ac:dyDescent="0.25">
      <c r="A1305">
        <v>43</v>
      </c>
      <c r="B1305" t="s">
        <v>10</v>
      </c>
      <c r="C1305">
        <v>27.8</v>
      </c>
      <c r="D1305">
        <v>0</v>
      </c>
      <c r="E1305" t="s">
        <v>8</v>
      </c>
      <c r="F1305" t="s">
        <v>9</v>
      </c>
      <c r="G1305">
        <v>37829.724199999997</v>
      </c>
    </row>
    <row r="1306" spans="1:7" x14ac:dyDescent="0.25">
      <c r="A1306">
        <v>42</v>
      </c>
      <c r="B1306" t="s">
        <v>10</v>
      </c>
      <c r="C1306">
        <v>24.605</v>
      </c>
      <c r="D1306">
        <v>2</v>
      </c>
      <c r="E1306" t="s">
        <v>8</v>
      </c>
      <c r="F1306" t="s">
        <v>14</v>
      </c>
      <c r="G1306">
        <v>21259.377949999998</v>
      </c>
    </row>
    <row r="1307" spans="1:7" x14ac:dyDescent="0.25">
      <c r="A1307">
        <v>24</v>
      </c>
      <c r="B1307" t="s">
        <v>7</v>
      </c>
      <c r="C1307">
        <v>27.72</v>
      </c>
      <c r="D1307">
        <v>0</v>
      </c>
      <c r="E1307" t="s">
        <v>11</v>
      </c>
      <c r="F1307" t="s">
        <v>12</v>
      </c>
      <c r="G1307">
        <v>2464.6188000000002</v>
      </c>
    </row>
    <row r="1308" spans="1:7" x14ac:dyDescent="0.25">
      <c r="A1308">
        <v>29</v>
      </c>
      <c r="B1308" t="s">
        <v>7</v>
      </c>
      <c r="C1308">
        <v>21.85</v>
      </c>
      <c r="D1308">
        <v>0</v>
      </c>
      <c r="E1308" t="s">
        <v>8</v>
      </c>
      <c r="F1308" t="s">
        <v>14</v>
      </c>
      <c r="G1308">
        <v>16115.3045</v>
      </c>
    </row>
    <row r="1309" spans="1:7" x14ac:dyDescent="0.25">
      <c r="A1309">
        <v>32</v>
      </c>
      <c r="B1309" t="s">
        <v>10</v>
      </c>
      <c r="C1309">
        <v>28.12</v>
      </c>
      <c r="D1309">
        <v>4</v>
      </c>
      <c r="E1309" t="s">
        <v>8</v>
      </c>
      <c r="F1309" t="s">
        <v>13</v>
      </c>
      <c r="G1309">
        <v>21472.478800000001</v>
      </c>
    </row>
    <row r="1310" spans="1:7" x14ac:dyDescent="0.25">
      <c r="A1310">
        <v>25</v>
      </c>
      <c r="B1310" t="s">
        <v>7</v>
      </c>
      <c r="C1310">
        <v>30.2</v>
      </c>
      <c r="D1310">
        <v>0</v>
      </c>
      <c r="E1310" t="s">
        <v>8</v>
      </c>
      <c r="F1310" t="s">
        <v>9</v>
      </c>
      <c r="G1310">
        <v>33900.652999999998</v>
      </c>
    </row>
    <row r="1311" spans="1:7" x14ac:dyDescent="0.25">
      <c r="A1311">
        <v>41</v>
      </c>
      <c r="B1311" t="s">
        <v>10</v>
      </c>
      <c r="C1311">
        <v>32.200000000000003</v>
      </c>
      <c r="D1311">
        <v>2</v>
      </c>
      <c r="E1311" t="s">
        <v>11</v>
      </c>
      <c r="F1311" t="s">
        <v>9</v>
      </c>
      <c r="G1311">
        <v>6875.9610000000002</v>
      </c>
    </row>
    <row r="1312" spans="1:7" x14ac:dyDescent="0.25">
      <c r="A1312">
        <v>42</v>
      </c>
      <c r="B1312" t="s">
        <v>10</v>
      </c>
      <c r="C1312">
        <v>26.315000000000001</v>
      </c>
      <c r="D1312">
        <v>1</v>
      </c>
      <c r="E1312" t="s">
        <v>11</v>
      </c>
      <c r="F1312" t="s">
        <v>13</v>
      </c>
      <c r="G1312">
        <v>6940.90985</v>
      </c>
    </row>
    <row r="1313" spans="1:7" x14ac:dyDescent="0.25">
      <c r="A1313">
        <v>33</v>
      </c>
      <c r="B1313" t="s">
        <v>7</v>
      </c>
      <c r="C1313">
        <v>26.695</v>
      </c>
      <c r="D1313">
        <v>0</v>
      </c>
      <c r="E1313" t="s">
        <v>11</v>
      </c>
      <c r="F1313" t="s">
        <v>13</v>
      </c>
      <c r="G1313">
        <v>4571.4130500000001</v>
      </c>
    </row>
    <row r="1314" spans="1:7" x14ac:dyDescent="0.25">
      <c r="A1314">
        <v>34</v>
      </c>
      <c r="B1314" t="s">
        <v>10</v>
      </c>
      <c r="C1314">
        <v>42.9</v>
      </c>
      <c r="D1314">
        <v>1</v>
      </c>
      <c r="E1314" t="s">
        <v>11</v>
      </c>
      <c r="F1314" t="s">
        <v>9</v>
      </c>
      <c r="G1314">
        <v>4536.259</v>
      </c>
    </row>
    <row r="1315" spans="1:7" x14ac:dyDescent="0.25">
      <c r="A1315">
        <v>19</v>
      </c>
      <c r="B1315" t="s">
        <v>7</v>
      </c>
      <c r="C1315">
        <v>34.700000000000003</v>
      </c>
      <c r="D1315">
        <v>2</v>
      </c>
      <c r="E1315" t="s">
        <v>8</v>
      </c>
      <c r="F1315" t="s">
        <v>9</v>
      </c>
      <c r="G1315">
        <v>36397.576000000001</v>
      </c>
    </row>
    <row r="1316" spans="1:7" x14ac:dyDescent="0.25">
      <c r="A1316">
        <v>30</v>
      </c>
      <c r="B1316" t="s">
        <v>7</v>
      </c>
      <c r="C1316">
        <v>23.655000000000001</v>
      </c>
      <c r="D1316">
        <v>3</v>
      </c>
      <c r="E1316" t="s">
        <v>8</v>
      </c>
      <c r="F1316" t="s">
        <v>13</v>
      </c>
      <c r="G1316">
        <v>18765.87545</v>
      </c>
    </row>
    <row r="1317" spans="1:7" x14ac:dyDescent="0.25">
      <c r="A1317">
        <v>18</v>
      </c>
      <c r="B1317" t="s">
        <v>10</v>
      </c>
      <c r="C1317">
        <v>28.31</v>
      </c>
      <c r="D1317">
        <v>1</v>
      </c>
      <c r="E1317" t="s">
        <v>11</v>
      </c>
      <c r="F1317" t="s">
        <v>14</v>
      </c>
      <c r="G1317">
        <v>11272.331389999999</v>
      </c>
    </row>
    <row r="1318" spans="1:7" x14ac:dyDescent="0.25">
      <c r="A1318">
        <v>19</v>
      </c>
      <c r="B1318" t="s">
        <v>7</v>
      </c>
      <c r="C1318">
        <v>20.6</v>
      </c>
      <c r="D1318">
        <v>0</v>
      </c>
      <c r="E1318" t="s">
        <v>11</v>
      </c>
      <c r="F1318" t="s">
        <v>9</v>
      </c>
      <c r="G1318">
        <v>1731.6769999999999</v>
      </c>
    </row>
    <row r="1319" spans="1:7" x14ac:dyDescent="0.25">
      <c r="A1319">
        <v>18</v>
      </c>
      <c r="B1319" t="s">
        <v>10</v>
      </c>
      <c r="C1319">
        <v>53.13</v>
      </c>
      <c r="D1319">
        <v>0</v>
      </c>
      <c r="E1319" t="s">
        <v>11</v>
      </c>
      <c r="F1319" t="s">
        <v>12</v>
      </c>
      <c r="G1319">
        <v>1163.4627</v>
      </c>
    </row>
    <row r="1320" spans="1:7" x14ac:dyDescent="0.25">
      <c r="A1320">
        <v>35</v>
      </c>
      <c r="B1320" t="s">
        <v>10</v>
      </c>
      <c r="C1320">
        <v>39.71</v>
      </c>
      <c r="D1320">
        <v>4</v>
      </c>
      <c r="E1320" t="s">
        <v>11</v>
      </c>
      <c r="F1320" t="s">
        <v>14</v>
      </c>
      <c r="G1320">
        <v>19496.71917</v>
      </c>
    </row>
    <row r="1321" spans="1:7" x14ac:dyDescent="0.25">
      <c r="A1321">
        <v>39</v>
      </c>
      <c r="B1321" t="s">
        <v>7</v>
      </c>
      <c r="C1321">
        <v>26.315000000000001</v>
      </c>
      <c r="D1321">
        <v>2</v>
      </c>
      <c r="E1321" t="s">
        <v>11</v>
      </c>
      <c r="F1321" t="s">
        <v>13</v>
      </c>
      <c r="G1321">
        <v>7201.7008500000002</v>
      </c>
    </row>
    <row r="1322" spans="1:7" x14ac:dyDescent="0.25">
      <c r="A1322">
        <v>31</v>
      </c>
      <c r="B1322" t="s">
        <v>10</v>
      </c>
      <c r="C1322">
        <v>31.065000000000001</v>
      </c>
      <c r="D1322">
        <v>3</v>
      </c>
      <c r="E1322" t="s">
        <v>11</v>
      </c>
      <c r="F1322" t="s">
        <v>13</v>
      </c>
      <c r="G1322">
        <v>5425.0233500000004</v>
      </c>
    </row>
    <row r="1323" spans="1:7" x14ac:dyDescent="0.25">
      <c r="A1323">
        <v>62</v>
      </c>
      <c r="B1323" t="s">
        <v>10</v>
      </c>
      <c r="C1323">
        <v>26.695</v>
      </c>
      <c r="D1323">
        <v>0</v>
      </c>
      <c r="E1323" t="s">
        <v>8</v>
      </c>
      <c r="F1323" t="s">
        <v>14</v>
      </c>
      <c r="G1323">
        <v>28101.333050000001</v>
      </c>
    </row>
    <row r="1324" spans="1:7" x14ac:dyDescent="0.25">
      <c r="A1324">
        <v>62</v>
      </c>
      <c r="B1324" t="s">
        <v>10</v>
      </c>
      <c r="C1324">
        <v>38.83</v>
      </c>
      <c r="D1324">
        <v>0</v>
      </c>
      <c r="E1324" t="s">
        <v>11</v>
      </c>
      <c r="F1324" t="s">
        <v>12</v>
      </c>
      <c r="G1324">
        <v>12981.3457</v>
      </c>
    </row>
    <row r="1325" spans="1:7" x14ac:dyDescent="0.25">
      <c r="A1325">
        <v>42</v>
      </c>
      <c r="B1325" t="s">
        <v>7</v>
      </c>
      <c r="C1325">
        <v>40.369999999999997</v>
      </c>
      <c r="D1325">
        <v>2</v>
      </c>
      <c r="E1325" t="s">
        <v>8</v>
      </c>
      <c r="F1325" t="s">
        <v>12</v>
      </c>
      <c r="G1325">
        <v>43896.376300000004</v>
      </c>
    </row>
    <row r="1326" spans="1:7" x14ac:dyDescent="0.25">
      <c r="A1326">
        <v>31</v>
      </c>
      <c r="B1326" t="s">
        <v>10</v>
      </c>
      <c r="C1326">
        <v>25.934999999999999</v>
      </c>
      <c r="D1326">
        <v>1</v>
      </c>
      <c r="E1326" t="s">
        <v>11</v>
      </c>
      <c r="F1326" t="s">
        <v>13</v>
      </c>
      <c r="G1326">
        <v>4239.8926499999998</v>
      </c>
    </row>
    <row r="1327" spans="1:7" x14ac:dyDescent="0.25">
      <c r="A1327">
        <v>61</v>
      </c>
      <c r="B1327" t="s">
        <v>10</v>
      </c>
      <c r="C1327">
        <v>33.534999999999997</v>
      </c>
      <c r="D1327">
        <v>0</v>
      </c>
      <c r="E1327" t="s">
        <v>11</v>
      </c>
      <c r="F1327" t="s">
        <v>14</v>
      </c>
      <c r="G1327">
        <v>13143.336649999999</v>
      </c>
    </row>
    <row r="1328" spans="1:7" x14ac:dyDescent="0.25">
      <c r="A1328">
        <v>42</v>
      </c>
      <c r="B1328" t="s">
        <v>7</v>
      </c>
      <c r="C1328">
        <v>32.869999999999997</v>
      </c>
      <c r="D1328">
        <v>0</v>
      </c>
      <c r="E1328" t="s">
        <v>11</v>
      </c>
      <c r="F1328" t="s">
        <v>14</v>
      </c>
      <c r="G1328">
        <v>7050.0213000000003</v>
      </c>
    </row>
    <row r="1329" spans="1:7" x14ac:dyDescent="0.25">
      <c r="A1329">
        <v>51</v>
      </c>
      <c r="B1329" t="s">
        <v>10</v>
      </c>
      <c r="C1329">
        <v>30.03</v>
      </c>
      <c r="D1329">
        <v>1</v>
      </c>
      <c r="E1329" t="s">
        <v>11</v>
      </c>
      <c r="F1329" t="s">
        <v>12</v>
      </c>
      <c r="G1329">
        <v>9377.9046999999991</v>
      </c>
    </row>
    <row r="1330" spans="1:7" x14ac:dyDescent="0.25">
      <c r="A1330">
        <v>23</v>
      </c>
      <c r="B1330" t="s">
        <v>7</v>
      </c>
      <c r="C1330">
        <v>24.225000000000001</v>
      </c>
      <c r="D1330">
        <v>2</v>
      </c>
      <c r="E1330" t="s">
        <v>11</v>
      </c>
      <c r="F1330" t="s">
        <v>14</v>
      </c>
      <c r="G1330">
        <v>22395.74424</v>
      </c>
    </row>
    <row r="1331" spans="1:7" x14ac:dyDescent="0.25">
      <c r="A1331">
        <v>52</v>
      </c>
      <c r="B1331" t="s">
        <v>10</v>
      </c>
      <c r="C1331">
        <v>38.6</v>
      </c>
      <c r="D1331">
        <v>2</v>
      </c>
      <c r="E1331" t="s">
        <v>11</v>
      </c>
      <c r="F1331" t="s">
        <v>9</v>
      </c>
      <c r="G1331">
        <v>10325.206</v>
      </c>
    </row>
    <row r="1332" spans="1:7" x14ac:dyDescent="0.25">
      <c r="A1332">
        <v>57</v>
      </c>
      <c r="B1332" t="s">
        <v>7</v>
      </c>
      <c r="C1332">
        <v>25.74</v>
      </c>
      <c r="D1332">
        <v>2</v>
      </c>
      <c r="E1332" t="s">
        <v>11</v>
      </c>
      <c r="F1332" t="s">
        <v>12</v>
      </c>
      <c r="G1332">
        <v>12629.1656</v>
      </c>
    </row>
    <row r="1333" spans="1:7" x14ac:dyDescent="0.25">
      <c r="A1333">
        <v>23</v>
      </c>
      <c r="B1333" t="s">
        <v>7</v>
      </c>
      <c r="C1333">
        <v>33.4</v>
      </c>
      <c r="D1333">
        <v>0</v>
      </c>
      <c r="E1333" t="s">
        <v>11</v>
      </c>
      <c r="F1333" t="s">
        <v>9</v>
      </c>
      <c r="G1333">
        <v>10795.937330000001</v>
      </c>
    </row>
    <row r="1334" spans="1:7" x14ac:dyDescent="0.25">
      <c r="A1334">
        <v>52</v>
      </c>
      <c r="B1334" t="s">
        <v>7</v>
      </c>
      <c r="C1334">
        <v>44.7</v>
      </c>
      <c r="D1334">
        <v>3</v>
      </c>
      <c r="E1334" t="s">
        <v>11</v>
      </c>
      <c r="F1334" t="s">
        <v>9</v>
      </c>
      <c r="G1334">
        <v>11411.684999999999</v>
      </c>
    </row>
    <row r="1335" spans="1:7" x14ac:dyDescent="0.25">
      <c r="A1335">
        <v>50</v>
      </c>
      <c r="B1335" t="s">
        <v>10</v>
      </c>
      <c r="C1335">
        <v>30.97</v>
      </c>
      <c r="D1335">
        <v>3</v>
      </c>
      <c r="E1335" t="s">
        <v>11</v>
      </c>
      <c r="F1335" t="s">
        <v>13</v>
      </c>
      <c r="G1335">
        <v>10600.5483</v>
      </c>
    </row>
    <row r="1336" spans="1:7" x14ac:dyDescent="0.25">
      <c r="A1336">
        <v>18</v>
      </c>
      <c r="B1336" t="s">
        <v>7</v>
      </c>
      <c r="C1336">
        <v>31.92</v>
      </c>
      <c r="D1336">
        <v>0</v>
      </c>
      <c r="E1336" t="s">
        <v>11</v>
      </c>
      <c r="F1336" t="s">
        <v>14</v>
      </c>
      <c r="G1336">
        <v>2205.9807999999998</v>
      </c>
    </row>
    <row r="1337" spans="1:7" x14ac:dyDescent="0.25">
      <c r="A1337">
        <v>18</v>
      </c>
      <c r="B1337" t="s">
        <v>7</v>
      </c>
      <c r="C1337">
        <v>36.85</v>
      </c>
      <c r="D1337">
        <v>0</v>
      </c>
      <c r="E1337" t="s">
        <v>11</v>
      </c>
      <c r="F1337" t="s">
        <v>12</v>
      </c>
      <c r="G1337">
        <v>1629.8335</v>
      </c>
    </row>
    <row r="1338" spans="1:7" x14ac:dyDescent="0.25">
      <c r="A1338">
        <v>21</v>
      </c>
      <c r="B1338" t="s">
        <v>7</v>
      </c>
      <c r="C1338">
        <v>25.8</v>
      </c>
      <c r="D1338">
        <v>0</v>
      </c>
      <c r="E1338" t="s">
        <v>11</v>
      </c>
      <c r="F1338" t="s">
        <v>9</v>
      </c>
      <c r="G1338">
        <v>2007.9449999999999</v>
      </c>
    </row>
    <row r="1339" spans="1:7" x14ac:dyDescent="0.25">
      <c r="A1339">
        <v>61</v>
      </c>
      <c r="B1339" t="s">
        <v>7</v>
      </c>
      <c r="C1339">
        <v>29.07</v>
      </c>
      <c r="D1339">
        <v>0</v>
      </c>
      <c r="E1339" t="s">
        <v>8</v>
      </c>
      <c r="F1339" t="s">
        <v>13</v>
      </c>
      <c r="G1339">
        <v>29141.3603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83DD3-9797-48BD-9FF9-2CA1703BD5BE}">
  <sheetPr codeName="Sheet4"/>
  <dimension ref="A1:X1493"/>
  <sheetViews>
    <sheetView showGridLines="0" zoomScale="80" zoomScaleNormal="80" workbookViewId="0">
      <selection activeCell="H19" sqref="H19"/>
    </sheetView>
  </sheetViews>
  <sheetFormatPr defaultRowHeight="15" x14ac:dyDescent="0.25"/>
  <cols>
    <col min="3" max="3" width="7" bestFit="1" customWidth="1"/>
    <col min="6" max="6" width="14.140625" customWidth="1"/>
    <col min="9" max="10" width="10" bestFit="1" customWidth="1"/>
    <col min="11" max="11" width="12.85546875" customWidth="1"/>
    <col min="12" max="12" width="10.7109375" bestFit="1" customWidth="1"/>
    <col min="13" max="13" width="12.85546875" customWidth="1"/>
    <col min="14" max="14" width="18" bestFit="1" customWidth="1"/>
    <col min="15" max="15" width="12.7109375" bestFit="1" customWidth="1"/>
    <col min="16" max="16" width="12" bestFit="1" customWidth="1"/>
    <col min="17" max="17" width="18" bestFit="1" customWidth="1"/>
    <col min="18" max="19" width="12.7109375" bestFit="1" customWidth="1"/>
    <col min="20" max="20" width="18" bestFit="1" customWidth="1"/>
    <col min="21" max="21" width="12" bestFit="1" customWidth="1"/>
    <col min="22" max="22" width="12.7109375" bestFit="1" customWidth="1"/>
    <col min="23" max="23" width="18" bestFit="1" customWidth="1"/>
    <col min="24" max="25" width="12" bestFit="1" customWidth="1"/>
    <col min="27" max="27" width="18" bestFit="1" customWidth="1"/>
    <col min="28" max="28" width="12" bestFit="1" customWidth="1"/>
  </cols>
  <sheetData>
    <row r="1" spans="1:24" x14ac:dyDescent="0.25">
      <c r="A1" t="s">
        <v>1</v>
      </c>
      <c r="B1" t="s">
        <v>36</v>
      </c>
      <c r="C1" t="s">
        <v>35</v>
      </c>
      <c r="D1" t="s">
        <v>4</v>
      </c>
      <c r="E1" t="s">
        <v>69</v>
      </c>
      <c r="F1" t="s">
        <v>5</v>
      </c>
      <c r="G1" t="s">
        <v>0</v>
      </c>
      <c r="H1" t="s">
        <v>41</v>
      </c>
      <c r="I1" t="s">
        <v>2</v>
      </c>
      <c r="J1" t="s">
        <v>3</v>
      </c>
      <c r="K1" t="s">
        <v>6</v>
      </c>
    </row>
    <row r="2" spans="1:24" ht="15.75" thickBot="1" x14ac:dyDescent="0.3">
      <c r="A2" s="4" t="s">
        <v>7</v>
      </c>
      <c r="B2" s="4">
        <f>ROUND(Table13_1[[#This Row],[bmi]],1)</f>
        <v>27.9</v>
      </c>
      <c r="C2" s="4" t="str" cm="1">
        <f t="array" ref="C2">_xlfn.IFS(Table13_1[[#This Row],[Round BMI]]&lt;18.5,"Underweight",AND(Table13_1[[#This Row],[Round BMI]]&gt;=18.5,Table13_1[[#This Row],[Round BMI]] &lt;=24.9),"Healthy Weight",AND(Table13_1[[#This Row],[Round BMI]]&gt;=25,Table13_1[[#This Row],[Round BMI]]&lt;=29.9),"Overweight",Table13_1[[#This Row],[Round BMI]]&gt;=30,"Obese")</f>
        <v>Overweight</v>
      </c>
      <c r="D2" s="4" t="s">
        <v>8</v>
      </c>
      <c r="E2" s="4" t="str">
        <f>IF(Table13_1[[#This Row],[smoker]]="yes","smoker","non-smoker")</f>
        <v>smoker</v>
      </c>
      <c r="F2" s="4" t="s">
        <v>9</v>
      </c>
      <c r="G2" s="5">
        <v>19</v>
      </c>
      <c r="H2" s="5">
        <f>IF(Table13_1[[#This Row],[smoker]]="yes",1,0)</f>
        <v>1</v>
      </c>
      <c r="I2" s="4">
        <v>27.9</v>
      </c>
      <c r="J2" s="4">
        <v>0</v>
      </c>
      <c r="K2" s="12">
        <v>16884.923999999999</v>
      </c>
    </row>
    <row r="3" spans="1:24" x14ac:dyDescent="0.25">
      <c r="A3" s="4" t="s">
        <v>10</v>
      </c>
      <c r="B3" s="4">
        <f>ROUND(Table13_1[[#This Row],[bmi]],1)</f>
        <v>33.799999999999997</v>
      </c>
      <c r="C3" s="4" t="str" cm="1">
        <f t="array" ref="C3">_xlfn.IFS(Table13_1[[#This Row],[Round BMI]]&lt;18.5,"Underweight",AND(Table13_1[[#This Row],[Round BMI]]&gt;=18.5,Table13_1[[#This Row],[Round BMI]] &lt;=24.9),"Healthy Weight",AND(Table13_1[[#This Row],[Round BMI]]&gt;=25,Table13_1[[#This Row],[Round BMI]]&lt;=29.9),"Overweight",Table13_1[[#This Row],[Round BMI]]&gt;=30,"Obese")</f>
        <v>Obese</v>
      </c>
      <c r="D3" s="4" t="s">
        <v>11</v>
      </c>
      <c r="E3" s="4" t="str">
        <f>IF(Table13_1[[#This Row],[smoker]]="yes","smoker","non-smoker")</f>
        <v>non-smoker</v>
      </c>
      <c r="F3" s="4" t="s">
        <v>12</v>
      </c>
      <c r="G3" s="5">
        <v>18</v>
      </c>
      <c r="H3" s="5">
        <f>IF(Table13_1[[#This Row],[smoker]]="yes",1,0)</f>
        <v>0</v>
      </c>
      <c r="I3" s="4">
        <v>33.770000000000003</v>
      </c>
      <c r="J3" s="4">
        <v>1</v>
      </c>
      <c r="K3" s="12">
        <v>1725.5523000000001</v>
      </c>
      <c r="N3" s="3" t="s">
        <v>0</v>
      </c>
      <c r="O3" s="3"/>
      <c r="Q3" s="3" t="s">
        <v>2</v>
      </c>
      <c r="R3" s="3"/>
      <c r="T3" s="3" t="s">
        <v>3</v>
      </c>
      <c r="U3" s="3"/>
      <c r="W3" s="3" t="s">
        <v>6</v>
      </c>
      <c r="X3" s="3"/>
    </row>
    <row r="4" spans="1:24" x14ac:dyDescent="0.25">
      <c r="A4" s="4" t="s">
        <v>10</v>
      </c>
      <c r="B4" s="4">
        <f>ROUND(Table13_1[[#This Row],[bmi]],1)</f>
        <v>33</v>
      </c>
      <c r="C4" s="4" t="str" cm="1">
        <f t="array" ref="C4">_xlfn.IFS(Table13_1[[#This Row],[Round BMI]]&lt;18.5,"Underweight",AND(Table13_1[[#This Row],[Round BMI]]&gt;=18.5,Table13_1[[#This Row],[Round BMI]] &lt;=24.9),"Healthy Weight",AND(Table13_1[[#This Row],[Round BMI]]&gt;=25,Table13_1[[#This Row],[Round BMI]]&lt;=29.9),"Overweight",Table13_1[[#This Row],[Round BMI]]&gt;=30,"Obese")</f>
        <v>Obese</v>
      </c>
      <c r="D4" s="4" t="s">
        <v>11</v>
      </c>
      <c r="E4" s="4" t="str">
        <f>IF(Table13_1[[#This Row],[smoker]]="yes","smoker","non-smoker")</f>
        <v>non-smoker</v>
      </c>
      <c r="F4" s="4" t="s">
        <v>12</v>
      </c>
      <c r="G4" s="5">
        <v>28</v>
      </c>
      <c r="H4" s="5">
        <f>IF(Table13_1[[#This Row],[smoker]]="yes",1,0)</f>
        <v>0</v>
      </c>
      <c r="I4" s="4">
        <v>33</v>
      </c>
      <c r="J4" s="4">
        <v>3</v>
      </c>
      <c r="K4" s="12">
        <v>4449.4620000000004</v>
      </c>
    </row>
    <row r="5" spans="1:24" x14ac:dyDescent="0.25">
      <c r="A5" s="4" t="s">
        <v>10</v>
      </c>
      <c r="B5" s="4">
        <f>ROUND(Table13_1[[#This Row],[bmi]],1)</f>
        <v>22.7</v>
      </c>
      <c r="C5" s="4" t="str" cm="1">
        <f t="array" ref="C5">_xlfn.IFS(Table13_1[[#This Row],[Round BMI]]&lt;18.5,"Underweight",AND(Table13_1[[#This Row],[Round BMI]]&gt;=18.5,Table13_1[[#This Row],[Round BMI]] &lt;=24.9),"Healthy Weight",AND(Table13_1[[#This Row],[Round BMI]]&gt;=25,Table13_1[[#This Row],[Round BMI]]&lt;=29.9),"Overweight",Table13_1[[#This Row],[Round BMI]]&gt;=30,"Obese")</f>
        <v>Healthy Weight</v>
      </c>
      <c r="D5" s="4" t="s">
        <v>11</v>
      </c>
      <c r="E5" s="4" t="str">
        <f>IF(Table13_1[[#This Row],[smoker]]="yes","smoker","non-smoker")</f>
        <v>non-smoker</v>
      </c>
      <c r="F5" s="4" t="s">
        <v>13</v>
      </c>
      <c r="G5" s="5">
        <v>33</v>
      </c>
      <c r="H5" s="5">
        <f>IF(Table13_1[[#This Row],[smoker]]="yes",1,0)</f>
        <v>0</v>
      </c>
      <c r="I5" s="4">
        <v>22.704999999999998</v>
      </c>
      <c r="J5" s="4">
        <v>0</v>
      </c>
      <c r="K5" s="12">
        <v>21984.470600000001</v>
      </c>
      <c r="N5" t="s">
        <v>17</v>
      </c>
      <c r="O5" s="6">
        <v>39.207025411061288</v>
      </c>
      <c r="Q5" t="s">
        <v>17</v>
      </c>
      <c r="R5" s="6">
        <v>30.663396860986538</v>
      </c>
      <c r="T5" t="s">
        <v>17</v>
      </c>
      <c r="U5">
        <v>1.0949177877428999</v>
      </c>
      <c r="W5" t="s">
        <v>17</v>
      </c>
      <c r="X5">
        <v>13270.422263527651</v>
      </c>
    </row>
    <row r="6" spans="1:24" x14ac:dyDescent="0.25">
      <c r="A6" s="4" t="s">
        <v>10</v>
      </c>
      <c r="B6" s="4">
        <f>ROUND(Table13_1[[#This Row],[bmi]],1)</f>
        <v>28.9</v>
      </c>
      <c r="C6" s="4" t="str" cm="1">
        <f t="array" ref="C6">_xlfn.IFS(Table13_1[[#This Row],[Round BMI]]&lt;18.5,"Underweight",AND(Table13_1[[#This Row],[Round BMI]]&gt;=18.5,Table13_1[[#This Row],[Round BMI]] &lt;=24.9),"Healthy Weight",AND(Table13_1[[#This Row],[Round BMI]]&gt;=25,Table13_1[[#This Row],[Round BMI]]&lt;=29.9),"Overweight",Table13_1[[#This Row],[Round BMI]]&gt;=30,"Obese")</f>
        <v>Overweight</v>
      </c>
      <c r="D6" s="4" t="s">
        <v>11</v>
      </c>
      <c r="E6" s="4" t="str">
        <f>IF(Table13_1[[#This Row],[smoker]]="yes","smoker","non-smoker")</f>
        <v>non-smoker</v>
      </c>
      <c r="F6" s="4" t="s">
        <v>13</v>
      </c>
      <c r="G6" s="5">
        <v>32</v>
      </c>
      <c r="H6" s="5">
        <f>IF(Table13_1[[#This Row],[smoker]]="yes",1,0)</f>
        <v>0</v>
      </c>
      <c r="I6" s="4">
        <v>28.88</v>
      </c>
      <c r="J6" s="4">
        <v>0</v>
      </c>
      <c r="K6" s="12">
        <v>3866.8552</v>
      </c>
      <c r="N6" t="s">
        <v>18</v>
      </c>
      <c r="O6">
        <v>0.38410241948323204</v>
      </c>
      <c r="Q6" t="s">
        <v>18</v>
      </c>
      <c r="R6">
        <v>0.16671423150074052</v>
      </c>
      <c r="T6" t="s">
        <v>18</v>
      </c>
      <c r="U6">
        <v>3.2956155428356865E-2</v>
      </c>
      <c r="W6" t="s">
        <v>18</v>
      </c>
      <c r="X6">
        <v>331.06745435289923</v>
      </c>
    </row>
    <row r="7" spans="1:24" x14ac:dyDescent="0.25">
      <c r="A7" s="4" t="s">
        <v>7</v>
      </c>
      <c r="B7" s="4">
        <f>ROUND(Table13_1[[#This Row],[bmi]],1)</f>
        <v>25.7</v>
      </c>
      <c r="C7" s="4" t="str" cm="1">
        <f t="array" ref="C7">_xlfn.IFS(Table13_1[[#This Row],[Round BMI]]&lt;18.5,"Underweight",AND(Table13_1[[#This Row],[Round BMI]]&gt;=18.5,Table13_1[[#This Row],[Round BMI]] &lt;=24.9),"Healthy Weight",AND(Table13_1[[#This Row],[Round BMI]]&gt;=25,Table13_1[[#This Row],[Round BMI]]&lt;=29.9),"Overweight",Table13_1[[#This Row],[Round BMI]]&gt;=30,"Obese")</f>
        <v>Overweight</v>
      </c>
      <c r="D7" s="4" t="s">
        <v>11</v>
      </c>
      <c r="E7" s="4" t="str">
        <f>IF(Table13_1[[#This Row],[smoker]]="yes","smoker","non-smoker")</f>
        <v>non-smoker</v>
      </c>
      <c r="F7" s="4" t="s">
        <v>12</v>
      </c>
      <c r="G7" s="5">
        <v>31</v>
      </c>
      <c r="H7" s="5">
        <f>IF(Table13_1[[#This Row],[smoker]]="yes",1,0)</f>
        <v>0</v>
      </c>
      <c r="I7" s="4">
        <v>25.74</v>
      </c>
      <c r="J7" s="4">
        <v>0</v>
      </c>
      <c r="K7" s="12">
        <v>3756.6215999999999</v>
      </c>
      <c r="N7" t="s">
        <v>19</v>
      </c>
      <c r="O7" s="6">
        <v>39</v>
      </c>
      <c r="Q7" t="s">
        <v>19</v>
      </c>
      <c r="R7">
        <v>30.4</v>
      </c>
      <c r="T7" t="s">
        <v>19</v>
      </c>
      <c r="U7" s="6">
        <v>1</v>
      </c>
      <c r="W7" t="s">
        <v>19</v>
      </c>
      <c r="X7">
        <v>9382.0329999999994</v>
      </c>
    </row>
    <row r="8" spans="1:24" x14ac:dyDescent="0.25">
      <c r="A8" s="4" t="s">
        <v>7</v>
      </c>
      <c r="B8" s="4">
        <f>ROUND(Table13_1[[#This Row],[bmi]],1)</f>
        <v>33.4</v>
      </c>
      <c r="C8" s="4" t="str" cm="1">
        <f t="array" ref="C8">_xlfn.IFS(Table13_1[[#This Row],[Round BMI]]&lt;18.5,"Underweight",AND(Table13_1[[#This Row],[Round BMI]]&gt;=18.5,Table13_1[[#This Row],[Round BMI]] &lt;=24.9),"Healthy Weight",AND(Table13_1[[#This Row],[Round BMI]]&gt;=25,Table13_1[[#This Row],[Round BMI]]&lt;=29.9),"Overweight",Table13_1[[#This Row],[Round BMI]]&gt;=30,"Obese")</f>
        <v>Obese</v>
      </c>
      <c r="D8" s="4" t="s">
        <v>11</v>
      </c>
      <c r="E8" s="4" t="str">
        <f>IF(Table13_1[[#This Row],[smoker]]="yes","smoker","non-smoker")</f>
        <v>non-smoker</v>
      </c>
      <c r="F8" s="4" t="s">
        <v>12</v>
      </c>
      <c r="G8" s="5">
        <v>46</v>
      </c>
      <c r="H8" s="5">
        <f>IF(Table13_1[[#This Row],[smoker]]="yes",1,0)</f>
        <v>0</v>
      </c>
      <c r="I8" s="4">
        <v>33.44</v>
      </c>
      <c r="J8" s="4">
        <v>1</v>
      </c>
      <c r="K8" s="12">
        <v>8240.5895999999993</v>
      </c>
      <c r="N8" t="s">
        <v>20</v>
      </c>
      <c r="O8">
        <v>18</v>
      </c>
      <c r="Q8" t="s">
        <v>20</v>
      </c>
      <c r="R8">
        <v>32.299999999999997</v>
      </c>
      <c r="T8" t="s">
        <v>20</v>
      </c>
      <c r="U8" s="6">
        <v>0</v>
      </c>
      <c r="W8" t="s">
        <v>20</v>
      </c>
      <c r="X8">
        <v>1639.5631000000001</v>
      </c>
    </row>
    <row r="9" spans="1:24" x14ac:dyDescent="0.25">
      <c r="A9" s="4" t="s">
        <v>7</v>
      </c>
      <c r="B9" s="4">
        <f>ROUND(Table13_1[[#This Row],[bmi]],1)</f>
        <v>27.7</v>
      </c>
      <c r="C9" s="4" t="str" cm="1">
        <f t="array" ref="C9">_xlfn.IFS(Table13_1[[#This Row],[Round BMI]]&lt;18.5,"Underweight",AND(Table13_1[[#This Row],[Round BMI]]&gt;=18.5,Table13_1[[#This Row],[Round BMI]] &lt;=24.9),"Healthy Weight",AND(Table13_1[[#This Row],[Round BMI]]&gt;=25,Table13_1[[#This Row],[Round BMI]]&lt;=29.9),"Overweight",Table13_1[[#This Row],[Round BMI]]&gt;=30,"Obese")</f>
        <v>Overweight</v>
      </c>
      <c r="D9" s="4" t="s">
        <v>11</v>
      </c>
      <c r="E9" s="4" t="str">
        <f>IF(Table13_1[[#This Row],[smoker]]="yes","smoker","non-smoker")</f>
        <v>non-smoker</v>
      </c>
      <c r="F9" s="4" t="s">
        <v>13</v>
      </c>
      <c r="G9" s="5">
        <v>37</v>
      </c>
      <c r="H9" s="5">
        <f>IF(Table13_1[[#This Row],[smoker]]="yes",1,0)</f>
        <v>0</v>
      </c>
      <c r="I9" s="4">
        <v>27.74</v>
      </c>
      <c r="J9" s="4">
        <v>3</v>
      </c>
      <c r="K9" s="12">
        <v>7281.5056000000004</v>
      </c>
      <c r="N9" t="s">
        <v>21</v>
      </c>
      <c r="O9">
        <v>14.049960379216154</v>
      </c>
      <c r="Q9" t="s">
        <v>21</v>
      </c>
      <c r="R9">
        <v>6.0981869116789778</v>
      </c>
      <c r="T9" t="s">
        <v>21</v>
      </c>
      <c r="U9">
        <v>1.2054927397819137</v>
      </c>
      <c r="W9" t="s">
        <v>21</v>
      </c>
      <c r="X9">
        <v>12110.011238055342</v>
      </c>
    </row>
    <row r="10" spans="1:24" x14ac:dyDescent="0.25">
      <c r="A10" s="4" t="s">
        <v>10</v>
      </c>
      <c r="B10" s="4">
        <f>ROUND(Table13_1[[#This Row],[bmi]],1)</f>
        <v>29.8</v>
      </c>
      <c r="C10" s="4" t="str" cm="1">
        <f t="array" ref="C10">_xlfn.IFS(Table13_1[[#This Row],[Round BMI]]&lt;18.5,"Underweight",AND(Table13_1[[#This Row],[Round BMI]]&gt;=18.5,Table13_1[[#This Row],[Round BMI]] &lt;=24.9),"Healthy Weight",AND(Table13_1[[#This Row],[Round BMI]]&gt;=25,Table13_1[[#This Row],[Round BMI]]&lt;=29.9),"Overweight",Table13_1[[#This Row],[Round BMI]]&gt;=30,"Obese")</f>
        <v>Overweight</v>
      </c>
      <c r="D10" s="4" t="s">
        <v>11</v>
      </c>
      <c r="E10" s="4" t="str">
        <f>IF(Table13_1[[#This Row],[smoker]]="yes","smoker","non-smoker")</f>
        <v>non-smoker</v>
      </c>
      <c r="F10" s="4" t="s">
        <v>14</v>
      </c>
      <c r="G10" s="5">
        <v>37</v>
      </c>
      <c r="H10" s="5">
        <f>IF(Table13_1[[#This Row],[smoker]]="yes",1,0)</f>
        <v>0</v>
      </c>
      <c r="I10" s="4">
        <v>29.83</v>
      </c>
      <c r="J10" s="4">
        <v>2</v>
      </c>
      <c r="K10" s="12">
        <v>6406.4107000000004</v>
      </c>
      <c r="N10" t="s">
        <v>22</v>
      </c>
      <c r="O10">
        <v>197.40138665754375</v>
      </c>
      <c r="Q10" t="s">
        <v>22</v>
      </c>
      <c r="R10">
        <v>37.18788360977279</v>
      </c>
      <c r="T10" t="s">
        <v>22</v>
      </c>
      <c r="U10">
        <v>1.4532127456669048</v>
      </c>
      <c r="W10" t="s">
        <v>22</v>
      </c>
      <c r="X10">
        <v>146652372.18582669</v>
      </c>
    </row>
    <row r="11" spans="1:24" x14ac:dyDescent="0.25">
      <c r="A11" s="4" t="s">
        <v>7</v>
      </c>
      <c r="B11" s="4">
        <f>ROUND(Table13_1[[#This Row],[bmi]],1)</f>
        <v>25.8</v>
      </c>
      <c r="C11" s="4" t="str" cm="1">
        <f t="array" ref="C11">_xlfn.IFS(Table13_1[[#This Row],[Round BMI]]&lt;18.5,"Underweight",AND(Table13_1[[#This Row],[Round BMI]]&gt;=18.5,Table13_1[[#This Row],[Round BMI]] &lt;=24.9),"Healthy Weight",AND(Table13_1[[#This Row],[Round BMI]]&gt;=25,Table13_1[[#This Row],[Round BMI]]&lt;=29.9),"Overweight",Table13_1[[#This Row],[Round BMI]]&gt;=30,"Obese")</f>
        <v>Overweight</v>
      </c>
      <c r="D11" s="4" t="s">
        <v>11</v>
      </c>
      <c r="E11" s="4" t="str">
        <f>IF(Table13_1[[#This Row],[smoker]]="yes","smoker","non-smoker")</f>
        <v>non-smoker</v>
      </c>
      <c r="F11" s="4" t="s">
        <v>13</v>
      </c>
      <c r="G11" s="5">
        <v>60</v>
      </c>
      <c r="H11" s="5">
        <f>IF(Table13_1[[#This Row],[smoker]]="yes",1,0)</f>
        <v>0</v>
      </c>
      <c r="I11" s="4">
        <v>25.84</v>
      </c>
      <c r="J11" s="4">
        <v>0</v>
      </c>
      <c r="K11" s="12">
        <v>28923.136900000001</v>
      </c>
      <c r="N11" t="s">
        <v>23</v>
      </c>
      <c r="O11">
        <v>-1.2450876526418739</v>
      </c>
      <c r="Q11" t="s">
        <v>23</v>
      </c>
      <c r="R11">
        <v>-5.0731531354682335E-2</v>
      </c>
      <c r="T11" t="s">
        <v>23</v>
      </c>
      <c r="U11">
        <v>0.20245414671692163</v>
      </c>
      <c r="W11" t="s">
        <v>23</v>
      </c>
      <c r="X11">
        <v>1.6062986534424661</v>
      </c>
    </row>
    <row r="12" spans="1:24" x14ac:dyDescent="0.25">
      <c r="A12" s="4" t="s">
        <v>10</v>
      </c>
      <c r="B12" s="4">
        <f>ROUND(Table13_1[[#This Row],[bmi]],1)</f>
        <v>26.2</v>
      </c>
      <c r="C12" s="4" t="str" cm="1">
        <f t="array" ref="C12">_xlfn.IFS(Table13_1[[#This Row],[Round BMI]]&lt;18.5,"Underweight",AND(Table13_1[[#This Row],[Round BMI]]&gt;=18.5,Table13_1[[#This Row],[Round BMI]] &lt;=24.9),"Healthy Weight",AND(Table13_1[[#This Row],[Round BMI]]&gt;=25,Table13_1[[#This Row],[Round BMI]]&lt;=29.9),"Overweight",Table13_1[[#This Row],[Round BMI]]&gt;=30,"Obese")</f>
        <v>Overweight</v>
      </c>
      <c r="D12" s="4" t="s">
        <v>11</v>
      </c>
      <c r="E12" s="4" t="str">
        <f>IF(Table13_1[[#This Row],[smoker]]="yes","smoker","non-smoker")</f>
        <v>non-smoker</v>
      </c>
      <c r="F12" s="4" t="s">
        <v>14</v>
      </c>
      <c r="G12" s="5">
        <v>25</v>
      </c>
      <c r="H12" s="5">
        <f>IF(Table13_1[[#This Row],[smoker]]="yes",1,0)</f>
        <v>0</v>
      </c>
      <c r="I12" s="4">
        <v>26.22</v>
      </c>
      <c r="J12" s="4">
        <v>0</v>
      </c>
      <c r="K12" s="12">
        <v>2721.3208</v>
      </c>
      <c r="N12" t="s">
        <v>24</v>
      </c>
      <c r="O12">
        <v>5.5672515652991868E-2</v>
      </c>
      <c r="Q12" t="s">
        <v>24</v>
      </c>
      <c r="R12">
        <v>0.28404711059874976</v>
      </c>
      <c r="T12" t="s">
        <v>24</v>
      </c>
      <c r="U12">
        <v>0.93838044017024602</v>
      </c>
      <c r="W12" t="s">
        <v>24</v>
      </c>
      <c r="X12" s="6">
        <v>1.5158796580820597</v>
      </c>
    </row>
    <row r="13" spans="1:24" x14ac:dyDescent="0.25">
      <c r="A13" s="4" t="s">
        <v>7</v>
      </c>
      <c r="B13" s="4">
        <f>ROUND(Table13_1[[#This Row],[bmi]],1)</f>
        <v>26.3</v>
      </c>
      <c r="C13" s="4" t="str" cm="1">
        <f t="array" ref="C13">_xlfn.IFS(Table13_1[[#This Row],[Round BMI]]&lt;18.5,"Underweight",AND(Table13_1[[#This Row],[Round BMI]]&gt;=18.5,Table13_1[[#This Row],[Round BMI]] &lt;=24.9),"Healthy Weight",AND(Table13_1[[#This Row],[Round BMI]]&gt;=25,Table13_1[[#This Row],[Round BMI]]&lt;=29.9),"Overweight",Table13_1[[#This Row],[Round BMI]]&gt;=30,"Obese")</f>
        <v>Overweight</v>
      </c>
      <c r="D13" s="4" t="s">
        <v>8</v>
      </c>
      <c r="E13" s="4" t="str">
        <f>IF(Table13_1[[#This Row],[smoker]]="yes","smoker","non-smoker")</f>
        <v>smoker</v>
      </c>
      <c r="F13" s="4" t="s">
        <v>12</v>
      </c>
      <c r="G13" s="5">
        <v>62</v>
      </c>
      <c r="H13" s="5">
        <f>IF(Table13_1[[#This Row],[smoker]]="yes",1,0)</f>
        <v>1</v>
      </c>
      <c r="I13" s="4">
        <v>26.29</v>
      </c>
      <c r="J13" s="4">
        <v>0</v>
      </c>
      <c r="K13" s="12">
        <v>27808.7251</v>
      </c>
      <c r="N13" t="s">
        <v>25</v>
      </c>
      <c r="O13">
        <v>46</v>
      </c>
      <c r="Q13" t="s">
        <v>25</v>
      </c>
      <c r="R13">
        <v>37.17</v>
      </c>
      <c r="T13" t="s">
        <v>25</v>
      </c>
      <c r="U13">
        <v>5</v>
      </c>
      <c r="W13" t="s">
        <v>25</v>
      </c>
      <c r="X13">
        <v>62648.554100000001</v>
      </c>
    </row>
    <row r="14" spans="1:24" x14ac:dyDescent="0.25">
      <c r="A14" s="4" t="s">
        <v>10</v>
      </c>
      <c r="B14" s="4">
        <f>ROUND(Table13_1[[#This Row],[bmi]],1)</f>
        <v>34.4</v>
      </c>
      <c r="C14" s="4" t="str" cm="1">
        <f t="array" ref="C14">_xlfn.IFS(Table13_1[[#This Row],[Round BMI]]&lt;18.5,"Underweight",AND(Table13_1[[#This Row],[Round BMI]]&gt;=18.5,Table13_1[[#This Row],[Round BMI]] &lt;=24.9),"Healthy Weight",AND(Table13_1[[#This Row],[Round BMI]]&gt;=25,Table13_1[[#This Row],[Round BMI]]&lt;=29.9),"Overweight",Table13_1[[#This Row],[Round BMI]]&gt;=30,"Obese")</f>
        <v>Obese</v>
      </c>
      <c r="D14" s="4" t="s">
        <v>11</v>
      </c>
      <c r="E14" s="4" t="str">
        <f>IF(Table13_1[[#This Row],[smoker]]="yes","smoker","non-smoker")</f>
        <v>non-smoker</v>
      </c>
      <c r="F14" s="4" t="s">
        <v>9</v>
      </c>
      <c r="G14" s="5">
        <v>23</v>
      </c>
      <c r="H14" s="5">
        <f>IF(Table13_1[[#This Row],[smoker]]="yes",1,0)</f>
        <v>0</v>
      </c>
      <c r="I14" s="4">
        <v>34.4</v>
      </c>
      <c r="J14" s="4">
        <v>0</v>
      </c>
      <c r="K14" s="12">
        <v>1826.8430000000001</v>
      </c>
      <c r="N14" t="s">
        <v>26</v>
      </c>
      <c r="O14" s="6">
        <v>18</v>
      </c>
      <c r="Q14" t="s">
        <v>26</v>
      </c>
      <c r="R14">
        <v>15.96</v>
      </c>
      <c r="T14" t="s">
        <v>26</v>
      </c>
      <c r="U14">
        <v>0</v>
      </c>
      <c r="W14" t="s">
        <v>26</v>
      </c>
      <c r="X14">
        <v>1121.8739</v>
      </c>
    </row>
    <row r="15" spans="1:24" x14ac:dyDescent="0.25">
      <c r="A15" s="4" t="s">
        <v>7</v>
      </c>
      <c r="B15" s="4">
        <f>ROUND(Table13_1[[#This Row],[bmi]],1)</f>
        <v>39.799999999999997</v>
      </c>
      <c r="C15" s="4" t="str" cm="1">
        <f t="array" ref="C15">_xlfn.IFS(Table13_1[[#This Row],[Round BMI]]&lt;18.5,"Underweight",AND(Table13_1[[#This Row],[Round BMI]]&gt;=18.5,Table13_1[[#This Row],[Round BMI]] &lt;=24.9),"Healthy Weight",AND(Table13_1[[#This Row],[Round BMI]]&gt;=25,Table13_1[[#This Row],[Round BMI]]&lt;=29.9),"Overweight",Table13_1[[#This Row],[Round BMI]]&gt;=30,"Obese")</f>
        <v>Obese</v>
      </c>
      <c r="D15" s="4" t="s">
        <v>11</v>
      </c>
      <c r="E15" s="4" t="str">
        <f>IF(Table13_1[[#This Row],[smoker]]="yes","smoker","non-smoker")</f>
        <v>non-smoker</v>
      </c>
      <c r="F15" s="4" t="s">
        <v>12</v>
      </c>
      <c r="G15" s="5">
        <v>56</v>
      </c>
      <c r="H15" s="5">
        <f>IF(Table13_1[[#This Row],[smoker]]="yes",1,0)</f>
        <v>0</v>
      </c>
      <c r="I15" s="4">
        <v>39.82</v>
      </c>
      <c r="J15" s="4">
        <v>0</v>
      </c>
      <c r="K15" s="12">
        <v>11090.7178</v>
      </c>
      <c r="N15" t="s">
        <v>27</v>
      </c>
      <c r="O15" s="6">
        <v>64</v>
      </c>
      <c r="Q15" t="s">
        <v>27</v>
      </c>
      <c r="R15" s="6">
        <v>53.13</v>
      </c>
      <c r="T15" t="s">
        <v>27</v>
      </c>
      <c r="U15">
        <v>5</v>
      </c>
      <c r="W15" t="s">
        <v>27</v>
      </c>
      <c r="X15" s="7">
        <v>63770.428</v>
      </c>
    </row>
    <row r="16" spans="1:24" x14ac:dyDescent="0.25">
      <c r="A16" s="4" t="s">
        <v>10</v>
      </c>
      <c r="B16" s="4">
        <f>ROUND(Table13_1[[#This Row],[bmi]],1)</f>
        <v>42.1</v>
      </c>
      <c r="C16" s="4" t="str" cm="1">
        <f t="array" ref="C16">_xlfn.IFS(Table13_1[[#This Row],[Round BMI]]&lt;18.5,"Underweight",AND(Table13_1[[#This Row],[Round BMI]]&gt;=18.5,Table13_1[[#This Row],[Round BMI]] &lt;=24.9),"Healthy Weight",AND(Table13_1[[#This Row],[Round BMI]]&gt;=25,Table13_1[[#This Row],[Round BMI]]&lt;=29.9),"Overweight",Table13_1[[#This Row],[Round BMI]]&gt;=30,"Obese")</f>
        <v>Obese</v>
      </c>
      <c r="D16" s="4" t="s">
        <v>8</v>
      </c>
      <c r="E16" s="4" t="str">
        <f>IF(Table13_1[[#This Row],[smoker]]="yes","smoker","non-smoker")</f>
        <v>smoker</v>
      </c>
      <c r="F16" s="4" t="s">
        <v>12</v>
      </c>
      <c r="G16" s="5">
        <v>27</v>
      </c>
      <c r="H16" s="5">
        <f>IF(Table13_1[[#This Row],[smoker]]="yes",1,0)</f>
        <v>1</v>
      </c>
      <c r="I16" s="4">
        <v>42.13</v>
      </c>
      <c r="J16" s="4">
        <v>0</v>
      </c>
      <c r="K16" s="12">
        <v>39611.757700000002</v>
      </c>
      <c r="N16" t="s">
        <v>28</v>
      </c>
      <c r="O16">
        <v>52459</v>
      </c>
      <c r="Q16" t="s">
        <v>28</v>
      </c>
      <c r="R16">
        <v>41027.624999999985</v>
      </c>
      <c r="T16" t="s">
        <v>28</v>
      </c>
      <c r="U16">
        <v>1465</v>
      </c>
      <c r="W16" t="s">
        <v>28</v>
      </c>
      <c r="X16">
        <v>17755824.988599997</v>
      </c>
    </row>
    <row r="17" spans="1:24" ht="15.75" thickBot="1" x14ac:dyDescent="0.3">
      <c r="A17" s="4" t="s">
        <v>10</v>
      </c>
      <c r="B17" s="4">
        <f>ROUND(Table13_1[[#This Row],[bmi]],1)</f>
        <v>24.6</v>
      </c>
      <c r="C17" s="4" t="str" cm="1">
        <f t="array" ref="C17">_xlfn.IFS(Table13_1[[#This Row],[Round BMI]]&lt;18.5,"Underweight",AND(Table13_1[[#This Row],[Round BMI]]&gt;=18.5,Table13_1[[#This Row],[Round BMI]] &lt;=24.9),"Healthy Weight",AND(Table13_1[[#This Row],[Round BMI]]&gt;=25,Table13_1[[#This Row],[Round BMI]]&lt;=29.9),"Overweight",Table13_1[[#This Row],[Round BMI]]&gt;=30,"Obese")</f>
        <v>Healthy Weight</v>
      </c>
      <c r="D17" s="4" t="s">
        <v>11</v>
      </c>
      <c r="E17" s="4" t="str">
        <f>IF(Table13_1[[#This Row],[smoker]]="yes","smoker","non-smoker")</f>
        <v>non-smoker</v>
      </c>
      <c r="F17" s="4" t="s">
        <v>9</v>
      </c>
      <c r="G17" s="5">
        <v>19</v>
      </c>
      <c r="H17" s="5">
        <f>IF(Table13_1[[#This Row],[smoker]]="yes",1,0)</f>
        <v>0</v>
      </c>
      <c r="I17" s="4">
        <v>24.6</v>
      </c>
      <c r="J17" s="4">
        <v>1</v>
      </c>
      <c r="K17" s="12">
        <v>1837.2370000000001</v>
      </c>
      <c r="N17" s="2" t="s">
        <v>29</v>
      </c>
      <c r="O17" s="2">
        <v>1338</v>
      </c>
      <c r="Q17" s="2" t="s">
        <v>29</v>
      </c>
      <c r="R17" s="2">
        <v>1338</v>
      </c>
      <c r="T17" s="2" t="s">
        <v>29</v>
      </c>
      <c r="U17" s="2">
        <v>1338</v>
      </c>
      <c r="W17" s="2" t="s">
        <v>29</v>
      </c>
      <c r="X17" s="2">
        <v>1338</v>
      </c>
    </row>
    <row r="18" spans="1:24" x14ac:dyDescent="0.25">
      <c r="A18" s="4" t="s">
        <v>7</v>
      </c>
      <c r="B18" s="4">
        <f>ROUND(Table13_1[[#This Row],[bmi]],1)</f>
        <v>30.8</v>
      </c>
      <c r="C18" s="4" t="str" cm="1">
        <f t="array" ref="C18">_xlfn.IFS(Table13_1[[#This Row],[Round BMI]]&lt;18.5,"Underweight",AND(Table13_1[[#This Row],[Round BMI]]&gt;=18.5,Table13_1[[#This Row],[Round BMI]] &lt;=24.9),"Healthy Weight",AND(Table13_1[[#This Row],[Round BMI]]&gt;=25,Table13_1[[#This Row],[Round BMI]]&lt;=29.9),"Overweight",Table13_1[[#This Row],[Round BMI]]&gt;=30,"Obese")</f>
        <v>Obese</v>
      </c>
      <c r="D18" s="4" t="s">
        <v>11</v>
      </c>
      <c r="E18" s="4" t="str">
        <f>IF(Table13_1[[#This Row],[smoker]]="yes","smoker","non-smoker")</f>
        <v>non-smoker</v>
      </c>
      <c r="F18" s="4" t="s">
        <v>14</v>
      </c>
      <c r="G18" s="5">
        <v>52</v>
      </c>
      <c r="H18" s="5">
        <f>IF(Table13_1[[#This Row],[smoker]]="yes",1,0)</f>
        <v>0</v>
      </c>
      <c r="I18" s="4">
        <v>30.78</v>
      </c>
      <c r="J18" s="4">
        <v>1</v>
      </c>
      <c r="K18" s="12">
        <v>10797.3362</v>
      </c>
    </row>
    <row r="19" spans="1:24" x14ac:dyDescent="0.25">
      <c r="A19" s="4" t="s">
        <v>10</v>
      </c>
      <c r="B19" s="4">
        <f>ROUND(Table13_1[[#This Row],[bmi]],1)</f>
        <v>23.8</v>
      </c>
      <c r="C19" s="4" t="str" cm="1">
        <f t="array" ref="C19">_xlfn.IFS(Table13_1[[#This Row],[Round BMI]]&lt;18.5,"Underweight",AND(Table13_1[[#This Row],[Round BMI]]&gt;=18.5,Table13_1[[#This Row],[Round BMI]] &lt;=24.9),"Healthy Weight",AND(Table13_1[[#This Row],[Round BMI]]&gt;=25,Table13_1[[#This Row],[Round BMI]]&lt;=29.9),"Overweight",Table13_1[[#This Row],[Round BMI]]&gt;=30,"Obese")</f>
        <v>Healthy Weight</v>
      </c>
      <c r="D19" s="4" t="s">
        <v>11</v>
      </c>
      <c r="E19" s="4" t="str">
        <f>IF(Table13_1[[#This Row],[smoker]]="yes","smoker","non-smoker")</f>
        <v>non-smoker</v>
      </c>
      <c r="F19" s="4" t="s">
        <v>14</v>
      </c>
      <c r="G19" s="5">
        <v>23</v>
      </c>
      <c r="H19" s="5">
        <f>IF(Table13_1[[#This Row],[smoker]]="yes",1,0)</f>
        <v>0</v>
      </c>
      <c r="I19" s="4">
        <v>23.844999999999999</v>
      </c>
      <c r="J19" s="4">
        <v>0</v>
      </c>
      <c r="K19" s="12">
        <v>2395.1716000000001</v>
      </c>
    </row>
    <row r="20" spans="1:24" x14ac:dyDescent="0.25">
      <c r="A20" s="4" t="s">
        <v>10</v>
      </c>
      <c r="B20" s="4">
        <f>ROUND(Table13_1[[#This Row],[bmi]],1)</f>
        <v>40.299999999999997</v>
      </c>
      <c r="C20" s="4" t="str" cm="1">
        <f t="array" ref="C20">_xlfn.IFS(Table13_1[[#This Row],[Round BMI]]&lt;18.5,"Underweight",AND(Table13_1[[#This Row],[Round BMI]]&gt;=18.5,Table13_1[[#This Row],[Round BMI]] &lt;=24.9),"Healthy Weight",AND(Table13_1[[#This Row],[Round BMI]]&gt;=25,Table13_1[[#This Row],[Round BMI]]&lt;=29.9),"Overweight",Table13_1[[#This Row],[Round BMI]]&gt;=30,"Obese")</f>
        <v>Obese</v>
      </c>
      <c r="D20" s="4" t="s">
        <v>11</v>
      </c>
      <c r="E20" s="4" t="str">
        <f>IF(Table13_1[[#This Row],[smoker]]="yes","smoker","non-smoker")</f>
        <v>non-smoker</v>
      </c>
      <c r="F20" s="4" t="s">
        <v>9</v>
      </c>
      <c r="G20" s="5">
        <v>56</v>
      </c>
      <c r="H20" s="5">
        <f>IF(Table13_1[[#This Row],[smoker]]="yes",1,0)</f>
        <v>0</v>
      </c>
      <c r="I20" s="4">
        <v>40.299999999999997</v>
      </c>
      <c r="J20" s="4">
        <v>0</v>
      </c>
      <c r="K20" s="12">
        <v>10602.385</v>
      </c>
    </row>
    <row r="21" spans="1:24" x14ac:dyDescent="0.25">
      <c r="A21" s="4" t="s">
        <v>10</v>
      </c>
      <c r="B21" s="4">
        <f>ROUND(Table13_1[[#This Row],[bmi]],1)</f>
        <v>35.299999999999997</v>
      </c>
      <c r="C21" s="4" t="str" cm="1">
        <f t="array" ref="C21">_xlfn.IFS(Table13_1[[#This Row],[Round BMI]]&lt;18.5,"Underweight",AND(Table13_1[[#This Row],[Round BMI]]&gt;=18.5,Table13_1[[#This Row],[Round BMI]] &lt;=24.9),"Healthy Weight",AND(Table13_1[[#This Row],[Round BMI]]&gt;=25,Table13_1[[#This Row],[Round BMI]]&lt;=29.9),"Overweight",Table13_1[[#This Row],[Round BMI]]&gt;=30,"Obese")</f>
        <v>Obese</v>
      </c>
      <c r="D21" s="4" t="s">
        <v>8</v>
      </c>
      <c r="E21" s="4" t="str">
        <f>IF(Table13_1[[#This Row],[smoker]]="yes","smoker","non-smoker")</f>
        <v>smoker</v>
      </c>
      <c r="F21" s="4" t="s">
        <v>9</v>
      </c>
      <c r="G21" s="5">
        <v>30</v>
      </c>
      <c r="H21" s="5">
        <f>IF(Table13_1[[#This Row],[smoker]]="yes",1,0)</f>
        <v>1</v>
      </c>
      <c r="I21" s="4">
        <v>35.299999999999997</v>
      </c>
      <c r="J21" s="4">
        <v>0</v>
      </c>
      <c r="K21" s="12">
        <v>36837.466999999997</v>
      </c>
    </row>
    <row r="22" spans="1:24" x14ac:dyDescent="0.25">
      <c r="A22" s="4" t="s">
        <v>7</v>
      </c>
      <c r="B22" s="4">
        <f>ROUND(Table13_1[[#This Row],[bmi]],1)</f>
        <v>36</v>
      </c>
      <c r="C22" s="4" t="str" cm="1">
        <f t="array" ref="C22">_xlfn.IFS(Table13_1[[#This Row],[Round BMI]]&lt;18.5,"Underweight",AND(Table13_1[[#This Row],[Round BMI]]&gt;=18.5,Table13_1[[#This Row],[Round BMI]] &lt;=24.9),"Healthy Weight",AND(Table13_1[[#This Row],[Round BMI]]&gt;=25,Table13_1[[#This Row],[Round BMI]]&lt;=29.9),"Overweight",Table13_1[[#This Row],[Round BMI]]&gt;=30,"Obese")</f>
        <v>Obese</v>
      </c>
      <c r="D22" s="4" t="s">
        <v>11</v>
      </c>
      <c r="E22" s="4" t="str">
        <f>IF(Table13_1[[#This Row],[smoker]]="yes","smoker","non-smoker")</f>
        <v>non-smoker</v>
      </c>
      <c r="F22" s="4" t="s">
        <v>14</v>
      </c>
      <c r="G22" s="5">
        <v>60</v>
      </c>
      <c r="H22" s="5">
        <f>IF(Table13_1[[#This Row],[smoker]]="yes",1,0)</f>
        <v>0</v>
      </c>
      <c r="I22" s="4">
        <v>36.005000000000003</v>
      </c>
      <c r="J22" s="4">
        <v>0</v>
      </c>
      <c r="K22" s="12">
        <v>13228.847</v>
      </c>
    </row>
    <row r="23" spans="1:24" x14ac:dyDescent="0.25">
      <c r="A23" s="4" t="s">
        <v>7</v>
      </c>
      <c r="B23" s="4">
        <f>ROUND(Table13_1[[#This Row],[bmi]],1)</f>
        <v>32.4</v>
      </c>
      <c r="C23" s="4" t="str" cm="1">
        <f t="array" ref="C23">_xlfn.IFS(Table13_1[[#This Row],[Round BMI]]&lt;18.5,"Underweight",AND(Table13_1[[#This Row],[Round BMI]]&gt;=18.5,Table13_1[[#This Row],[Round BMI]] &lt;=24.9),"Healthy Weight",AND(Table13_1[[#This Row],[Round BMI]]&gt;=25,Table13_1[[#This Row],[Round BMI]]&lt;=29.9),"Overweight",Table13_1[[#This Row],[Round BMI]]&gt;=30,"Obese")</f>
        <v>Obese</v>
      </c>
      <c r="D23" s="4" t="s">
        <v>11</v>
      </c>
      <c r="E23" s="4" t="str">
        <f>IF(Table13_1[[#This Row],[smoker]]="yes","smoker","non-smoker")</f>
        <v>non-smoker</v>
      </c>
      <c r="F23" s="4" t="s">
        <v>9</v>
      </c>
      <c r="G23" s="5">
        <v>30</v>
      </c>
      <c r="H23" s="5">
        <f>IF(Table13_1[[#This Row],[smoker]]="yes",1,0)</f>
        <v>0</v>
      </c>
      <c r="I23" s="4">
        <v>32.4</v>
      </c>
      <c r="J23" s="4">
        <v>1</v>
      </c>
      <c r="K23" s="12">
        <v>4149.7359999999999</v>
      </c>
    </row>
    <row r="24" spans="1:24" x14ac:dyDescent="0.25">
      <c r="A24" s="4" t="s">
        <v>10</v>
      </c>
      <c r="B24" s="4">
        <f>ROUND(Table13_1[[#This Row],[bmi]],1)</f>
        <v>34.1</v>
      </c>
      <c r="C24" s="4" t="str" cm="1">
        <f t="array" ref="C24">_xlfn.IFS(Table13_1[[#This Row],[Round BMI]]&lt;18.5,"Underweight",AND(Table13_1[[#This Row],[Round BMI]]&gt;=18.5,Table13_1[[#This Row],[Round BMI]] &lt;=24.9),"Healthy Weight",AND(Table13_1[[#This Row],[Round BMI]]&gt;=25,Table13_1[[#This Row],[Round BMI]]&lt;=29.9),"Overweight",Table13_1[[#This Row],[Round BMI]]&gt;=30,"Obese")</f>
        <v>Obese</v>
      </c>
      <c r="D24" s="4" t="s">
        <v>11</v>
      </c>
      <c r="E24" s="4" t="str">
        <f>IF(Table13_1[[#This Row],[smoker]]="yes","smoker","non-smoker")</f>
        <v>non-smoker</v>
      </c>
      <c r="F24" s="4" t="s">
        <v>12</v>
      </c>
      <c r="G24" s="5">
        <v>18</v>
      </c>
      <c r="H24" s="5">
        <f>IF(Table13_1[[#This Row],[smoker]]="yes",1,0)</f>
        <v>0</v>
      </c>
      <c r="I24" s="4">
        <v>34.1</v>
      </c>
      <c r="J24" s="4">
        <v>0</v>
      </c>
      <c r="K24" s="12">
        <v>1137.011</v>
      </c>
    </row>
    <row r="25" spans="1:24" x14ac:dyDescent="0.25">
      <c r="A25" s="4" t="s">
        <v>7</v>
      </c>
      <c r="B25" s="4">
        <f>ROUND(Table13_1[[#This Row],[bmi]],1)</f>
        <v>31.9</v>
      </c>
      <c r="C25" s="4" t="str" cm="1">
        <f t="array" ref="C25">_xlfn.IFS(Table13_1[[#This Row],[Round BMI]]&lt;18.5,"Underweight",AND(Table13_1[[#This Row],[Round BMI]]&gt;=18.5,Table13_1[[#This Row],[Round BMI]] &lt;=24.9),"Healthy Weight",AND(Table13_1[[#This Row],[Round BMI]]&gt;=25,Table13_1[[#This Row],[Round BMI]]&lt;=29.9),"Overweight",Table13_1[[#This Row],[Round BMI]]&gt;=30,"Obese")</f>
        <v>Obese</v>
      </c>
      <c r="D25" s="4" t="s">
        <v>8</v>
      </c>
      <c r="E25" s="4" t="str">
        <f>IF(Table13_1[[#This Row],[smoker]]="yes","smoker","non-smoker")</f>
        <v>smoker</v>
      </c>
      <c r="F25" s="4" t="s">
        <v>14</v>
      </c>
      <c r="G25" s="5">
        <v>34</v>
      </c>
      <c r="H25" s="5">
        <f>IF(Table13_1[[#This Row],[smoker]]="yes",1,0)</f>
        <v>1</v>
      </c>
      <c r="I25" s="4">
        <v>31.92</v>
      </c>
      <c r="J25" s="4">
        <v>1</v>
      </c>
      <c r="K25" s="12">
        <v>37701.876799999998</v>
      </c>
    </row>
    <row r="26" spans="1:24" x14ac:dyDescent="0.25">
      <c r="A26" s="4" t="s">
        <v>10</v>
      </c>
      <c r="B26" s="4">
        <f>ROUND(Table13_1[[#This Row],[bmi]],1)</f>
        <v>28</v>
      </c>
      <c r="C26" s="4" t="str" cm="1">
        <f t="array" ref="C26">_xlfn.IFS(Table13_1[[#This Row],[Round BMI]]&lt;18.5,"Underweight",AND(Table13_1[[#This Row],[Round BMI]]&gt;=18.5,Table13_1[[#This Row],[Round BMI]] &lt;=24.9),"Healthy Weight",AND(Table13_1[[#This Row],[Round BMI]]&gt;=25,Table13_1[[#This Row],[Round BMI]]&lt;=29.9),"Overweight",Table13_1[[#This Row],[Round BMI]]&gt;=30,"Obese")</f>
        <v>Overweight</v>
      </c>
      <c r="D26" s="4" t="s">
        <v>11</v>
      </c>
      <c r="E26" s="4" t="str">
        <f>IF(Table13_1[[#This Row],[smoker]]="yes","smoker","non-smoker")</f>
        <v>non-smoker</v>
      </c>
      <c r="F26" s="4" t="s">
        <v>13</v>
      </c>
      <c r="G26" s="5">
        <v>37</v>
      </c>
      <c r="H26" s="5">
        <f>IF(Table13_1[[#This Row],[smoker]]="yes",1,0)</f>
        <v>0</v>
      </c>
      <c r="I26" s="4">
        <v>28.024999999999999</v>
      </c>
      <c r="J26" s="4">
        <v>2</v>
      </c>
      <c r="K26" s="12">
        <v>6203.9017999999996</v>
      </c>
    </row>
    <row r="27" spans="1:24" x14ac:dyDescent="0.25">
      <c r="A27" s="4" t="s">
        <v>7</v>
      </c>
      <c r="B27" s="4">
        <f>ROUND(Table13_1[[#This Row],[bmi]],1)</f>
        <v>27.7</v>
      </c>
      <c r="C27" s="4" t="str" cm="1">
        <f t="array" ref="C27">_xlfn.IFS(Table13_1[[#This Row],[Round BMI]]&lt;18.5,"Underweight",AND(Table13_1[[#This Row],[Round BMI]]&gt;=18.5,Table13_1[[#This Row],[Round BMI]] &lt;=24.9),"Healthy Weight",AND(Table13_1[[#This Row],[Round BMI]]&gt;=25,Table13_1[[#This Row],[Round BMI]]&lt;=29.9),"Overweight",Table13_1[[#This Row],[Round BMI]]&gt;=30,"Obese")</f>
        <v>Overweight</v>
      </c>
      <c r="D27" s="4" t="s">
        <v>11</v>
      </c>
      <c r="E27" s="4" t="str">
        <f>IF(Table13_1[[#This Row],[smoker]]="yes","smoker","non-smoker")</f>
        <v>non-smoker</v>
      </c>
      <c r="F27" s="4" t="s">
        <v>12</v>
      </c>
      <c r="G27" s="5">
        <v>59</v>
      </c>
      <c r="H27" s="5">
        <f>IF(Table13_1[[#This Row],[smoker]]="yes",1,0)</f>
        <v>0</v>
      </c>
      <c r="I27" s="4">
        <v>27.72</v>
      </c>
      <c r="J27" s="4">
        <v>3</v>
      </c>
      <c r="K27" s="12">
        <v>14001.1338</v>
      </c>
    </row>
    <row r="28" spans="1:24" x14ac:dyDescent="0.25">
      <c r="A28" s="4" t="s">
        <v>7</v>
      </c>
      <c r="B28" s="4">
        <f>ROUND(Table13_1[[#This Row],[bmi]],1)</f>
        <v>23.1</v>
      </c>
      <c r="C28" s="4" t="str" cm="1">
        <f t="array" ref="C28">_xlfn.IFS(Table13_1[[#This Row],[Round BMI]]&lt;18.5,"Underweight",AND(Table13_1[[#This Row],[Round BMI]]&gt;=18.5,Table13_1[[#This Row],[Round BMI]] &lt;=24.9),"Healthy Weight",AND(Table13_1[[#This Row],[Round BMI]]&gt;=25,Table13_1[[#This Row],[Round BMI]]&lt;=29.9),"Overweight",Table13_1[[#This Row],[Round BMI]]&gt;=30,"Obese")</f>
        <v>Healthy Weight</v>
      </c>
      <c r="D28" s="4" t="s">
        <v>11</v>
      </c>
      <c r="E28" s="4" t="str">
        <f>IF(Table13_1[[#This Row],[smoker]]="yes","smoker","non-smoker")</f>
        <v>non-smoker</v>
      </c>
      <c r="F28" s="4" t="s">
        <v>14</v>
      </c>
      <c r="G28" s="5">
        <v>63</v>
      </c>
      <c r="H28" s="5">
        <f>IF(Table13_1[[#This Row],[smoker]]="yes",1,0)</f>
        <v>0</v>
      </c>
      <c r="I28" s="4">
        <v>23.085000000000001</v>
      </c>
      <c r="J28" s="4">
        <v>0</v>
      </c>
      <c r="K28" s="12">
        <v>14451.8352</v>
      </c>
    </row>
    <row r="29" spans="1:24" x14ac:dyDescent="0.25">
      <c r="A29" s="4" t="s">
        <v>7</v>
      </c>
      <c r="B29" s="4">
        <f>ROUND(Table13_1[[#This Row],[bmi]],1)</f>
        <v>32.799999999999997</v>
      </c>
      <c r="C29" s="4" t="str" cm="1">
        <f t="array" ref="C29">_xlfn.IFS(Table13_1[[#This Row],[Round BMI]]&lt;18.5,"Underweight",AND(Table13_1[[#This Row],[Round BMI]]&gt;=18.5,Table13_1[[#This Row],[Round BMI]] &lt;=24.9),"Healthy Weight",AND(Table13_1[[#This Row],[Round BMI]]&gt;=25,Table13_1[[#This Row],[Round BMI]]&lt;=29.9),"Overweight",Table13_1[[#This Row],[Round BMI]]&gt;=30,"Obese")</f>
        <v>Obese</v>
      </c>
      <c r="D29" s="4" t="s">
        <v>11</v>
      </c>
      <c r="E29" s="4" t="str">
        <f>IF(Table13_1[[#This Row],[smoker]]="yes","smoker","non-smoker")</f>
        <v>non-smoker</v>
      </c>
      <c r="F29" s="4" t="s">
        <v>13</v>
      </c>
      <c r="G29" s="5">
        <v>55</v>
      </c>
      <c r="H29" s="5">
        <f>IF(Table13_1[[#This Row],[smoker]]="yes",1,0)</f>
        <v>0</v>
      </c>
      <c r="I29" s="4">
        <v>32.774999999999999</v>
      </c>
      <c r="J29" s="4">
        <v>2</v>
      </c>
      <c r="K29" s="12">
        <v>12268.6322</v>
      </c>
    </row>
    <row r="30" spans="1:24" x14ac:dyDescent="0.25">
      <c r="A30" s="4" t="s">
        <v>10</v>
      </c>
      <c r="B30" s="4">
        <f>ROUND(Table13_1[[#This Row],[bmi]],1)</f>
        <v>17.399999999999999</v>
      </c>
      <c r="C30" s="4" t="str" cm="1">
        <f t="array" ref="C30">_xlfn.IFS(Table13_1[[#This Row],[Round BMI]]&lt;18.5,"Underweight",AND(Table13_1[[#This Row],[Round BMI]]&gt;=18.5,Table13_1[[#This Row],[Round BMI]] &lt;=24.9),"Healthy Weight",AND(Table13_1[[#This Row],[Round BMI]]&gt;=25,Table13_1[[#This Row],[Round BMI]]&lt;=29.9),"Overweight",Table13_1[[#This Row],[Round BMI]]&gt;=30,"Obese")</f>
        <v>Underweight</v>
      </c>
      <c r="D30" s="4" t="s">
        <v>11</v>
      </c>
      <c r="E30" s="4" t="str">
        <f>IF(Table13_1[[#This Row],[smoker]]="yes","smoker","non-smoker")</f>
        <v>non-smoker</v>
      </c>
      <c r="F30" s="4" t="s">
        <v>13</v>
      </c>
      <c r="G30" s="5">
        <v>23</v>
      </c>
      <c r="H30" s="5">
        <f>IF(Table13_1[[#This Row],[smoker]]="yes",1,0)</f>
        <v>0</v>
      </c>
      <c r="I30" s="4">
        <v>17.385000000000002</v>
      </c>
      <c r="J30" s="4">
        <v>1</v>
      </c>
      <c r="K30" s="12">
        <v>2775.1922</v>
      </c>
    </row>
    <row r="31" spans="1:24" x14ac:dyDescent="0.25">
      <c r="A31" s="4" t="s">
        <v>10</v>
      </c>
      <c r="B31" s="4">
        <f>ROUND(Table13_1[[#This Row],[bmi]],1)</f>
        <v>36.299999999999997</v>
      </c>
      <c r="C31" s="4" t="str" cm="1">
        <f t="array" ref="C31">_xlfn.IFS(Table13_1[[#This Row],[Round BMI]]&lt;18.5,"Underweight",AND(Table13_1[[#This Row],[Round BMI]]&gt;=18.5,Table13_1[[#This Row],[Round BMI]] &lt;=24.9),"Healthy Weight",AND(Table13_1[[#This Row],[Round BMI]]&gt;=25,Table13_1[[#This Row],[Round BMI]]&lt;=29.9),"Overweight",Table13_1[[#This Row],[Round BMI]]&gt;=30,"Obese")</f>
        <v>Obese</v>
      </c>
      <c r="D31" s="4" t="s">
        <v>8</v>
      </c>
      <c r="E31" s="4" t="str">
        <f>IF(Table13_1[[#This Row],[smoker]]="yes","smoker","non-smoker")</f>
        <v>smoker</v>
      </c>
      <c r="F31" s="4" t="s">
        <v>9</v>
      </c>
      <c r="G31" s="5">
        <v>31</v>
      </c>
      <c r="H31" s="5">
        <f>IF(Table13_1[[#This Row],[smoker]]="yes",1,0)</f>
        <v>1</v>
      </c>
      <c r="I31" s="4">
        <v>36.299999999999997</v>
      </c>
      <c r="J31" s="4">
        <v>2</v>
      </c>
      <c r="K31" s="12">
        <v>38711</v>
      </c>
    </row>
    <row r="32" spans="1:24" x14ac:dyDescent="0.25">
      <c r="A32" s="4" t="s">
        <v>10</v>
      </c>
      <c r="B32" s="4">
        <f>ROUND(Table13_1[[#This Row],[bmi]],1)</f>
        <v>35.6</v>
      </c>
      <c r="C32" s="4" t="str" cm="1">
        <f t="array" ref="C32">_xlfn.IFS(Table13_1[[#This Row],[Round BMI]]&lt;18.5,"Underweight",AND(Table13_1[[#This Row],[Round BMI]]&gt;=18.5,Table13_1[[#This Row],[Round BMI]] &lt;=24.9),"Healthy Weight",AND(Table13_1[[#This Row],[Round BMI]]&gt;=25,Table13_1[[#This Row],[Round BMI]]&lt;=29.9),"Overweight",Table13_1[[#This Row],[Round BMI]]&gt;=30,"Obese")</f>
        <v>Obese</v>
      </c>
      <c r="D32" s="4" t="s">
        <v>8</v>
      </c>
      <c r="E32" s="4" t="str">
        <f>IF(Table13_1[[#This Row],[smoker]]="yes","smoker","non-smoker")</f>
        <v>smoker</v>
      </c>
      <c r="F32" s="4" t="s">
        <v>9</v>
      </c>
      <c r="G32" s="5">
        <v>22</v>
      </c>
      <c r="H32" s="5">
        <f>IF(Table13_1[[#This Row],[smoker]]="yes",1,0)</f>
        <v>1</v>
      </c>
      <c r="I32" s="4">
        <v>35.6</v>
      </c>
      <c r="J32" s="4">
        <v>0</v>
      </c>
      <c r="K32" s="12">
        <v>35585.576000000001</v>
      </c>
    </row>
    <row r="33" spans="1:14" x14ac:dyDescent="0.25">
      <c r="A33" s="4" t="s">
        <v>7</v>
      </c>
      <c r="B33" s="4">
        <f>ROUND(Table13_1[[#This Row],[bmi]],1)</f>
        <v>26.3</v>
      </c>
      <c r="C33" s="4" t="str" cm="1">
        <f t="array" ref="C33">_xlfn.IFS(Table13_1[[#This Row],[Round BMI]]&lt;18.5,"Underweight",AND(Table13_1[[#This Row],[Round BMI]]&gt;=18.5,Table13_1[[#This Row],[Round BMI]] &lt;=24.9),"Healthy Weight",AND(Table13_1[[#This Row],[Round BMI]]&gt;=25,Table13_1[[#This Row],[Round BMI]]&lt;=29.9),"Overweight",Table13_1[[#This Row],[Round BMI]]&gt;=30,"Obese")</f>
        <v>Overweight</v>
      </c>
      <c r="D33" s="4" t="s">
        <v>11</v>
      </c>
      <c r="E33" s="4" t="str">
        <f>IF(Table13_1[[#This Row],[smoker]]="yes","smoker","non-smoker")</f>
        <v>non-smoker</v>
      </c>
      <c r="F33" s="4" t="s">
        <v>14</v>
      </c>
      <c r="G33" s="5">
        <v>18</v>
      </c>
      <c r="H33" s="5">
        <f>IF(Table13_1[[#This Row],[smoker]]="yes",1,0)</f>
        <v>0</v>
      </c>
      <c r="I33" s="4">
        <v>26.315000000000001</v>
      </c>
      <c r="J33" s="4">
        <v>0</v>
      </c>
      <c r="K33" s="12">
        <v>2198.1898000000001</v>
      </c>
    </row>
    <row r="34" spans="1:14" x14ac:dyDescent="0.25">
      <c r="A34" s="4" t="s">
        <v>7</v>
      </c>
      <c r="B34" s="4">
        <f>ROUND(Table13_1[[#This Row],[bmi]],1)</f>
        <v>28.6</v>
      </c>
      <c r="C34" s="4" t="str" cm="1">
        <f t="array" ref="C34">_xlfn.IFS(Table13_1[[#This Row],[Round BMI]]&lt;18.5,"Underweight",AND(Table13_1[[#This Row],[Round BMI]]&gt;=18.5,Table13_1[[#This Row],[Round BMI]] &lt;=24.9),"Healthy Weight",AND(Table13_1[[#This Row],[Round BMI]]&gt;=25,Table13_1[[#This Row],[Round BMI]]&lt;=29.9),"Overweight",Table13_1[[#This Row],[Round BMI]]&gt;=30,"Obese")</f>
        <v>Overweight</v>
      </c>
      <c r="D34" s="4" t="s">
        <v>11</v>
      </c>
      <c r="E34" s="4" t="str">
        <f>IF(Table13_1[[#This Row],[smoker]]="yes","smoker","non-smoker")</f>
        <v>non-smoker</v>
      </c>
      <c r="F34" s="4" t="s">
        <v>9</v>
      </c>
      <c r="G34" s="5">
        <v>19</v>
      </c>
      <c r="H34" s="5">
        <f>IF(Table13_1[[#This Row],[smoker]]="yes",1,0)</f>
        <v>0</v>
      </c>
      <c r="I34" s="4">
        <v>28.6</v>
      </c>
      <c r="J34" s="4">
        <v>5</v>
      </c>
      <c r="K34" s="12">
        <v>4687.7969999999996</v>
      </c>
    </row>
    <row r="35" spans="1:14" x14ac:dyDescent="0.25">
      <c r="A35" s="4" t="s">
        <v>10</v>
      </c>
      <c r="B35" s="4">
        <f>ROUND(Table13_1[[#This Row],[bmi]],1)</f>
        <v>28.3</v>
      </c>
      <c r="C35" s="4" t="str" cm="1">
        <f t="array" ref="C35">_xlfn.IFS(Table13_1[[#This Row],[Round BMI]]&lt;18.5,"Underweight",AND(Table13_1[[#This Row],[Round BMI]]&gt;=18.5,Table13_1[[#This Row],[Round BMI]] &lt;=24.9),"Healthy Weight",AND(Table13_1[[#This Row],[Round BMI]]&gt;=25,Table13_1[[#This Row],[Round BMI]]&lt;=29.9),"Overweight",Table13_1[[#This Row],[Round BMI]]&gt;=30,"Obese")</f>
        <v>Overweight</v>
      </c>
      <c r="D35" s="4" t="s">
        <v>11</v>
      </c>
      <c r="E35" s="4" t="str">
        <f>IF(Table13_1[[#This Row],[smoker]]="yes","smoker","non-smoker")</f>
        <v>non-smoker</v>
      </c>
      <c r="F35" s="4" t="s">
        <v>13</v>
      </c>
      <c r="G35" s="5">
        <v>63</v>
      </c>
      <c r="H35" s="5">
        <f>IF(Table13_1[[#This Row],[smoker]]="yes",1,0)</f>
        <v>0</v>
      </c>
      <c r="I35" s="4">
        <v>28.31</v>
      </c>
      <c r="J35" s="4">
        <v>0</v>
      </c>
      <c r="K35" s="12">
        <v>13770.097900000001</v>
      </c>
    </row>
    <row r="36" spans="1:14" x14ac:dyDescent="0.25">
      <c r="A36" s="4" t="s">
        <v>10</v>
      </c>
      <c r="B36" s="4">
        <f>ROUND(Table13_1[[#This Row],[bmi]],1)</f>
        <v>36.4</v>
      </c>
      <c r="C36" s="4" t="str" cm="1">
        <f t="array" ref="C36">_xlfn.IFS(Table13_1[[#This Row],[Round BMI]]&lt;18.5,"Underweight",AND(Table13_1[[#This Row],[Round BMI]]&gt;=18.5,Table13_1[[#This Row],[Round BMI]] &lt;=24.9),"Healthy Weight",AND(Table13_1[[#This Row],[Round BMI]]&gt;=25,Table13_1[[#This Row],[Round BMI]]&lt;=29.9),"Overweight",Table13_1[[#This Row],[Round BMI]]&gt;=30,"Obese")</f>
        <v>Obese</v>
      </c>
      <c r="D36" s="4" t="s">
        <v>8</v>
      </c>
      <c r="E36" s="4" t="str">
        <f>IF(Table13_1[[#This Row],[smoker]]="yes","smoker","non-smoker")</f>
        <v>smoker</v>
      </c>
      <c r="F36" s="4" t="s">
        <v>9</v>
      </c>
      <c r="G36" s="5">
        <v>28</v>
      </c>
      <c r="H36" s="5">
        <f>IF(Table13_1[[#This Row],[smoker]]="yes",1,0)</f>
        <v>1</v>
      </c>
      <c r="I36" s="4">
        <v>36.4</v>
      </c>
      <c r="J36" s="4">
        <v>1</v>
      </c>
      <c r="K36" s="12">
        <v>51194.559099999999</v>
      </c>
    </row>
    <row r="37" spans="1:14" x14ac:dyDescent="0.25">
      <c r="A37" s="4" t="s">
        <v>10</v>
      </c>
      <c r="B37" s="4">
        <f>ROUND(Table13_1[[#This Row],[bmi]],1)</f>
        <v>20.399999999999999</v>
      </c>
      <c r="C37" s="4" t="str" cm="1">
        <f t="array" ref="C37">_xlfn.IFS(Table13_1[[#This Row],[Round BMI]]&lt;18.5,"Underweight",AND(Table13_1[[#This Row],[Round BMI]]&gt;=18.5,Table13_1[[#This Row],[Round BMI]] &lt;=24.9),"Healthy Weight",AND(Table13_1[[#This Row],[Round BMI]]&gt;=25,Table13_1[[#This Row],[Round BMI]]&lt;=29.9),"Overweight",Table13_1[[#This Row],[Round BMI]]&gt;=30,"Obese")</f>
        <v>Healthy Weight</v>
      </c>
      <c r="D37" s="4" t="s">
        <v>11</v>
      </c>
      <c r="E37" s="4" t="str">
        <f>IF(Table13_1[[#This Row],[smoker]]="yes","smoker","non-smoker")</f>
        <v>non-smoker</v>
      </c>
      <c r="F37" s="4" t="s">
        <v>13</v>
      </c>
      <c r="G37" s="5">
        <v>19</v>
      </c>
      <c r="H37" s="5">
        <f>IF(Table13_1[[#This Row],[smoker]]="yes",1,0)</f>
        <v>0</v>
      </c>
      <c r="I37" s="4">
        <v>20.425000000000001</v>
      </c>
      <c r="J37" s="4">
        <v>0</v>
      </c>
      <c r="K37" s="12">
        <v>1625.4338</v>
      </c>
    </row>
    <row r="38" spans="1:14" x14ac:dyDescent="0.25">
      <c r="A38" s="4" t="s">
        <v>7</v>
      </c>
      <c r="B38" s="4">
        <f>ROUND(Table13_1[[#This Row],[bmi]],1)</f>
        <v>33</v>
      </c>
      <c r="C38" s="4" t="str" cm="1">
        <f t="array" ref="C38">_xlfn.IFS(Table13_1[[#This Row],[Round BMI]]&lt;18.5,"Underweight",AND(Table13_1[[#This Row],[Round BMI]]&gt;=18.5,Table13_1[[#This Row],[Round BMI]] &lt;=24.9),"Healthy Weight",AND(Table13_1[[#This Row],[Round BMI]]&gt;=25,Table13_1[[#This Row],[Round BMI]]&lt;=29.9),"Overweight",Table13_1[[#This Row],[Round BMI]]&gt;=30,"Obese")</f>
        <v>Obese</v>
      </c>
      <c r="D38" s="4" t="s">
        <v>11</v>
      </c>
      <c r="E38" s="4" t="str">
        <f>IF(Table13_1[[#This Row],[smoker]]="yes","smoker","non-smoker")</f>
        <v>non-smoker</v>
      </c>
      <c r="F38" s="4" t="s">
        <v>13</v>
      </c>
      <c r="G38" s="5">
        <v>62</v>
      </c>
      <c r="H38" s="5">
        <f>IF(Table13_1[[#This Row],[smoker]]="yes",1,0)</f>
        <v>0</v>
      </c>
      <c r="I38" s="4">
        <v>32.965000000000003</v>
      </c>
      <c r="J38" s="4">
        <v>3</v>
      </c>
      <c r="K38" s="12">
        <v>15612.1934</v>
      </c>
      <c r="N38" s="13" t="str">
        <f>"No. of People: "&amp;COUNTA(Table13_1[sex])</f>
        <v>No. of People: 1338</v>
      </c>
    </row>
    <row r="39" spans="1:14" x14ac:dyDescent="0.25">
      <c r="A39" s="4" t="s">
        <v>10</v>
      </c>
      <c r="B39" s="4">
        <f>ROUND(Table13_1[[#This Row],[bmi]],1)</f>
        <v>20.8</v>
      </c>
      <c r="C39" s="4" t="str" cm="1">
        <f t="array" ref="C39">_xlfn.IFS(Table13_1[[#This Row],[Round BMI]]&lt;18.5,"Underweight",AND(Table13_1[[#This Row],[Round BMI]]&gt;=18.5,Table13_1[[#This Row],[Round BMI]] &lt;=24.9),"Healthy Weight",AND(Table13_1[[#This Row],[Round BMI]]&gt;=25,Table13_1[[#This Row],[Round BMI]]&lt;=29.9),"Overweight",Table13_1[[#This Row],[Round BMI]]&gt;=30,"Obese")</f>
        <v>Healthy Weight</v>
      </c>
      <c r="D39" s="4" t="s">
        <v>11</v>
      </c>
      <c r="E39" s="4" t="str">
        <f>IF(Table13_1[[#This Row],[smoker]]="yes","smoker","non-smoker")</f>
        <v>non-smoker</v>
      </c>
      <c r="F39" s="4" t="s">
        <v>9</v>
      </c>
      <c r="G39" s="5">
        <v>26</v>
      </c>
      <c r="H39" s="5">
        <f>IF(Table13_1[[#This Row],[smoker]]="yes",1,0)</f>
        <v>0</v>
      </c>
      <c r="I39" s="4">
        <v>20.8</v>
      </c>
      <c r="J39" s="4">
        <v>0</v>
      </c>
      <c r="K39" s="12">
        <v>2302.3000000000002</v>
      </c>
    </row>
    <row r="40" spans="1:14" x14ac:dyDescent="0.25">
      <c r="A40" s="4" t="s">
        <v>10</v>
      </c>
      <c r="B40" s="4">
        <f>ROUND(Table13_1[[#This Row],[bmi]],1)</f>
        <v>36.700000000000003</v>
      </c>
      <c r="C40" s="4" t="str" cm="1">
        <f t="array" ref="C40">_xlfn.IFS(Table13_1[[#This Row],[Round BMI]]&lt;18.5,"Underweight",AND(Table13_1[[#This Row],[Round BMI]]&gt;=18.5,Table13_1[[#This Row],[Round BMI]] &lt;=24.9),"Healthy Weight",AND(Table13_1[[#This Row],[Round BMI]]&gt;=25,Table13_1[[#This Row],[Round BMI]]&lt;=29.9),"Overweight",Table13_1[[#This Row],[Round BMI]]&gt;=30,"Obese")</f>
        <v>Obese</v>
      </c>
      <c r="D40" s="4" t="s">
        <v>8</v>
      </c>
      <c r="E40" s="4" t="str">
        <f>IF(Table13_1[[#This Row],[smoker]]="yes","smoker","non-smoker")</f>
        <v>smoker</v>
      </c>
      <c r="F40" s="4" t="s">
        <v>14</v>
      </c>
      <c r="G40" s="5">
        <v>35</v>
      </c>
      <c r="H40" s="5">
        <f>IF(Table13_1[[#This Row],[smoker]]="yes",1,0)</f>
        <v>1</v>
      </c>
      <c r="I40" s="4">
        <v>36.67</v>
      </c>
      <c r="J40" s="4">
        <v>1</v>
      </c>
      <c r="K40" s="12">
        <v>39774.276299999998</v>
      </c>
    </row>
    <row r="41" spans="1:14" x14ac:dyDescent="0.25">
      <c r="A41" s="4" t="s">
        <v>10</v>
      </c>
      <c r="B41" s="4">
        <f>ROUND(Table13_1[[#This Row],[bmi]],1)</f>
        <v>39.9</v>
      </c>
      <c r="C41" s="4" t="str" cm="1">
        <f t="array" ref="C41">_xlfn.IFS(Table13_1[[#This Row],[Round BMI]]&lt;18.5,"Underweight",AND(Table13_1[[#This Row],[Round BMI]]&gt;=18.5,Table13_1[[#This Row],[Round BMI]] &lt;=24.9),"Healthy Weight",AND(Table13_1[[#This Row],[Round BMI]]&gt;=25,Table13_1[[#This Row],[Round BMI]]&lt;=29.9),"Overweight",Table13_1[[#This Row],[Round BMI]]&gt;=30,"Obese")</f>
        <v>Obese</v>
      </c>
      <c r="D41" s="4" t="s">
        <v>8</v>
      </c>
      <c r="E41" s="4" t="str">
        <f>IF(Table13_1[[#This Row],[smoker]]="yes","smoker","non-smoker")</f>
        <v>smoker</v>
      </c>
      <c r="F41" s="4" t="s">
        <v>9</v>
      </c>
      <c r="G41" s="5">
        <v>60</v>
      </c>
      <c r="H41" s="5">
        <f>IF(Table13_1[[#This Row],[smoker]]="yes",1,0)</f>
        <v>1</v>
      </c>
      <c r="I41" s="4">
        <v>39.9</v>
      </c>
      <c r="J41" s="4">
        <v>0</v>
      </c>
      <c r="K41" s="12">
        <v>48173.360999999997</v>
      </c>
    </row>
    <row r="42" spans="1:14" x14ac:dyDescent="0.25">
      <c r="A42" s="4" t="s">
        <v>7</v>
      </c>
      <c r="B42" s="4">
        <f>ROUND(Table13_1[[#This Row],[bmi]],1)</f>
        <v>26.6</v>
      </c>
      <c r="C42" s="4" t="str" cm="1">
        <f t="array" ref="C42">_xlfn.IFS(Table13_1[[#This Row],[Round BMI]]&lt;18.5,"Underweight",AND(Table13_1[[#This Row],[Round BMI]]&gt;=18.5,Table13_1[[#This Row],[Round BMI]] &lt;=24.9),"Healthy Weight",AND(Table13_1[[#This Row],[Round BMI]]&gt;=25,Table13_1[[#This Row],[Round BMI]]&lt;=29.9),"Overweight",Table13_1[[#This Row],[Round BMI]]&gt;=30,"Obese")</f>
        <v>Overweight</v>
      </c>
      <c r="D42" s="4" t="s">
        <v>11</v>
      </c>
      <c r="E42" s="4" t="str">
        <f>IF(Table13_1[[#This Row],[smoker]]="yes","smoker","non-smoker")</f>
        <v>non-smoker</v>
      </c>
      <c r="F42" s="4" t="s">
        <v>14</v>
      </c>
      <c r="G42" s="5">
        <v>24</v>
      </c>
      <c r="H42" s="5">
        <f>IF(Table13_1[[#This Row],[smoker]]="yes",1,0)</f>
        <v>0</v>
      </c>
      <c r="I42" s="4">
        <v>26.6</v>
      </c>
      <c r="J42" s="4">
        <v>0</v>
      </c>
      <c r="K42" s="12">
        <v>3046.0619999999999</v>
      </c>
    </row>
    <row r="43" spans="1:14" x14ac:dyDescent="0.25">
      <c r="A43" s="4" t="s">
        <v>7</v>
      </c>
      <c r="B43" s="4">
        <f>ROUND(Table13_1[[#This Row],[bmi]],1)</f>
        <v>36.6</v>
      </c>
      <c r="C43" s="4" t="str" cm="1">
        <f t="array" ref="C43">_xlfn.IFS(Table13_1[[#This Row],[Round BMI]]&lt;18.5,"Underweight",AND(Table13_1[[#This Row],[Round BMI]]&gt;=18.5,Table13_1[[#This Row],[Round BMI]] &lt;=24.9),"Healthy Weight",AND(Table13_1[[#This Row],[Round BMI]]&gt;=25,Table13_1[[#This Row],[Round BMI]]&lt;=29.9),"Overweight",Table13_1[[#This Row],[Round BMI]]&gt;=30,"Obese")</f>
        <v>Obese</v>
      </c>
      <c r="D43" s="4" t="s">
        <v>11</v>
      </c>
      <c r="E43" s="4" t="str">
        <f>IF(Table13_1[[#This Row],[smoker]]="yes","smoker","non-smoker")</f>
        <v>non-smoker</v>
      </c>
      <c r="F43" s="4" t="s">
        <v>12</v>
      </c>
      <c r="G43" s="5">
        <v>31</v>
      </c>
      <c r="H43" s="5">
        <f>IF(Table13_1[[#This Row],[smoker]]="yes",1,0)</f>
        <v>0</v>
      </c>
      <c r="I43" s="4">
        <v>36.630000000000003</v>
      </c>
      <c r="J43" s="4">
        <v>2</v>
      </c>
      <c r="K43" s="12">
        <v>4949.7587000000003</v>
      </c>
    </row>
    <row r="44" spans="1:14" x14ac:dyDescent="0.25">
      <c r="A44" s="4" t="s">
        <v>10</v>
      </c>
      <c r="B44" s="4">
        <f>ROUND(Table13_1[[#This Row],[bmi]],1)</f>
        <v>21.8</v>
      </c>
      <c r="C44" s="4" t="str" cm="1">
        <f t="array" ref="C44">_xlfn.IFS(Table13_1[[#This Row],[Round BMI]]&lt;18.5,"Underweight",AND(Table13_1[[#This Row],[Round BMI]]&gt;=18.5,Table13_1[[#This Row],[Round BMI]] &lt;=24.9),"Healthy Weight",AND(Table13_1[[#This Row],[Round BMI]]&gt;=25,Table13_1[[#This Row],[Round BMI]]&lt;=29.9),"Overweight",Table13_1[[#This Row],[Round BMI]]&gt;=30,"Obese")</f>
        <v>Healthy Weight</v>
      </c>
      <c r="D44" s="4" t="s">
        <v>11</v>
      </c>
      <c r="E44" s="4" t="str">
        <f>IF(Table13_1[[#This Row],[smoker]]="yes","smoker","non-smoker")</f>
        <v>non-smoker</v>
      </c>
      <c r="F44" s="4" t="s">
        <v>12</v>
      </c>
      <c r="G44" s="5">
        <v>41</v>
      </c>
      <c r="H44" s="5">
        <f>IF(Table13_1[[#This Row],[smoker]]="yes",1,0)</f>
        <v>0</v>
      </c>
      <c r="I44" s="4">
        <v>21.78</v>
      </c>
      <c r="J44" s="4">
        <v>1</v>
      </c>
      <c r="K44" s="12">
        <v>6272.4772000000003</v>
      </c>
    </row>
    <row r="45" spans="1:14" x14ac:dyDescent="0.25">
      <c r="A45" s="4" t="s">
        <v>7</v>
      </c>
      <c r="B45" s="4">
        <f>ROUND(Table13_1[[#This Row],[bmi]],1)</f>
        <v>30.8</v>
      </c>
      <c r="C45" s="4" t="str" cm="1">
        <f t="array" ref="C45">_xlfn.IFS(Table13_1[[#This Row],[Round BMI]]&lt;18.5,"Underweight",AND(Table13_1[[#This Row],[Round BMI]]&gt;=18.5,Table13_1[[#This Row],[Round BMI]] &lt;=24.9),"Healthy Weight",AND(Table13_1[[#This Row],[Round BMI]]&gt;=25,Table13_1[[#This Row],[Round BMI]]&lt;=29.9),"Overweight",Table13_1[[#This Row],[Round BMI]]&gt;=30,"Obese")</f>
        <v>Obese</v>
      </c>
      <c r="D45" s="4" t="s">
        <v>11</v>
      </c>
      <c r="E45" s="4" t="str">
        <f>IF(Table13_1[[#This Row],[smoker]]="yes","smoker","non-smoker")</f>
        <v>non-smoker</v>
      </c>
      <c r="F45" s="4" t="s">
        <v>12</v>
      </c>
      <c r="G45" s="5">
        <v>37</v>
      </c>
      <c r="H45" s="5">
        <f>IF(Table13_1[[#This Row],[smoker]]="yes",1,0)</f>
        <v>0</v>
      </c>
      <c r="I45" s="4">
        <v>30.8</v>
      </c>
      <c r="J45" s="4">
        <v>2</v>
      </c>
      <c r="K45" s="12">
        <v>6313.759</v>
      </c>
    </row>
    <row r="46" spans="1:14" x14ac:dyDescent="0.25">
      <c r="A46" s="4" t="s">
        <v>10</v>
      </c>
      <c r="B46" s="4">
        <f>ROUND(Table13_1[[#This Row],[bmi]],1)</f>
        <v>37.1</v>
      </c>
      <c r="C46" s="4" t="str" cm="1">
        <f t="array" ref="C46">_xlfn.IFS(Table13_1[[#This Row],[Round BMI]]&lt;18.5,"Underweight",AND(Table13_1[[#This Row],[Round BMI]]&gt;=18.5,Table13_1[[#This Row],[Round BMI]] &lt;=24.9),"Healthy Weight",AND(Table13_1[[#This Row],[Round BMI]]&gt;=25,Table13_1[[#This Row],[Round BMI]]&lt;=29.9),"Overweight",Table13_1[[#This Row],[Round BMI]]&gt;=30,"Obese")</f>
        <v>Obese</v>
      </c>
      <c r="D46" s="4" t="s">
        <v>11</v>
      </c>
      <c r="E46" s="4" t="str">
        <f>IF(Table13_1[[#This Row],[smoker]]="yes","smoker","non-smoker")</f>
        <v>non-smoker</v>
      </c>
      <c r="F46" s="4" t="s">
        <v>14</v>
      </c>
      <c r="G46" s="5">
        <v>38</v>
      </c>
      <c r="H46" s="5">
        <f>IF(Table13_1[[#This Row],[smoker]]="yes",1,0)</f>
        <v>0</v>
      </c>
      <c r="I46" s="4">
        <v>37.049999999999997</v>
      </c>
      <c r="J46" s="4">
        <v>1</v>
      </c>
      <c r="K46" s="12">
        <v>6079.6715000000004</v>
      </c>
    </row>
    <row r="47" spans="1:14" x14ac:dyDescent="0.25">
      <c r="A47" s="4" t="s">
        <v>10</v>
      </c>
      <c r="B47" s="4">
        <f>ROUND(Table13_1[[#This Row],[bmi]],1)</f>
        <v>37.299999999999997</v>
      </c>
      <c r="C47" s="4" t="str" cm="1">
        <f t="array" ref="C47">_xlfn.IFS(Table13_1[[#This Row],[Round BMI]]&lt;18.5,"Underweight",AND(Table13_1[[#This Row],[Round BMI]]&gt;=18.5,Table13_1[[#This Row],[Round BMI]] &lt;=24.9),"Healthy Weight",AND(Table13_1[[#This Row],[Round BMI]]&gt;=25,Table13_1[[#This Row],[Round BMI]]&lt;=29.9),"Overweight",Table13_1[[#This Row],[Round BMI]]&gt;=30,"Obese")</f>
        <v>Obese</v>
      </c>
      <c r="D47" s="4" t="s">
        <v>11</v>
      </c>
      <c r="E47" s="4" t="str">
        <f>IF(Table13_1[[#This Row],[smoker]]="yes","smoker","non-smoker")</f>
        <v>non-smoker</v>
      </c>
      <c r="F47" s="4" t="s">
        <v>9</v>
      </c>
      <c r="G47" s="5">
        <v>55</v>
      </c>
      <c r="H47" s="5">
        <f>IF(Table13_1[[#This Row],[smoker]]="yes",1,0)</f>
        <v>0</v>
      </c>
      <c r="I47" s="4">
        <v>37.299999999999997</v>
      </c>
      <c r="J47" s="4">
        <v>0</v>
      </c>
      <c r="K47" s="12">
        <v>20630.283500000001</v>
      </c>
    </row>
    <row r="48" spans="1:14" x14ac:dyDescent="0.25">
      <c r="A48" s="4" t="s">
        <v>7</v>
      </c>
      <c r="B48" s="4">
        <f>ROUND(Table13_1[[#This Row],[bmi]],1)</f>
        <v>38.700000000000003</v>
      </c>
      <c r="C48" s="4" t="str" cm="1">
        <f t="array" ref="C48">_xlfn.IFS(Table13_1[[#This Row],[Round BMI]]&lt;18.5,"Underweight",AND(Table13_1[[#This Row],[Round BMI]]&gt;=18.5,Table13_1[[#This Row],[Round BMI]] &lt;=24.9),"Healthy Weight",AND(Table13_1[[#This Row],[Round BMI]]&gt;=25,Table13_1[[#This Row],[Round BMI]]&lt;=29.9),"Overweight",Table13_1[[#This Row],[Round BMI]]&gt;=30,"Obese")</f>
        <v>Obese</v>
      </c>
      <c r="D48" s="4" t="s">
        <v>11</v>
      </c>
      <c r="E48" s="4" t="str">
        <f>IF(Table13_1[[#This Row],[smoker]]="yes","smoker","non-smoker")</f>
        <v>non-smoker</v>
      </c>
      <c r="F48" s="4" t="s">
        <v>14</v>
      </c>
      <c r="G48" s="5">
        <v>18</v>
      </c>
      <c r="H48" s="5">
        <f>IF(Table13_1[[#This Row],[smoker]]="yes",1,0)</f>
        <v>0</v>
      </c>
      <c r="I48" s="4">
        <v>38.664999999999999</v>
      </c>
      <c r="J48" s="4">
        <v>2</v>
      </c>
      <c r="K48" s="12">
        <v>3393.3564000000001</v>
      </c>
    </row>
    <row r="49" spans="1:20" x14ac:dyDescent="0.25">
      <c r="A49" s="4" t="s">
        <v>7</v>
      </c>
      <c r="B49" s="4">
        <f>ROUND(Table13_1[[#This Row],[bmi]],1)</f>
        <v>34.799999999999997</v>
      </c>
      <c r="C49" s="4" t="str" cm="1">
        <f t="array" ref="C49">_xlfn.IFS(Table13_1[[#This Row],[Round BMI]]&lt;18.5,"Underweight",AND(Table13_1[[#This Row],[Round BMI]]&gt;=18.5,Table13_1[[#This Row],[Round BMI]] &lt;=24.9),"Healthy Weight",AND(Table13_1[[#This Row],[Round BMI]]&gt;=25,Table13_1[[#This Row],[Round BMI]]&lt;=29.9),"Overweight",Table13_1[[#This Row],[Round BMI]]&gt;=30,"Obese")</f>
        <v>Obese</v>
      </c>
      <c r="D49" s="4" t="s">
        <v>11</v>
      </c>
      <c r="E49" s="4" t="str">
        <f>IF(Table13_1[[#This Row],[smoker]]="yes","smoker","non-smoker")</f>
        <v>non-smoker</v>
      </c>
      <c r="F49" s="4" t="s">
        <v>13</v>
      </c>
      <c r="G49" s="5">
        <v>28</v>
      </c>
      <c r="H49" s="5">
        <f>IF(Table13_1[[#This Row],[smoker]]="yes",1,0)</f>
        <v>0</v>
      </c>
      <c r="I49" s="4">
        <v>34.770000000000003</v>
      </c>
      <c r="J49" s="4">
        <v>0</v>
      </c>
      <c r="K49" s="12">
        <v>3556.9223000000002</v>
      </c>
    </row>
    <row r="50" spans="1:20" x14ac:dyDescent="0.25">
      <c r="A50" s="4" t="s">
        <v>7</v>
      </c>
      <c r="B50" s="4">
        <f>ROUND(Table13_1[[#This Row],[bmi]],1)</f>
        <v>24.5</v>
      </c>
      <c r="C50" s="4" t="str" cm="1">
        <f t="array" ref="C50">_xlfn.IFS(Table13_1[[#This Row],[Round BMI]]&lt;18.5,"Underweight",AND(Table13_1[[#This Row],[Round BMI]]&gt;=18.5,Table13_1[[#This Row],[Round BMI]] &lt;=24.9),"Healthy Weight",AND(Table13_1[[#This Row],[Round BMI]]&gt;=25,Table13_1[[#This Row],[Round BMI]]&lt;=29.9),"Overweight",Table13_1[[#This Row],[Round BMI]]&gt;=30,"Obese")</f>
        <v>Healthy Weight</v>
      </c>
      <c r="D50" s="4" t="s">
        <v>11</v>
      </c>
      <c r="E50" s="4" t="str">
        <f>IF(Table13_1[[#This Row],[smoker]]="yes","smoker","non-smoker")</f>
        <v>non-smoker</v>
      </c>
      <c r="F50" s="4" t="s">
        <v>12</v>
      </c>
      <c r="G50" s="5">
        <v>60</v>
      </c>
      <c r="H50" s="5">
        <f>IF(Table13_1[[#This Row],[smoker]]="yes",1,0)</f>
        <v>0</v>
      </c>
      <c r="I50" s="4">
        <v>24.53</v>
      </c>
      <c r="J50" s="4">
        <v>0</v>
      </c>
      <c r="K50" s="12">
        <v>12629.896699999999</v>
      </c>
    </row>
    <row r="51" spans="1:20" x14ac:dyDescent="0.25">
      <c r="A51" s="4" t="s">
        <v>10</v>
      </c>
      <c r="B51" s="4">
        <f>ROUND(Table13_1[[#This Row],[bmi]],1)</f>
        <v>35.200000000000003</v>
      </c>
      <c r="C51" s="4" t="str" cm="1">
        <f t="array" ref="C51">_xlfn.IFS(Table13_1[[#This Row],[Round BMI]]&lt;18.5,"Underweight",AND(Table13_1[[#This Row],[Round BMI]]&gt;=18.5,Table13_1[[#This Row],[Round BMI]] &lt;=24.9),"Healthy Weight",AND(Table13_1[[#This Row],[Round BMI]]&gt;=25,Table13_1[[#This Row],[Round BMI]]&lt;=29.9),"Overweight",Table13_1[[#This Row],[Round BMI]]&gt;=30,"Obese")</f>
        <v>Obese</v>
      </c>
      <c r="D51" s="4" t="s">
        <v>8</v>
      </c>
      <c r="E51" s="4" t="str">
        <f>IF(Table13_1[[#This Row],[smoker]]="yes","smoker","non-smoker")</f>
        <v>smoker</v>
      </c>
      <c r="F51" s="4" t="s">
        <v>12</v>
      </c>
      <c r="G51" s="5">
        <v>36</v>
      </c>
      <c r="H51" s="5">
        <f>IF(Table13_1[[#This Row],[smoker]]="yes",1,0)</f>
        <v>1</v>
      </c>
      <c r="I51" s="4">
        <v>35.200000000000003</v>
      </c>
      <c r="J51" s="4">
        <v>1</v>
      </c>
      <c r="K51" s="12">
        <v>38709.175999999999</v>
      </c>
    </row>
    <row r="52" spans="1:20" x14ac:dyDescent="0.25">
      <c r="A52" s="4" t="s">
        <v>7</v>
      </c>
      <c r="B52" s="4">
        <f>ROUND(Table13_1[[#This Row],[bmi]],1)</f>
        <v>35.6</v>
      </c>
      <c r="C52" s="4" t="str" cm="1">
        <f t="array" ref="C52">_xlfn.IFS(Table13_1[[#This Row],[Round BMI]]&lt;18.5,"Underweight",AND(Table13_1[[#This Row],[Round BMI]]&gt;=18.5,Table13_1[[#This Row],[Round BMI]] &lt;=24.9),"Healthy Weight",AND(Table13_1[[#This Row],[Round BMI]]&gt;=25,Table13_1[[#This Row],[Round BMI]]&lt;=29.9),"Overweight",Table13_1[[#This Row],[Round BMI]]&gt;=30,"Obese")</f>
        <v>Obese</v>
      </c>
      <c r="D52" s="4" t="s">
        <v>11</v>
      </c>
      <c r="E52" s="4" t="str">
        <f>IF(Table13_1[[#This Row],[smoker]]="yes","smoker","non-smoker")</f>
        <v>non-smoker</v>
      </c>
      <c r="F52" s="4" t="s">
        <v>14</v>
      </c>
      <c r="G52" s="5">
        <v>18</v>
      </c>
      <c r="H52" s="5">
        <f>IF(Table13_1[[#This Row],[smoker]]="yes",1,0)</f>
        <v>0</v>
      </c>
      <c r="I52" s="4">
        <v>35.625</v>
      </c>
      <c r="J52" s="4">
        <v>0</v>
      </c>
      <c r="K52" s="12">
        <v>2211.1307999999999</v>
      </c>
    </row>
    <row r="53" spans="1:20" x14ac:dyDescent="0.25">
      <c r="A53" s="4" t="s">
        <v>7</v>
      </c>
      <c r="B53" s="4">
        <f>ROUND(Table13_1[[#This Row],[bmi]],1)</f>
        <v>33.6</v>
      </c>
      <c r="C53" s="4" t="str" cm="1">
        <f t="array" ref="C53">_xlfn.IFS(Table13_1[[#This Row],[Round BMI]]&lt;18.5,"Underweight",AND(Table13_1[[#This Row],[Round BMI]]&gt;=18.5,Table13_1[[#This Row],[Round BMI]] &lt;=24.9),"Healthy Weight",AND(Table13_1[[#This Row],[Round BMI]]&gt;=25,Table13_1[[#This Row],[Round BMI]]&lt;=29.9),"Overweight",Table13_1[[#This Row],[Round BMI]]&gt;=30,"Obese")</f>
        <v>Obese</v>
      </c>
      <c r="D53" s="4" t="s">
        <v>11</v>
      </c>
      <c r="E53" s="4" t="str">
        <f>IF(Table13_1[[#This Row],[smoker]]="yes","smoker","non-smoker")</f>
        <v>non-smoker</v>
      </c>
      <c r="F53" s="4" t="s">
        <v>13</v>
      </c>
      <c r="G53" s="5">
        <v>21</v>
      </c>
      <c r="H53" s="5">
        <f>IF(Table13_1[[#This Row],[smoker]]="yes",1,0)</f>
        <v>0</v>
      </c>
      <c r="I53" s="4">
        <v>33.630000000000003</v>
      </c>
      <c r="J53" s="4">
        <v>2</v>
      </c>
      <c r="K53" s="12">
        <v>3579.8287</v>
      </c>
    </row>
    <row r="54" spans="1:20" x14ac:dyDescent="0.25">
      <c r="A54" s="4" t="s">
        <v>10</v>
      </c>
      <c r="B54" s="4">
        <f>ROUND(Table13_1[[#This Row],[bmi]],1)</f>
        <v>28</v>
      </c>
      <c r="C54" s="4" t="str" cm="1">
        <f t="array" ref="C54">_xlfn.IFS(Table13_1[[#This Row],[Round BMI]]&lt;18.5,"Underweight",AND(Table13_1[[#This Row],[Round BMI]]&gt;=18.5,Table13_1[[#This Row],[Round BMI]] &lt;=24.9),"Healthy Weight",AND(Table13_1[[#This Row],[Round BMI]]&gt;=25,Table13_1[[#This Row],[Round BMI]]&lt;=29.9),"Overweight",Table13_1[[#This Row],[Round BMI]]&gt;=30,"Obese")</f>
        <v>Overweight</v>
      </c>
      <c r="D54" s="4" t="s">
        <v>8</v>
      </c>
      <c r="E54" s="4" t="str">
        <f>IF(Table13_1[[#This Row],[smoker]]="yes","smoker","non-smoker")</f>
        <v>smoker</v>
      </c>
      <c r="F54" s="4" t="s">
        <v>9</v>
      </c>
      <c r="G54" s="5">
        <v>48</v>
      </c>
      <c r="H54" s="5">
        <f>IF(Table13_1[[#This Row],[smoker]]="yes",1,0)</f>
        <v>1</v>
      </c>
      <c r="I54" s="4">
        <v>28</v>
      </c>
      <c r="J54" s="4">
        <v>1</v>
      </c>
      <c r="K54" s="12">
        <v>23568.272000000001</v>
      </c>
    </row>
    <row r="55" spans="1:20" x14ac:dyDescent="0.25">
      <c r="A55" s="4" t="s">
        <v>10</v>
      </c>
      <c r="B55" s="4">
        <f>ROUND(Table13_1[[#This Row],[bmi]],1)</f>
        <v>34.4</v>
      </c>
      <c r="C55" s="4" t="str" cm="1">
        <f t="array" ref="C55">_xlfn.IFS(Table13_1[[#This Row],[Round BMI]]&lt;18.5,"Underweight",AND(Table13_1[[#This Row],[Round BMI]]&gt;=18.5,Table13_1[[#This Row],[Round BMI]] &lt;=24.9),"Healthy Weight",AND(Table13_1[[#This Row],[Round BMI]]&gt;=25,Table13_1[[#This Row],[Round BMI]]&lt;=29.9),"Overweight",Table13_1[[#This Row],[Round BMI]]&gt;=30,"Obese")</f>
        <v>Obese</v>
      </c>
      <c r="D55" s="4" t="s">
        <v>8</v>
      </c>
      <c r="E55" s="4" t="str">
        <f>IF(Table13_1[[#This Row],[smoker]]="yes","smoker","non-smoker")</f>
        <v>smoker</v>
      </c>
      <c r="F55" s="4" t="s">
        <v>12</v>
      </c>
      <c r="G55" s="5">
        <v>36</v>
      </c>
      <c r="H55" s="5">
        <f>IF(Table13_1[[#This Row],[smoker]]="yes",1,0)</f>
        <v>1</v>
      </c>
      <c r="I55" s="4">
        <v>34.43</v>
      </c>
      <c r="J55" s="4">
        <v>0</v>
      </c>
      <c r="K55" s="12">
        <v>37742.575700000001</v>
      </c>
    </row>
    <row r="56" spans="1:20" x14ac:dyDescent="0.25">
      <c r="A56" s="4" t="s">
        <v>7</v>
      </c>
      <c r="B56" s="4">
        <f>ROUND(Table13_1[[#This Row],[bmi]],1)</f>
        <v>28.7</v>
      </c>
      <c r="C56" s="4" t="str" cm="1">
        <f t="array" ref="C56">_xlfn.IFS(Table13_1[[#This Row],[Round BMI]]&lt;18.5,"Underweight",AND(Table13_1[[#This Row],[Round BMI]]&gt;=18.5,Table13_1[[#This Row],[Round BMI]] &lt;=24.9),"Healthy Weight",AND(Table13_1[[#This Row],[Round BMI]]&gt;=25,Table13_1[[#This Row],[Round BMI]]&lt;=29.9),"Overweight",Table13_1[[#This Row],[Round BMI]]&gt;=30,"Obese")</f>
        <v>Overweight</v>
      </c>
      <c r="D56" s="4" t="s">
        <v>11</v>
      </c>
      <c r="E56" s="4" t="str">
        <f>IF(Table13_1[[#This Row],[smoker]]="yes","smoker","non-smoker")</f>
        <v>non-smoker</v>
      </c>
      <c r="F56" s="4" t="s">
        <v>13</v>
      </c>
      <c r="G56" s="5">
        <v>40</v>
      </c>
      <c r="H56" s="5">
        <f>IF(Table13_1[[#This Row],[smoker]]="yes",1,0)</f>
        <v>0</v>
      </c>
      <c r="I56" s="4">
        <v>28.69</v>
      </c>
      <c r="J56" s="4">
        <v>3</v>
      </c>
      <c r="K56" s="12">
        <v>8059.6791000000003</v>
      </c>
    </row>
    <row r="57" spans="1:20" x14ac:dyDescent="0.25">
      <c r="A57" s="4" t="s">
        <v>10</v>
      </c>
      <c r="B57" s="4">
        <f>ROUND(Table13_1[[#This Row],[bmi]],1)</f>
        <v>37</v>
      </c>
      <c r="C57" s="4" t="str" cm="1">
        <f t="array" ref="C57">_xlfn.IFS(Table13_1[[#This Row],[Round BMI]]&lt;18.5,"Underweight",AND(Table13_1[[#This Row],[Round BMI]]&gt;=18.5,Table13_1[[#This Row],[Round BMI]] &lt;=24.9),"Healthy Weight",AND(Table13_1[[#This Row],[Round BMI]]&gt;=25,Table13_1[[#This Row],[Round BMI]]&lt;=29.9),"Overweight",Table13_1[[#This Row],[Round BMI]]&gt;=30,"Obese")</f>
        <v>Obese</v>
      </c>
      <c r="D57" s="4" t="s">
        <v>8</v>
      </c>
      <c r="E57" s="4" t="str">
        <f>IF(Table13_1[[#This Row],[smoker]]="yes","smoker","non-smoker")</f>
        <v>smoker</v>
      </c>
      <c r="F57" s="4" t="s">
        <v>13</v>
      </c>
      <c r="G57" s="5">
        <v>58</v>
      </c>
      <c r="H57" s="5">
        <f>IF(Table13_1[[#This Row],[smoker]]="yes",1,0)</f>
        <v>1</v>
      </c>
      <c r="I57" s="4">
        <v>36.954999999999998</v>
      </c>
      <c r="J57" s="4">
        <v>2</v>
      </c>
      <c r="K57" s="12">
        <v>47496.494400000003</v>
      </c>
    </row>
    <row r="58" spans="1:20" x14ac:dyDescent="0.25">
      <c r="A58" s="4" t="s">
        <v>7</v>
      </c>
      <c r="B58" s="4">
        <f>ROUND(Table13_1[[#This Row],[bmi]],1)</f>
        <v>31.8</v>
      </c>
      <c r="C58" s="4" t="str" cm="1">
        <f t="array" ref="C58">_xlfn.IFS(Table13_1[[#This Row],[Round BMI]]&lt;18.5,"Underweight",AND(Table13_1[[#This Row],[Round BMI]]&gt;=18.5,Table13_1[[#This Row],[Round BMI]] &lt;=24.9),"Healthy Weight",AND(Table13_1[[#This Row],[Round BMI]]&gt;=25,Table13_1[[#This Row],[Round BMI]]&lt;=29.9),"Overweight",Table13_1[[#This Row],[Round BMI]]&gt;=30,"Obese")</f>
        <v>Obese</v>
      </c>
      <c r="D58" s="4" t="s">
        <v>11</v>
      </c>
      <c r="E58" s="4" t="str">
        <f>IF(Table13_1[[#This Row],[smoker]]="yes","smoker","non-smoker")</f>
        <v>non-smoker</v>
      </c>
      <c r="F58" s="4" t="s">
        <v>14</v>
      </c>
      <c r="G58" s="5">
        <v>58</v>
      </c>
      <c r="H58" s="5">
        <f>IF(Table13_1[[#This Row],[smoker]]="yes",1,0)</f>
        <v>0</v>
      </c>
      <c r="I58" s="4">
        <v>31.824999999999999</v>
      </c>
      <c r="J58" s="4">
        <v>2</v>
      </c>
      <c r="K58" s="12">
        <v>13607.3688</v>
      </c>
    </row>
    <row r="59" spans="1:20" x14ac:dyDescent="0.25">
      <c r="A59" s="4" t="s">
        <v>10</v>
      </c>
      <c r="B59" s="4">
        <f>ROUND(Table13_1[[#This Row],[bmi]],1)</f>
        <v>31.7</v>
      </c>
      <c r="C59" s="4" t="str" cm="1">
        <f t="array" ref="C59">_xlfn.IFS(Table13_1[[#This Row],[Round BMI]]&lt;18.5,"Underweight",AND(Table13_1[[#This Row],[Round BMI]]&gt;=18.5,Table13_1[[#This Row],[Round BMI]] &lt;=24.9),"Healthy Weight",AND(Table13_1[[#This Row],[Round BMI]]&gt;=25,Table13_1[[#This Row],[Round BMI]]&lt;=29.9),"Overweight",Table13_1[[#This Row],[Round BMI]]&gt;=30,"Obese")</f>
        <v>Obese</v>
      </c>
      <c r="D59" s="4" t="s">
        <v>8</v>
      </c>
      <c r="E59" s="4" t="str">
        <f>IF(Table13_1[[#This Row],[smoker]]="yes","smoker","non-smoker")</f>
        <v>smoker</v>
      </c>
      <c r="F59" s="4" t="s">
        <v>12</v>
      </c>
      <c r="G59" s="5">
        <v>18</v>
      </c>
      <c r="H59" s="5">
        <f>IF(Table13_1[[#This Row],[smoker]]="yes",1,0)</f>
        <v>1</v>
      </c>
      <c r="I59" s="4">
        <v>31.68</v>
      </c>
      <c r="J59" s="4">
        <v>2</v>
      </c>
      <c r="K59" s="12">
        <v>34303.167200000004</v>
      </c>
    </row>
    <row r="60" spans="1:20" x14ac:dyDescent="0.25">
      <c r="A60" s="4" t="s">
        <v>7</v>
      </c>
      <c r="B60" s="4">
        <f>ROUND(Table13_1[[#This Row],[bmi]],1)</f>
        <v>22.9</v>
      </c>
      <c r="C60" s="4" t="str" cm="1">
        <f t="array" ref="C60">_xlfn.IFS(Table13_1[[#This Row],[Round BMI]]&lt;18.5,"Underweight",AND(Table13_1[[#This Row],[Round BMI]]&gt;=18.5,Table13_1[[#This Row],[Round BMI]] &lt;=24.9),"Healthy Weight",AND(Table13_1[[#This Row],[Round BMI]]&gt;=25,Table13_1[[#This Row],[Round BMI]]&lt;=29.9),"Overweight",Table13_1[[#This Row],[Round BMI]]&gt;=30,"Obese")</f>
        <v>Healthy Weight</v>
      </c>
      <c r="D60" s="4" t="s">
        <v>8</v>
      </c>
      <c r="E60" s="4" t="str">
        <f>IF(Table13_1[[#This Row],[smoker]]="yes","smoker","non-smoker")</f>
        <v>smoker</v>
      </c>
      <c r="F60" s="4" t="s">
        <v>12</v>
      </c>
      <c r="G60" s="5">
        <v>53</v>
      </c>
      <c r="H60" s="5">
        <f>IF(Table13_1[[#This Row],[smoker]]="yes",1,0)</f>
        <v>1</v>
      </c>
      <c r="I60" s="4">
        <v>22.88</v>
      </c>
      <c r="J60" s="4">
        <v>1</v>
      </c>
      <c r="K60" s="12">
        <v>23244.790199999999</v>
      </c>
    </row>
    <row r="61" spans="1:20" x14ac:dyDescent="0.25">
      <c r="A61" s="4" t="s">
        <v>7</v>
      </c>
      <c r="B61" s="4">
        <f>ROUND(Table13_1[[#This Row],[bmi]],1)</f>
        <v>37.299999999999997</v>
      </c>
      <c r="C61" s="4" t="str" cm="1">
        <f t="array" ref="C61">_xlfn.IFS(Table13_1[[#This Row],[Round BMI]]&lt;18.5,"Underweight",AND(Table13_1[[#This Row],[Round BMI]]&gt;=18.5,Table13_1[[#This Row],[Round BMI]] &lt;=24.9),"Healthy Weight",AND(Table13_1[[#This Row],[Round BMI]]&gt;=25,Table13_1[[#This Row],[Round BMI]]&lt;=29.9),"Overweight",Table13_1[[#This Row],[Round BMI]]&gt;=30,"Obese")</f>
        <v>Obese</v>
      </c>
      <c r="D61" s="4" t="s">
        <v>11</v>
      </c>
      <c r="E61" s="4" t="str">
        <f>IF(Table13_1[[#This Row],[smoker]]="yes","smoker","non-smoker")</f>
        <v>non-smoker</v>
      </c>
      <c r="F61" s="4" t="s">
        <v>13</v>
      </c>
      <c r="G61" s="5">
        <v>34</v>
      </c>
      <c r="H61" s="5">
        <f>IF(Table13_1[[#This Row],[smoker]]="yes",1,0)</f>
        <v>0</v>
      </c>
      <c r="I61" s="4">
        <v>37.335000000000001</v>
      </c>
      <c r="J61" s="4">
        <v>2</v>
      </c>
      <c r="K61" s="12">
        <v>5989.5236000000004</v>
      </c>
      <c r="S61" s="9"/>
      <c r="T61" s="9"/>
    </row>
    <row r="62" spans="1:20" x14ac:dyDescent="0.25">
      <c r="A62" s="4" t="s">
        <v>10</v>
      </c>
      <c r="B62" s="4">
        <f>ROUND(Table13_1[[#This Row],[bmi]],1)</f>
        <v>27.4</v>
      </c>
      <c r="C62" s="4" t="str" cm="1">
        <f t="array" ref="C62">_xlfn.IFS(Table13_1[[#This Row],[Round BMI]]&lt;18.5,"Underweight",AND(Table13_1[[#This Row],[Round BMI]]&gt;=18.5,Table13_1[[#This Row],[Round BMI]] &lt;=24.9),"Healthy Weight",AND(Table13_1[[#This Row],[Round BMI]]&gt;=25,Table13_1[[#This Row],[Round BMI]]&lt;=29.9),"Overweight",Table13_1[[#This Row],[Round BMI]]&gt;=30,"Obese")</f>
        <v>Overweight</v>
      </c>
      <c r="D62" s="4" t="s">
        <v>11</v>
      </c>
      <c r="E62" s="4" t="str">
        <f>IF(Table13_1[[#This Row],[smoker]]="yes","smoker","non-smoker")</f>
        <v>non-smoker</v>
      </c>
      <c r="F62" s="4" t="s">
        <v>14</v>
      </c>
      <c r="G62" s="5">
        <v>43</v>
      </c>
      <c r="H62" s="5">
        <f>IF(Table13_1[[#This Row],[smoker]]="yes",1,0)</f>
        <v>0</v>
      </c>
      <c r="I62" s="4">
        <v>27.36</v>
      </c>
      <c r="J62" s="4">
        <v>3</v>
      </c>
      <c r="K62" s="12">
        <v>8606.2173999999995</v>
      </c>
      <c r="S62" s="9"/>
      <c r="T62" s="9"/>
    </row>
    <row r="63" spans="1:20" x14ac:dyDescent="0.25">
      <c r="A63" s="4" t="s">
        <v>10</v>
      </c>
      <c r="B63" s="4">
        <f>ROUND(Table13_1[[#This Row],[bmi]],1)</f>
        <v>33.700000000000003</v>
      </c>
      <c r="C63" s="4" t="str" cm="1">
        <f t="array" ref="C63">_xlfn.IFS(Table13_1[[#This Row],[Round BMI]]&lt;18.5,"Underweight",AND(Table13_1[[#This Row],[Round BMI]]&gt;=18.5,Table13_1[[#This Row],[Round BMI]] &lt;=24.9),"Healthy Weight",AND(Table13_1[[#This Row],[Round BMI]]&gt;=25,Table13_1[[#This Row],[Round BMI]]&lt;=29.9),"Overweight",Table13_1[[#This Row],[Round BMI]]&gt;=30,"Obese")</f>
        <v>Obese</v>
      </c>
      <c r="D63" s="4" t="s">
        <v>11</v>
      </c>
      <c r="E63" s="4" t="str">
        <f>IF(Table13_1[[#This Row],[smoker]]="yes","smoker","non-smoker")</f>
        <v>non-smoker</v>
      </c>
      <c r="F63" s="4" t="s">
        <v>12</v>
      </c>
      <c r="G63" s="5">
        <v>25</v>
      </c>
      <c r="H63" s="5">
        <f>IF(Table13_1[[#This Row],[smoker]]="yes",1,0)</f>
        <v>0</v>
      </c>
      <c r="I63" s="4">
        <v>33.659999999999997</v>
      </c>
      <c r="J63" s="4">
        <v>4</v>
      </c>
      <c r="K63" s="12">
        <v>4504.6624000000002</v>
      </c>
      <c r="S63" s="9"/>
      <c r="T63" s="9"/>
    </row>
    <row r="64" spans="1:20" x14ac:dyDescent="0.25">
      <c r="A64" s="4" t="s">
        <v>10</v>
      </c>
      <c r="B64" s="4">
        <f>ROUND(Table13_1[[#This Row],[bmi]],1)</f>
        <v>24.7</v>
      </c>
      <c r="C64" s="4" t="str" cm="1">
        <f t="array" ref="C64">_xlfn.IFS(Table13_1[[#This Row],[Round BMI]]&lt;18.5,"Underweight",AND(Table13_1[[#This Row],[Round BMI]]&gt;=18.5,Table13_1[[#This Row],[Round BMI]] &lt;=24.9),"Healthy Weight",AND(Table13_1[[#This Row],[Round BMI]]&gt;=25,Table13_1[[#This Row],[Round BMI]]&lt;=29.9),"Overweight",Table13_1[[#This Row],[Round BMI]]&gt;=30,"Obese")</f>
        <v>Healthy Weight</v>
      </c>
      <c r="D64" s="4" t="s">
        <v>11</v>
      </c>
      <c r="E64" s="4" t="str">
        <f>IF(Table13_1[[#This Row],[smoker]]="yes","smoker","non-smoker")</f>
        <v>non-smoker</v>
      </c>
      <c r="F64" s="4" t="s">
        <v>13</v>
      </c>
      <c r="G64" s="5">
        <v>64</v>
      </c>
      <c r="H64" s="5">
        <f>IF(Table13_1[[#This Row],[smoker]]="yes",1,0)</f>
        <v>0</v>
      </c>
      <c r="I64" s="4">
        <v>24.7</v>
      </c>
      <c r="J64" s="4">
        <v>1</v>
      </c>
      <c r="K64" s="12">
        <v>30166.618200000001</v>
      </c>
      <c r="S64" s="9"/>
      <c r="T64" s="9"/>
    </row>
    <row r="65" spans="1:20" x14ac:dyDescent="0.25">
      <c r="A65" s="4" t="s">
        <v>7</v>
      </c>
      <c r="B65" s="4">
        <f>ROUND(Table13_1[[#This Row],[bmi]],1)</f>
        <v>25.9</v>
      </c>
      <c r="C65" s="4" t="str" cm="1">
        <f t="array" ref="C65">_xlfn.IFS(Table13_1[[#This Row],[Round BMI]]&lt;18.5,"Underweight",AND(Table13_1[[#This Row],[Round BMI]]&gt;=18.5,Table13_1[[#This Row],[Round BMI]] &lt;=24.9),"Healthy Weight",AND(Table13_1[[#This Row],[Round BMI]]&gt;=25,Table13_1[[#This Row],[Round BMI]]&lt;=29.9),"Overweight",Table13_1[[#This Row],[Round BMI]]&gt;=30,"Obese")</f>
        <v>Overweight</v>
      </c>
      <c r="D65" s="4" t="s">
        <v>11</v>
      </c>
      <c r="E65" s="4" t="str">
        <f>IF(Table13_1[[#This Row],[smoker]]="yes","smoker","non-smoker")</f>
        <v>non-smoker</v>
      </c>
      <c r="F65" s="4" t="s">
        <v>13</v>
      </c>
      <c r="G65" s="5">
        <v>28</v>
      </c>
      <c r="H65" s="5">
        <f>IF(Table13_1[[#This Row],[smoker]]="yes",1,0)</f>
        <v>0</v>
      </c>
      <c r="I65" s="4">
        <v>25.934999999999999</v>
      </c>
      <c r="J65" s="4">
        <v>1</v>
      </c>
      <c r="K65" s="12">
        <v>4133.6415999999999</v>
      </c>
      <c r="T65" s="9"/>
    </row>
    <row r="66" spans="1:20" x14ac:dyDescent="0.25">
      <c r="A66" s="4" t="s">
        <v>7</v>
      </c>
      <c r="B66" s="4">
        <f>ROUND(Table13_1[[#This Row],[bmi]],1)</f>
        <v>22.4</v>
      </c>
      <c r="C66" s="4" t="str" cm="1">
        <f t="array" ref="C66">_xlfn.IFS(Table13_1[[#This Row],[Round BMI]]&lt;18.5,"Underweight",AND(Table13_1[[#This Row],[Round BMI]]&gt;=18.5,Table13_1[[#This Row],[Round BMI]] &lt;=24.9),"Healthy Weight",AND(Table13_1[[#This Row],[Round BMI]]&gt;=25,Table13_1[[#This Row],[Round BMI]]&lt;=29.9),"Overweight",Table13_1[[#This Row],[Round BMI]]&gt;=30,"Obese")</f>
        <v>Healthy Weight</v>
      </c>
      <c r="D66" s="4" t="s">
        <v>8</v>
      </c>
      <c r="E66" s="4" t="str">
        <f>IF(Table13_1[[#This Row],[smoker]]="yes","smoker","non-smoker")</f>
        <v>smoker</v>
      </c>
      <c r="F66" s="4" t="s">
        <v>13</v>
      </c>
      <c r="G66" s="5">
        <v>20</v>
      </c>
      <c r="H66" s="5">
        <f>IF(Table13_1[[#This Row],[smoker]]="yes",1,0)</f>
        <v>1</v>
      </c>
      <c r="I66" s="4">
        <v>22.42</v>
      </c>
      <c r="J66" s="4">
        <v>0</v>
      </c>
      <c r="K66" s="12">
        <v>14711.7438</v>
      </c>
    </row>
    <row r="67" spans="1:20" x14ac:dyDescent="0.25">
      <c r="A67" s="4" t="s">
        <v>7</v>
      </c>
      <c r="B67" s="4">
        <f>ROUND(Table13_1[[#This Row],[bmi]],1)</f>
        <v>28.9</v>
      </c>
      <c r="C67" s="4" t="str" cm="1">
        <f t="array" ref="C67">_xlfn.IFS(Table13_1[[#This Row],[Round BMI]]&lt;18.5,"Underweight",AND(Table13_1[[#This Row],[Round BMI]]&gt;=18.5,Table13_1[[#This Row],[Round BMI]] &lt;=24.9),"Healthy Weight",AND(Table13_1[[#This Row],[Round BMI]]&gt;=25,Table13_1[[#This Row],[Round BMI]]&lt;=29.9),"Overweight",Table13_1[[#This Row],[Round BMI]]&gt;=30,"Obese")</f>
        <v>Overweight</v>
      </c>
      <c r="D67" s="4" t="s">
        <v>11</v>
      </c>
      <c r="E67" s="4" t="str">
        <f>IF(Table13_1[[#This Row],[smoker]]="yes","smoker","non-smoker")</f>
        <v>non-smoker</v>
      </c>
      <c r="F67" s="4" t="s">
        <v>9</v>
      </c>
      <c r="G67" s="5">
        <v>19</v>
      </c>
      <c r="H67" s="5">
        <f>IF(Table13_1[[#This Row],[smoker]]="yes",1,0)</f>
        <v>0</v>
      </c>
      <c r="I67" s="4">
        <v>28.9</v>
      </c>
      <c r="J67" s="4">
        <v>0</v>
      </c>
      <c r="K67" s="12">
        <v>1743.2139999999999</v>
      </c>
    </row>
    <row r="68" spans="1:20" x14ac:dyDescent="0.25">
      <c r="A68" s="4" t="s">
        <v>7</v>
      </c>
      <c r="B68" s="4">
        <f>ROUND(Table13_1[[#This Row],[bmi]],1)</f>
        <v>39.1</v>
      </c>
      <c r="C68" s="4" t="str" cm="1">
        <f t="array" ref="C68">_xlfn.IFS(Table13_1[[#This Row],[Round BMI]]&lt;18.5,"Underweight",AND(Table13_1[[#This Row],[Round BMI]]&gt;=18.5,Table13_1[[#This Row],[Round BMI]] &lt;=24.9),"Healthy Weight",AND(Table13_1[[#This Row],[Round BMI]]&gt;=25,Table13_1[[#This Row],[Round BMI]]&lt;=29.9),"Overweight",Table13_1[[#This Row],[Round BMI]]&gt;=30,"Obese")</f>
        <v>Obese</v>
      </c>
      <c r="D68" s="4" t="s">
        <v>11</v>
      </c>
      <c r="E68" s="4" t="str">
        <f>IF(Table13_1[[#This Row],[smoker]]="yes","smoker","non-smoker")</f>
        <v>non-smoker</v>
      </c>
      <c r="F68" s="4" t="s">
        <v>9</v>
      </c>
      <c r="G68" s="5">
        <v>61</v>
      </c>
      <c r="H68" s="5">
        <f>IF(Table13_1[[#This Row],[smoker]]="yes",1,0)</f>
        <v>0</v>
      </c>
      <c r="I68" s="4">
        <v>39.1</v>
      </c>
      <c r="J68" s="4">
        <v>2</v>
      </c>
      <c r="K68" s="12">
        <v>14235.072</v>
      </c>
    </row>
    <row r="69" spans="1:20" x14ac:dyDescent="0.25">
      <c r="A69" s="4" t="s">
        <v>10</v>
      </c>
      <c r="B69" s="4">
        <f>ROUND(Table13_1[[#This Row],[bmi]],1)</f>
        <v>26.3</v>
      </c>
      <c r="C69" s="4" t="str" cm="1">
        <f t="array" ref="C69">_xlfn.IFS(Table13_1[[#This Row],[Round BMI]]&lt;18.5,"Underweight",AND(Table13_1[[#This Row],[Round BMI]]&gt;=18.5,Table13_1[[#This Row],[Round BMI]] &lt;=24.9),"Healthy Weight",AND(Table13_1[[#This Row],[Round BMI]]&gt;=25,Table13_1[[#This Row],[Round BMI]]&lt;=29.9),"Overweight",Table13_1[[#This Row],[Round BMI]]&gt;=30,"Obese")</f>
        <v>Overweight</v>
      </c>
      <c r="D69" s="4" t="s">
        <v>11</v>
      </c>
      <c r="E69" s="4" t="str">
        <f>IF(Table13_1[[#This Row],[smoker]]="yes","smoker","non-smoker")</f>
        <v>non-smoker</v>
      </c>
      <c r="F69" s="4" t="s">
        <v>13</v>
      </c>
      <c r="G69" s="5">
        <v>40</v>
      </c>
      <c r="H69" s="5">
        <f>IF(Table13_1[[#This Row],[smoker]]="yes",1,0)</f>
        <v>0</v>
      </c>
      <c r="I69" s="4">
        <v>26.315000000000001</v>
      </c>
      <c r="J69" s="4">
        <v>1</v>
      </c>
      <c r="K69" s="12">
        <v>6389.3778000000002</v>
      </c>
    </row>
    <row r="70" spans="1:20" x14ac:dyDescent="0.25">
      <c r="A70" s="4" t="s">
        <v>7</v>
      </c>
      <c r="B70" s="4">
        <f>ROUND(Table13_1[[#This Row],[bmi]],1)</f>
        <v>36.200000000000003</v>
      </c>
      <c r="C70" s="4" t="str" cm="1">
        <f t="array" ref="C70">_xlfn.IFS(Table13_1[[#This Row],[Round BMI]]&lt;18.5,"Underweight",AND(Table13_1[[#This Row],[Round BMI]]&gt;=18.5,Table13_1[[#This Row],[Round BMI]] &lt;=24.9),"Healthy Weight",AND(Table13_1[[#This Row],[Round BMI]]&gt;=25,Table13_1[[#This Row],[Round BMI]]&lt;=29.9),"Overweight",Table13_1[[#This Row],[Round BMI]]&gt;=30,"Obese")</f>
        <v>Obese</v>
      </c>
      <c r="D70" s="4" t="s">
        <v>11</v>
      </c>
      <c r="E70" s="4" t="str">
        <f>IF(Table13_1[[#This Row],[smoker]]="yes","smoker","non-smoker")</f>
        <v>non-smoker</v>
      </c>
      <c r="F70" s="4" t="s">
        <v>12</v>
      </c>
      <c r="G70" s="5">
        <v>40</v>
      </c>
      <c r="H70" s="5">
        <f>IF(Table13_1[[#This Row],[smoker]]="yes",1,0)</f>
        <v>0</v>
      </c>
      <c r="I70" s="4">
        <v>36.19</v>
      </c>
      <c r="J70" s="4">
        <v>0</v>
      </c>
      <c r="K70" s="12">
        <v>5920.1040999999996</v>
      </c>
    </row>
    <row r="71" spans="1:20" x14ac:dyDescent="0.25">
      <c r="A71" s="4" t="s">
        <v>10</v>
      </c>
      <c r="B71" s="4">
        <f>ROUND(Table13_1[[#This Row],[bmi]],1)</f>
        <v>24</v>
      </c>
      <c r="C71" s="4" t="str" cm="1">
        <f t="array" ref="C71">_xlfn.IFS(Table13_1[[#This Row],[Round BMI]]&lt;18.5,"Underweight",AND(Table13_1[[#This Row],[Round BMI]]&gt;=18.5,Table13_1[[#This Row],[Round BMI]] &lt;=24.9),"Healthy Weight",AND(Table13_1[[#This Row],[Round BMI]]&gt;=25,Table13_1[[#This Row],[Round BMI]]&lt;=29.9),"Overweight",Table13_1[[#This Row],[Round BMI]]&gt;=30,"Obese")</f>
        <v>Healthy Weight</v>
      </c>
      <c r="D71" s="4" t="s">
        <v>8</v>
      </c>
      <c r="E71" s="4" t="str">
        <f>IF(Table13_1[[#This Row],[smoker]]="yes","smoker","non-smoker")</f>
        <v>smoker</v>
      </c>
      <c r="F71" s="4" t="s">
        <v>12</v>
      </c>
      <c r="G71" s="5">
        <v>28</v>
      </c>
      <c r="H71" s="5">
        <f>IF(Table13_1[[#This Row],[smoker]]="yes",1,0)</f>
        <v>1</v>
      </c>
      <c r="I71" s="4">
        <v>23.98</v>
      </c>
      <c r="J71" s="4">
        <v>3</v>
      </c>
      <c r="K71" s="12">
        <v>17663.144199999999</v>
      </c>
    </row>
    <row r="72" spans="1:20" x14ac:dyDescent="0.25">
      <c r="A72" s="4" t="s">
        <v>7</v>
      </c>
      <c r="B72" s="4">
        <f>ROUND(Table13_1[[#This Row],[bmi]],1)</f>
        <v>24.8</v>
      </c>
      <c r="C72" s="4" t="str" cm="1">
        <f t="array" ref="C72">_xlfn.IFS(Table13_1[[#This Row],[Round BMI]]&lt;18.5,"Underweight",AND(Table13_1[[#This Row],[Round BMI]]&gt;=18.5,Table13_1[[#This Row],[Round BMI]] &lt;=24.9),"Healthy Weight",AND(Table13_1[[#This Row],[Round BMI]]&gt;=25,Table13_1[[#This Row],[Round BMI]]&lt;=29.9),"Overweight",Table13_1[[#This Row],[Round BMI]]&gt;=30,"Obese")</f>
        <v>Healthy Weight</v>
      </c>
      <c r="D72" s="4" t="s">
        <v>8</v>
      </c>
      <c r="E72" s="4" t="str">
        <f>IF(Table13_1[[#This Row],[smoker]]="yes","smoker","non-smoker")</f>
        <v>smoker</v>
      </c>
      <c r="F72" s="4" t="s">
        <v>12</v>
      </c>
      <c r="G72" s="5">
        <v>27</v>
      </c>
      <c r="H72" s="5">
        <f>IF(Table13_1[[#This Row],[smoker]]="yes",1,0)</f>
        <v>1</v>
      </c>
      <c r="I72" s="4">
        <v>24.75</v>
      </c>
      <c r="J72" s="4">
        <v>0</v>
      </c>
      <c r="K72" s="12">
        <v>16577.779500000001</v>
      </c>
    </row>
    <row r="73" spans="1:20" x14ac:dyDescent="0.25">
      <c r="A73" s="4" t="s">
        <v>10</v>
      </c>
      <c r="B73" s="4">
        <f>ROUND(Table13_1[[#This Row],[bmi]],1)</f>
        <v>28.5</v>
      </c>
      <c r="C73" s="4" t="str" cm="1">
        <f t="array" ref="C73">_xlfn.IFS(Table13_1[[#This Row],[Round BMI]]&lt;18.5,"Underweight",AND(Table13_1[[#This Row],[Round BMI]]&gt;=18.5,Table13_1[[#This Row],[Round BMI]] &lt;=24.9),"Healthy Weight",AND(Table13_1[[#This Row],[Round BMI]]&gt;=25,Table13_1[[#This Row],[Round BMI]]&lt;=29.9),"Overweight",Table13_1[[#This Row],[Round BMI]]&gt;=30,"Obese")</f>
        <v>Overweight</v>
      </c>
      <c r="D73" s="4" t="s">
        <v>11</v>
      </c>
      <c r="E73" s="4" t="str">
        <f>IF(Table13_1[[#This Row],[smoker]]="yes","smoker","non-smoker")</f>
        <v>non-smoker</v>
      </c>
      <c r="F73" s="4" t="s">
        <v>14</v>
      </c>
      <c r="G73" s="5">
        <v>31</v>
      </c>
      <c r="H73" s="5">
        <f>IF(Table13_1[[#This Row],[smoker]]="yes",1,0)</f>
        <v>0</v>
      </c>
      <c r="I73" s="4">
        <v>28.5</v>
      </c>
      <c r="J73" s="4">
        <v>5</v>
      </c>
      <c r="K73" s="12">
        <v>6799.4579999999996</v>
      </c>
    </row>
    <row r="74" spans="1:20" x14ac:dyDescent="0.25">
      <c r="A74" s="4" t="s">
        <v>7</v>
      </c>
      <c r="B74" s="4">
        <f>ROUND(Table13_1[[#This Row],[bmi]],1)</f>
        <v>28.1</v>
      </c>
      <c r="C74" s="4" t="str" cm="1">
        <f t="array" ref="C74">_xlfn.IFS(Table13_1[[#This Row],[Round BMI]]&lt;18.5,"Underweight",AND(Table13_1[[#This Row],[Round BMI]]&gt;=18.5,Table13_1[[#This Row],[Round BMI]] &lt;=24.9),"Healthy Weight",AND(Table13_1[[#This Row],[Round BMI]]&gt;=25,Table13_1[[#This Row],[Round BMI]]&lt;=29.9),"Overweight",Table13_1[[#This Row],[Round BMI]]&gt;=30,"Obese")</f>
        <v>Overweight</v>
      </c>
      <c r="D74" s="4" t="s">
        <v>11</v>
      </c>
      <c r="E74" s="4" t="str">
        <f>IF(Table13_1[[#This Row],[smoker]]="yes","smoker","non-smoker")</f>
        <v>non-smoker</v>
      </c>
      <c r="F74" s="4" t="s">
        <v>9</v>
      </c>
      <c r="G74" s="5">
        <v>53</v>
      </c>
      <c r="H74" s="5">
        <f>IF(Table13_1[[#This Row],[smoker]]="yes",1,0)</f>
        <v>0</v>
      </c>
      <c r="I74" s="4">
        <v>28.1</v>
      </c>
      <c r="J74" s="4">
        <v>3</v>
      </c>
      <c r="K74" s="12">
        <v>11741.726000000001</v>
      </c>
    </row>
    <row r="75" spans="1:20" x14ac:dyDescent="0.25">
      <c r="A75" s="4" t="s">
        <v>10</v>
      </c>
      <c r="B75" s="4">
        <f>ROUND(Table13_1[[#This Row],[bmi]],1)</f>
        <v>32</v>
      </c>
      <c r="C75" s="4" t="str" cm="1">
        <f t="array" ref="C75">_xlfn.IFS(Table13_1[[#This Row],[Round BMI]]&lt;18.5,"Underweight",AND(Table13_1[[#This Row],[Round BMI]]&gt;=18.5,Table13_1[[#This Row],[Round BMI]] &lt;=24.9),"Healthy Weight",AND(Table13_1[[#This Row],[Round BMI]]&gt;=25,Table13_1[[#This Row],[Round BMI]]&lt;=29.9),"Overweight",Table13_1[[#This Row],[Round BMI]]&gt;=30,"Obese")</f>
        <v>Obese</v>
      </c>
      <c r="D75" s="4" t="s">
        <v>11</v>
      </c>
      <c r="E75" s="4" t="str">
        <f>IF(Table13_1[[#This Row],[smoker]]="yes","smoker","non-smoker")</f>
        <v>non-smoker</v>
      </c>
      <c r="F75" s="4" t="s">
        <v>12</v>
      </c>
      <c r="G75" s="5">
        <v>58</v>
      </c>
      <c r="H75" s="5">
        <f>IF(Table13_1[[#This Row],[smoker]]="yes",1,0)</f>
        <v>0</v>
      </c>
      <c r="I75" s="4">
        <v>32.01</v>
      </c>
      <c r="J75" s="4">
        <v>1</v>
      </c>
      <c r="K75" s="12">
        <v>11946.625899999999</v>
      </c>
    </row>
    <row r="76" spans="1:20" x14ac:dyDescent="0.25">
      <c r="A76" s="4" t="s">
        <v>10</v>
      </c>
      <c r="B76" s="4">
        <f>ROUND(Table13_1[[#This Row],[bmi]],1)</f>
        <v>27.4</v>
      </c>
      <c r="C76" s="4" t="str" cm="1">
        <f t="array" ref="C76">_xlfn.IFS(Table13_1[[#This Row],[Round BMI]]&lt;18.5,"Underweight",AND(Table13_1[[#This Row],[Round BMI]]&gt;=18.5,Table13_1[[#This Row],[Round BMI]] &lt;=24.9),"Healthy Weight",AND(Table13_1[[#This Row],[Round BMI]]&gt;=25,Table13_1[[#This Row],[Round BMI]]&lt;=29.9),"Overweight",Table13_1[[#This Row],[Round BMI]]&gt;=30,"Obese")</f>
        <v>Overweight</v>
      </c>
      <c r="D76" s="4" t="s">
        <v>11</v>
      </c>
      <c r="E76" s="4" t="str">
        <f>IF(Table13_1[[#This Row],[smoker]]="yes","smoker","non-smoker")</f>
        <v>non-smoker</v>
      </c>
      <c r="F76" s="4" t="s">
        <v>9</v>
      </c>
      <c r="G76" s="5">
        <v>44</v>
      </c>
      <c r="H76" s="5">
        <f>IF(Table13_1[[#This Row],[smoker]]="yes",1,0)</f>
        <v>0</v>
      </c>
      <c r="I76" s="4">
        <v>27.4</v>
      </c>
      <c r="J76" s="4">
        <v>2</v>
      </c>
      <c r="K76" s="12">
        <v>7726.8540000000003</v>
      </c>
    </row>
    <row r="77" spans="1:20" x14ac:dyDescent="0.25">
      <c r="A77" s="4" t="s">
        <v>10</v>
      </c>
      <c r="B77" s="4">
        <f>ROUND(Table13_1[[#This Row],[bmi]],1)</f>
        <v>34</v>
      </c>
      <c r="C77" s="4" t="str" cm="1">
        <f t="array" ref="C77">_xlfn.IFS(Table13_1[[#This Row],[Round BMI]]&lt;18.5,"Underweight",AND(Table13_1[[#This Row],[Round BMI]]&gt;=18.5,Table13_1[[#This Row],[Round BMI]] &lt;=24.9),"Healthy Weight",AND(Table13_1[[#This Row],[Round BMI]]&gt;=25,Table13_1[[#This Row],[Round BMI]]&lt;=29.9),"Overweight",Table13_1[[#This Row],[Round BMI]]&gt;=30,"Obese")</f>
        <v>Obese</v>
      </c>
      <c r="D77" s="4" t="s">
        <v>11</v>
      </c>
      <c r="E77" s="4" t="str">
        <f>IF(Table13_1[[#This Row],[smoker]]="yes","smoker","non-smoker")</f>
        <v>non-smoker</v>
      </c>
      <c r="F77" s="4" t="s">
        <v>13</v>
      </c>
      <c r="G77" s="5">
        <v>57</v>
      </c>
      <c r="H77" s="5">
        <f>IF(Table13_1[[#This Row],[smoker]]="yes",1,0)</f>
        <v>0</v>
      </c>
      <c r="I77" s="4">
        <v>34.01</v>
      </c>
      <c r="J77" s="4">
        <v>0</v>
      </c>
      <c r="K77" s="12">
        <v>11356.660900000001</v>
      </c>
    </row>
    <row r="78" spans="1:20" ht="15.75" thickBot="1" x14ac:dyDescent="0.3">
      <c r="A78" s="4" t="s">
        <v>7</v>
      </c>
      <c r="B78" s="4">
        <f>ROUND(Table13_1[[#This Row],[bmi]],1)</f>
        <v>29.6</v>
      </c>
      <c r="C78" s="4" t="str" cm="1">
        <f t="array" ref="C78">_xlfn.IFS(Table13_1[[#This Row],[Round BMI]]&lt;18.5,"Underweight",AND(Table13_1[[#This Row],[Round BMI]]&gt;=18.5,Table13_1[[#This Row],[Round BMI]] &lt;=24.9),"Healthy Weight",AND(Table13_1[[#This Row],[Round BMI]]&gt;=25,Table13_1[[#This Row],[Round BMI]]&lt;=29.9),"Overweight",Table13_1[[#This Row],[Round BMI]]&gt;=30,"Obese")</f>
        <v>Overweight</v>
      </c>
      <c r="D78" s="4" t="s">
        <v>11</v>
      </c>
      <c r="E78" s="4" t="str">
        <f>IF(Table13_1[[#This Row],[smoker]]="yes","smoker","non-smoker")</f>
        <v>non-smoker</v>
      </c>
      <c r="F78" s="4" t="s">
        <v>12</v>
      </c>
      <c r="G78" s="5">
        <v>29</v>
      </c>
      <c r="H78" s="5">
        <f>IF(Table13_1[[#This Row],[smoker]]="yes",1,0)</f>
        <v>0</v>
      </c>
      <c r="I78" s="4">
        <v>29.59</v>
      </c>
      <c r="J78" s="4">
        <v>1</v>
      </c>
      <c r="K78" s="12">
        <v>3947.4131000000002</v>
      </c>
    </row>
    <row r="79" spans="1:20" x14ac:dyDescent="0.25">
      <c r="A79" s="4" t="s">
        <v>10</v>
      </c>
      <c r="B79" s="4">
        <f>ROUND(Table13_1[[#This Row],[bmi]],1)</f>
        <v>35.5</v>
      </c>
      <c r="C79" s="4" t="str" cm="1">
        <f t="array" ref="C79">_xlfn.IFS(Table13_1[[#This Row],[Round BMI]]&lt;18.5,"Underweight",AND(Table13_1[[#This Row],[Round BMI]]&gt;=18.5,Table13_1[[#This Row],[Round BMI]] &lt;=24.9),"Healthy Weight",AND(Table13_1[[#This Row],[Round BMI]]&gt;=25,Table13_1[[#This Row],[Round BMI]]&lt;=29.9),"Overweight",Table13_1[[#This Row],[Round BMI]]&gt;=30,"Obese")</f>
        <v>Obese</v>
      </c>
      <c r="D79" s="4" t="s">
        <v>11</v>
      </c>
      <c r="E79" s="4" t="str">
        <f>IF(Table13_1[[#This Row],[smoker]]="yes","smoker","non-smoker")</f>
        <v>non-smoker</v>
      </c>
      <c r="F79" s="4" t="s">
        <v>12</v>
      </c>
      <c r="G79" s="5">
        <v>21</v>
      </c>
      <c r="H79" s="5">
        <f>IF(Table13_1[[#This Row],[smoker]]="yes",1,0)</f>
        <v>0</v>
      </c>
      <c r="I79" s="4">
        <v>35.53</v>
      </c>
      <c r="J79" s="4">
        <v>0</v>
      </c>
      <c r="K79" s="12">
        <v>1532.4697000000001</v>
      </c>
      <c r="N79" s="8"/>
      <c r="O79" s="8" t="s">
        <v>0</v>
      </c>
      <c r="P79" s="8" t="s">
        <v>41</v>
      </c>
      <c r="Q79" s="8" t="s">
        <v>2</v>
      </c>
      <c r="R79" s="8" t="s">
        <v>3</v>
      </c>
      <c r="S79" s="8" t="s">
        <v>6</v>
      </c>
    </row>
    <row r="80" spans="1:20" x14ac:dyDescent="0.25">
      <c r="A80" s="4" t="s">
        <v>7</v>
      </c>
      <c r="B80" s="4">
        <f>ROUND(Table13_1[[#This Row],[bmi]],1)</f>
        <v>39.799999999999997</v>
      </c>
      <c r="C80" s="4" t="str" cm="1">
        <f t="array" ref="C80">_xlfn.IFS(Table13_1[[#This Row],[Round BMI]]&lt;18.5,"Underweight",AND(Table13_1[[#This Row],[Round BMI]]&gt;=18.5,Table13_1[[#This Row],[Round BMI]] &lt;=24.9),"Healthy Weight",AND(Table13_1[[#This Row],[Round BMI]]&gt;=25,Table13_1[[#This Row],[Round BMI]]&lt;=29.9),"Overweight",Table13_1[[#This Row],[Round BMI]]&gt;=30,"Obese")</f>
        <v>Obese</v>
      </c>
      <c r="D80" s="4" t="s">
        <v>11</v>
      </c>
      <c r="E80" s="4" t="str">
        <f>IF(Table13_1[[#This Row],[smoker]]="yes","smoker","non-smoker")</f>
        <v>non-smoker</v>
      </c>
      <c r="F80" s="4" t="s">
        <v>14</v>
      </c>
      <c r="G80" s="5">
        <v>22</v>
      </c>
      <c r="H80" s="5">
        <f>IF(Table13_1[[#This Row],[smoker]]="yes",1,0)</f>
        <v>0</v>
      </c>
      <c r="I80" s="4">
        <v>39.805</v>
      </c>
      <c r="J80" s="4">
        <v>0</v>
      </c>
      <c r="K80" s="12">
        <v>2755.0210000000002</v>
      </c>
      <c r="N80" t="s">
        <v>0</v>
      </c>
      <c r="O80">
        <v>1</v>
      </c>
    </row>
    <row r="81" spans="1:19" x14ac:dyDescent="0.25">
      <c r="A81" s="4" t="s">
        <v>7</v>
      </c>
      <c r="B81" s="4">
        <f>ROUND(Table13_1[[#This Row],[bmi]],1)</f>
        <v>33</v>
      </c>
      <c r="C81" s="4" t="str" cm="1">
        <f t="array" ref="C81">_xlfn.IFS(Table13_1[[#This Row],[Round BMI]]&lt;18.5,"Underweight",AND(Table13_1[[#This Row],[Round BMI]]&gt;=18.5,Table13_1[[#This Row],[Round BMI]] &lt;=24.9),"Healthy Weight",AND(Table13_1[[#This Row],[Round BMI]]&gt;=25,Table13_1[[#This Row],[Round BMI]]&lt;=29.9),"Overweight",Table13_1[[#This Row],[Round BMI]]&gt;=30,"Obese")</f>
        <v>Obese</v>
      </c>
      <c r="D81" s="4" t="s">
        <v>11</v>
      </c>
      <c r="E81" s="4" t="str">
        <f>IF(Table13_1[[#This Row],[smoker]]="yes","smoker","non-smoker")</f>
        <v>non-smoker</v>
      </c>
      <c r="F81" s="4" t="s">
        <v>13</v>
      </c>
      <c r="G81" s="5">
        <v>41</v>
      </c>
      <c r="H81" s="5">
        <f>IF(Table13_1[[#This Row],[smoker]]="yes",1,0)</f>
        <v>0</v>
      </c>
      <c r="I81" s="4">
        <v>32.965000000000003</v>
      </c>
      <c r="J81" s="4">
        <v>0</v>
      </c>
      <c r="K81" s="12">
        <v>6571.0244000000002</v>
      </c>
      <c r="N81" t="s">
        <v>41</v>
      </c>
      <c r="O81">
        <v>-2.5018751536284814E-2</v>
      </c>
      <c r="P81">
        <v>1</v>
      </c>
    </row>
    <row r="82" spans="1:19" x14ac:dyDescent="0.25">
      <c r="A82" s="4" t="s">
        <v>10</v>
      </c>
      <c r="B82" s="4">
        <f>ROUND(Table13_1[[#This Row],[bmi]],1)</f>
        <v>26.9</v>
      </c>
      <c r="C82" s="4" t="str" cm="1">
        <f t="array" ref="C82">_xlfn.IFS(Table13_1[[#This Row],[Round BMI]]&lt;18.5,"Underweight",AND(Table13_1[[#This Row],[Round BMI]]&gt;=18.5,Table13_1[[#This Row],[Round BMI]] &lt;=24.9),"Healthy Weight",AND(Table13_1[[#This Row],[Round BMI]]&gt;=25,Table13_1[[#This Row],[Round BMI]]&lt;=29.9),"Overweight",Table13_1[[#This Row],[Round BMI]]&gt;=30,"Obese")</f>
        <v>Overweight</v>
      </c>
      <c r="D82" s="4" t="s">
        <v>11</v>
      </c>
      <c r="E82" s="4" t="str">
        <f>IF(Table13_1[[#This Row],[smoker]]="yes","smoker","non-smoker")</f>
        <v>non-smoker</v>
      </c>
      <c r="F82" s="4" t="s">
        <v>14</v>
      </c>
      <c r="G82" s="5">
        <v>31</v>
      </c>
      <c r="H82" s="5">
        <f>IF(Table13_1[[#This Row],[smoker]]="yes",1,0)</f>
        <v>0</v>
      </c>
      <c r="I82" s="4">
        <v>26.885000000000002</v>
      </c>
      <c r="J82" s="4">
        <v>1</v>
      </c>
      <c r="K82" s="12">
        <v>4441.2132000000001</v>
      </c>
      <c r="N82" t="s">
        <v>2</v>
      </c>
      <c r="O82">
        <v>0.10927188154853502</v>
      </c>
      <c r="P82">
        <v>3.7504259049803363E-3</v>
      </c>
      <c r="Q82">
        <v>1</v>
      </c>
    </row>
    <row r="83" spans="1:19" x14ac:dyDescent="0.25">
      <c r="A83" s="4" t="s">
        <v>7</v>
      </c>
      <c r="B83" s="4">
        <f>ROUND(Table13_1[[#This Row],[bmi]],1)</f>
        <v>38.299999999999997</v>
      </c>
      <c r="C83" s="4" t="str" cm="1">
        <f t="array" ref="C83">_xlfn.IFS(Table13_1[[#This Row],[Round BMI]]&lt;18.5,"Underweight",AND(Table13_1[[#This Row],[Round BMI]]&gt;=18.5,Table13_1[[#This Row],[Round BMI]] &lt;=24.9),"Healthy Weight",AND(Table13_1[[#This Row],[Round BMI]]&gt;=25,Table13_1[[#This Row],[Round BMI]]&lt;=29.9),"Overweight",Table13_1[[#This Row],[Round BMI]]&gt;=30,"Obese")</f>
        <v>Obese</v>
      </c>
      <c r="D83" s="4" t="s">
        <v>11</v>
      </c>
      <c r="E83" s="4" t="str">
        <f>IF(Table13_1[[#This Row],[smoker]]="yes","smoker","non-smoker")</f>
        <v>non-smoker</v>
      </c>
      <c r="F83" s="4" t="s">
        <v>14</v>
      </c>
      <c r="G83" s="5">
        <v>45</v>
      </c>
      <c r="H83" s="5">
        <f>IF(Table13_1[[#This Row],[smoker]]="yes",1,0)</f>
        <v>0</v>
      </c>
      <c r="I83" s="4">
        <v>38.284999999999997</v>
      </c>
      <c r="J83" s="4">
        <v>0</v>
      </c>
      <c r="K83" s="12">
        <v>7935.2911999999997</v>
      </c>
      <c r="N83" t="s">
        <v>3</v>
      </c>
      <c r="O83">
        <v>4.2468998558849488E-2</v>
      </c>
      <c r="P83">
        <v>7.673120307710949E-3</v>
      </c>
      <c r="Q83">
        <v>1.275890082067385E-2</v>
      </c>
      <c r="R83">
        <v>1</v>
      </c>
    </row>
    <row r="84" spans="1:19" ht="15.75" thickBot="1" x14ac:dyDescent="0.3">
      <c r="A84" s="4" t="s">
        <v>10</v>
      </c>
      <c r="B84" s="4">
        <f>ROUND(Table13_1[[#This Row],[bmi]],1)</f>
        <v>37.6</v>
      </c>
      <c r="C84" s="4" t="str" cm="1">
        <f t="array" ref="C84">_xlfn.IFS(Table13_1[[#This Row],[Round BMI]]&lt;18.5,"Underweight",AND(Table13_1[[#This Row],[Round BMI]]&gt;=18.5,Table13_1[[#This Row],[Round BMI]] &lt;=24.9),"Healthy Weight",AND(Table13_1[[#This Row],[Round BMI]]&gt;=25,Table13_1[[#This Row],[Round BMI]]&lt;=29.9),"Overweight",Table13_1[[#This Row],[Round BMI]]&gt;=30,"Obese")</f>
        <v>Obese</v>
      </c>
      <c r="D84" s="4" t="s">
        <v>8</v>
      </c>
      <c r="E84" s="4" t="str">
        <f>IF(Table13_1[[#This Row],[smoker]]="yes","smoker","non-smoker")</f>
        <v>smoker</v>
      </c>
      <c r="F84" s="4" t="s">
        <v>12</v>
      </c>
      <c r="G84" s="5">
        <v>22</v>
      </c>
      <c r="H84" s="5">
        <f>IF(Table13_1[[#This Row],[smoker]]="yes",1,0)</f>
        <v>1</v>
      </c>
      <c r="I84" s="4">
        <v>37.619999999999997</v>
      </c>
      <c r="J84" s="4">
        <v>1</v>
      </c>
      <c r="K84" s="12">
        <v>37165.163800000002</v>
      </c>
      <c r="N84" s="2" t="s">
        <v>6</v>
      </c>
      <c r="O84" s="2">
        <v>0.29900819337864892</v>
      </c>
      <c r="P84" s="10">
        <v>0.78725143045619472</v>
      </c>
      <c r="Q84" s="2">
        <v>0.19834096900751744</v>
      </c>
      <c r="R84" s="2">
        <v>6.799822683892523E-2</v>
      </c>
      <c r="S84" s="2">
        <v>1</v>
      </c>
    </row>
    <row r="85" spans="1:19" x14ac:dyDescent="0.25">
      <c r="A85" s="4" t="s">
        <v>7</v>
      </c>
      <c r="B85" s="4">
        <f>ROUND(Table13_1[[#This Row],[bmi]],1)</f>
        <v>41.2</v>
      </c>
      <c r="C85" s="4" t="str" cm="1">
        <f t="array" ref="C85">_xlfn.IFS(Table13_1[[#This Row],[Round BMI]]&lt;18.5,"Underweight",AND(Table13_1[[#This Row],[Round BMI]]&gt;=18.5,Table13_1[[#This Row],[Round BMI]] &lt;=24.9),"Healthy Weight",AND(Table13_1[[#This Row],[Round BMI]]&gt;=25,Table13_1[[#This Row],[Round BMI]]&lt;=29.9),"Overweight",Table13_1[[#This Row],[Round BMI]]&gt;=30,"Obese")</f>
        <v>Obese</v>
      </c>
      <c r="D85" s="4" t="s">
        <v>11</v>
      </c>
      <c r="E85" s="4" t="str">
        <f>IF(Table13_1[[#This Row],[smoker]]="yes","smoker","non-smoker")</f>
        <v>non-smoker</v>
      </c>
      <c r="F85" s="4" t="s">
        <v>13</v>
      </c>
      <c r="G85" s="5">
        <v>48</v>
      </c>
      <c r="H85" s="5">
        <f>IF(Table13_1[[#This Row],[smoker]]="yes",1,0)</f>
        <v>0</v>
      </c>
      <c r="I85" s="4">
        <v>41.23</v>
      </c>
      <c r="J85" s="4">
        <v>4</v>
      </c>
      <c r="K85" s="12">
        <v>11033.661700000001</v>
      </c>
    </row>
    <row r="86" spans="1:19" x14ac:dyDescent="0.25">
      <c r="A86" s="4" t="s">
        <v>7</v>
      </c>
      <c r="B86" s="4">
        <f>ROUND(Table13_1[[#This Row],[bmi]],1)</f>
        <v>34.799999999999997</v>
      </c>
      <c r="C86" s="4" t="str" cm="1">
        <f t="array" ref="C86">_xlfn.IFS(Table13_1[[#This Row],[Round BMI]]&lt;18.5,"Underweight",AND(Table13_1[[#This Row],[Round BMI]]&gt;=18.5,Table13_1[[#This Row],[Round BMI]] &lt;=24.9),"Healthy Weight",AND(Table13_1[[#This Row],[Round BMI]]&gt;=25,Table13_1[[#This Row],[Round BMI]]&lt;=29.9),"Overweight",Table13_1[[#This Row],[Round BMI]]&gt;=30,"Obese")</f>
        <v>Obese</v>
      </c>
      <c r="D86" s="4" t="s">
        <v>8</v>
      </c>
      <c r="E86" s="4" t="str">
        <f>IF(Table13_1[[#This Row],[smoker]]="yes","smoker","non-smoker")</f>
        <v>smoker</v>
      </c>
      <c r="F86" s="4" t="s">
        <v>9</v>
      </c>
      <c r="G86" s="5">
        <v>37</v>
      </c>
      <c r="H86" s="5">
        <f>IF(Table13_1[[#This Row],[smoker]]="yes",1,0)</f>
        <v>1</v>
      </c>
      <c r="I86" s="4">
        <v>34.799999999999997</v>
      </c>
      <c r="J86" s="4">
        <v>2</v>
      </c>
      <c r="K86" s="12">
        <v>39836.519</v>
      </c>
    </row>
    <row r="87" spans="1:19" x14ac:dyDescent="0.25">
      <c r="A87" s="4" t="s">
        <v>10</v>
      </c>
      <c r="B87" s="4">
        <f>ROUND(Table13_1[[#This Row],[bmi]],1)</f>
        <v>22.9</v>
      </c>
      <c r="C87" s="4" t="str" cm="1">
        <f t="array" ref="C87">_xlfn.IFS(Table13_1[[#This Row],[Round BMI]]&lt;18.5,"Underweight",AND(Table13_1[[#This Row],[Round BMI]]&gt;=18.5,Table13_1[[#This Row],[Round BMI]] &lt;=24.9),"Healthy Weight",AND(Table13_1[[#This Row],[Round BMI]]&gt;=25,Table13_1[[#This Row],[Round BMI]]&lt;=29.9),"Overweight",Table13_1[[#This Row],[Round BMI]]&gt;=30,"Obese")</f>
        <v>Healthy Weight</v>
      </c>
      <c r="D87" s="4" t="s">
        <v>8</v>
      </c>
      <c r="E87" s="4" t="str">
        <f>IF(Table13_1[[#This Row],[smoker]]="yes","smoker","non-smoker")</f>
        <v>smoker</v>
      </c>
      <c r="F87" s="4" t="s">
        <v>13</v>
      </c>
      <c r="G87" s="5">
        <v>45</v>
      </c>
      <c r="H87" s="5">
        <f>IF(Table13_1[[#This Row],[smoker]]="yes",1,0)</f>
        <v>1</v>
      </c>
      <c r="I87" s="4">
        <v>22.895</v>
      </c>
      <c r="J87" s="4">
        <v>2</v>
      </c>
      <c r="K87" s="12">
        <v>21098.554</v>
      </c>
    </row>
    <row r="88" spans="1:19" x14ac:dyDescent="0.25">
      <c r="A88" s="4" t="s">
        <v>7</v>
      </c>
      <c r="B88" s="4">
        <f>ROUND(Table13_1[[#This Row],[bmi]],1)</f>
        <v>31.2</v>
      </c>
      <c r="C88" s="4" t="str" cm="1">
        <f t="array" ref="C88">_xlfn.IFS(Table13_1[[#This Row],[Round BMI]]&lt;18.5,"Underweight",AND(Table13_1[[#This Row],[Round BMI]]&gt;=18.5,Table13_1[[#This Row],[Round BMI]] &lt;=24.9),"Healthy Weight",AND(Table13_1[[#This Row],[Round BMI]]&gt;=25,Table13_1[[#This Row],[Round BMI]]&lt;=29.9),"Overweight",Table13_1[[#This Row],[Round BMI]]&gt;=30,"Obese")</f>
        <v>Obese</v>
      </c>
      <c r="D88" s="4" t="s">
        <v>8</v>
      </c>
      <c r="E88" s="4" t="str">
        <f>IF(Table13_1[[#This Row],[smoker]]="yes","smoker","non-smoker")</f>
        <v>smoker</v>
      </c>
      <c r="F88" s="4" t="s">
        <v>13</v>
      </c>
      <c r="G88" s="5">
        <v>57</v>
      </c>
      <c r="H88" s="5">
        <f>IF(Table13_1[[#This Row],[smoker]]="yes",1,0)</f>
        <v>1</v>
      </c>
      <c r="I88" s="4">
        <v>31.16</v>
      </c>
      <c r="J88" s="4">
        <v>0</v>
      </c>
      <c r="K88" s="12">
        <v>43578.939400000003</v>
      </c>
    </row>
    <row r="89" spans="1:19" x14ac:dyDescent="0.25">
      <c r="A89" s="4" t="s">
        <v>7</v>
      </c>
      <c r="B89" s="4">
        <f>ROUND(Table13_1[[#This Row],[bmi]],1)</f>
        <v>27.2</v>
      </c>
      <c r="C89" s="4" t="str" cm="1">
        <f t="array" ref="C89">_xlfn.IFS(Table13_1[[#This Row],[Round BMI]]&lt;18.5,"Underweight",AND(Table13_1[[#This Row],[Round BMI]]&gt;=18.5,Table13_1[[#This Row],[Round BMI]] &lt;=24.9),"Healthy Weight",AND(Table13_1[[#This Row],[Round BMI]]&gt;=25,Table13_1[[#This Row],[Round BMI]]&lt;=29.9),"Overweight",Table13_1[[#This Row],[Round BMI]]&gt;=30,"Obese")</f>
        <v>Overweight</v>
      </c>
      <c r="D89" s="4" t="s">
        <v>11</v>
      </c>
      <c r="E89" s="4" t="str">
        <f>IF(Table13_1[[#This Row],[smoker]]="yes","smoker","non-smoker")</f>
        <v>non-smoker</v>
      </c>
      <c r="F89" s="4" t="s">
        <v>9</v>
      </c>
      <c r="G89" s="5">
        <v>56</v>
      </c>
      <c r="H89" s="5">
        <f>IF(Table13_1[[#This Row],[smoker]]="yes",1,0)</f>
        <v>0</v>
      </c>
      <c r="I89" s="4">
        <v>27.2</v>
      </c>
      <c r="J89" s="4">
        <v>0</v>
      </c>
      <c r="K89" s="12">
        <v>11073.175999999999</v>
      </c>
    </row>
    <row r="90" spans="1:19" x14ac:dyDescent="0.25">
      <c r="A90" s="4" t="s">
        <v>7</v>
      </c>
      <c r="B90" s="4">
        <f>ROUND(Table13_1[[#This Row],[bmi]],1)</f>
        <v>27.7</v>
      </c>
      <c r="C90" s="4" t="str" cm="1">
        <f t="array" ref="C90">_xlfn.IFS(Table13_1[[#This Row],[Round BMI]]&lt;18.5,"Underweight",AND(Table13_1[[#This Row],[Round BMI]]&gt;=18.5,Table13_1[[#This Row],[Round BMI]] &lt;=24.9),"Healthy Weight",AND(Table13_1[[#This Row],[Round BMI]]&gt;=25,Table13_1[[#This Row],[Round BMI]]&lt;=29.9),"Overweight",Table13_1[[#This Row],[Round BMI]]&gt;=30,"Obese")</f>
        <v>Overweight</v>
      </c>
      <c r="D90" s="4" t="s">
        <v>11</v>
      </c>
      <c r="E90" s="4" t="str">
        <f>IF(Table13_1[[#This Row],[smoker]]="yes","smoker","non-smoker")</f>
        <v>non-smoker</v>
      </c>
      <c r="F90" s="4" t="s">
        <v>13</v>
      </c>
      <c r="G90" s="5">
        <v>46</v>
      </c>
      <c r="H90" s="5">
        <f>IF(Table13_1[[#This Row],[smoker]]="yes",1,0)</f>
        <v>0</v>
      </c>
      <c r="I90" s="4">
        <v>27.74</v>
      </c>
      <c r="J90" s="4">
        <v>0</v>
      </c>
      <c r="K90" s="12">
        <v>8026.6665999999996</v>
      </c>
    </row>
    <row r="91" spans="1:19" x14ac:dyDescent="0.25">
      <c r="A91" s="4" t="s">
        <v>7</v>
      </c>
      <c r="B91" s="4">
        <f>ROUND(Table13_1[[#This Row],[bmi]],1)</f>
        <v>27</v>
      </c>
      <c r="C91" s="4" t="str" cm="1">
        <f t="array" ref="C91">_xlfn.IFS(Table13_1[[#This Row],[Round BMI]]&lt;18.5,"Underweight",AND(Table13_1[[#This Row],[Round BMI]]&gt;=18.5,Table13_1[[#This Row],[Round BMI]] &lt;=24.9),"Healthy Weight",AND(Table13_1[[#This Row],[Round BMI]]&gt;=25,Table13_1[[#This Row],[Round BMI]]&lt;=29.9),"Overweight",Table13_1[[#This Row],[Round BMI]]&gt;=30,"Obese")</f>
        <v>Overweight</v>
      </c>
      <c r="D91" s="4" t="s">
        <v>11</v>
      </c>
      <c r="E91" s="4" t="str">
        <f>IF(Table13_1[[#This Row],[smoker]]="yes","smoker","non-smoker")</f>
        <v>non-smoker</v>
      </c>
      <c r="F91" s="4" t="s">
        <v>13</v>
      </c>
      <c r="G91" s="5">
        <v>55</v>
      </c>
      <c r="H91" s="5">
        <f>IF(Table13_1[[#This Row],[smoker]]="yes",1,0)</f>
        <v>0</v>
      </c>
      <c r="I91" s="4">
        <v>26.98</v>
      </c>
      <c r="J91" s="4">
        <v>0</v>
      </c>
      <c r="K91" s="12">
        <v>11082.5772</v>
      </c>
    </row>
    <row r="92" spans="1:19" x14ac:dyDescent="0.25">
      <c r="A92" s="4" t="s">
        <v>7</v>
      </c>
      <c r="B92" s="4">
        <f>ROUND(Table13_1[[#This Row],[bmi]],1)</f>
        <v>39.5</v>
      </c>
      <c r="C92" s="4" t="str" cm="1">
        <f t="array" ref="C92">_xlfn.IFS(Table13_1[[#This Row],[Round BMI]]&lt;18.5,"Underweight",AND(Table13_1[[#This Row],[Round BMI]]&gt;=18.5,Table13_1[[#This Row],[Round BMI]] &lt;=24.9),"Healthy Weight",AND(Table13_1[[#This Row],[Round BMI]]&gt;=25,Table13_1[[#This Row],[Round BMI]]&lt;=29.9),"Overweight",Table13_1[[#This Row],[Round BMI]]&gt;=30,"Obese")</f>
        <v>Obese</v>
      </c>
      <c r="D92" s="4" t="s">
        <v>11</v>
      </c>
      <c r="E92" s="4" t="str">
        <f>IF(Table13_1[[#This Row],[smoker]]="yes","smoker","non-smoker")</f>
        <v>non-smoker</v>
      </c>
      <c r="F92" s="4" t="s">
        <v>12</v>
      </c>
      <c r="G92" s="5">
        <v>21</v>
      </c>
      <c r="H92" s="5">
        <f>IF(Table13_1[[#This Row],[smoker]]="yes",1,0)</f>
        <v>0</v>
      </c>
      <c r="I92" s="4">
        <v>39.49</v>
      </c>
      <c r="J92" s="4">
        <v>0</v>
      </c>
      <c r="K92" s="12">
        <v>2026.9740999999999</v>
      </c>
    </row>
    <row r="93" spans="1:19" x14ac:dyDescent="0.25">
      <c r="A93" s="4" t="s">
        <v>7</v>
      </c>
      <c r="B93" s="4">
        <f>ROUND(Table13_1[[#This Row],[bmi]],1)</f>
        <v>24.8</v>
      </c>
      <c r="C93" s="4" t="str" cm="1">
        <f t="array" ref="C93">_xlfn.IFS(Table13_1[[#This Row],[Round BMI]]&lt;18.5,"Underweight",AND(Table13_1[[#This Row],[Round BMI]]&gt;=18.5,Table13_1[[#This Row],[Round BMI]] &lt;=24.9),"Healthy Weight",AND(Table13_1[[#This Row],[Round BMI]]&gt;=25,Table13_1[[#This Row],[Round BMI]]&lt;=29.9),"Overweight",Table13_1[[#This Row],[Round BMI]]&gt;=30,"Obese")</f>
        <v>Healthy Weight</v>
      </c>
      <c r="D93" s="4" t="s">
        <v>11</v>
      </c>
      <c r="E93" s="4" t="str">
        <f>IF(Table13_1[[#This Row],[smoker]]="yes","smoker","non-smoker")</f>
        <v>non-smoker</v>
      </c>
      <c r="F93" s="4" t="s">
        <v>13</v>
      </c>
      <c r="G93" s="5">
        <v>53</v>
      </c>
      <c r="H93" s="5">
        <f>IF(Table13_1[[#This Row],[smoker]]="yes",1,0)</f>
        <v>0</v>
      </c>
      <c r="I93" s="4">
        <v>24.795000000000002</v>
      </c>
      <c r="J93" s="4">
        <v>1</v>
      </c>
      <c r="K93" s="12">
        <v>10942.132</v>
      </c>
    </row>
    <row r="94" spans="1:19" x14ac:dyDescent="0.25">
      <c r="A94" s="4" t="s">
        <v>10</v>
      </c>
      <c r="B94" s="4">
        <f>ROUND(Table13_1[[#This Row],[bmi]],1)</f>
        <v>29.8</v>
      </c>
      <c r="C94" s="4" t="str" cm="1">
        <f t="array" ref="C94">_xlfn.IFS(Table13_1[[#This Row],[Round BMI]]&lt;18.5,"Underweight",AND(Table13_1[[#This Row],[Round BMI]]&gt;=18.5,Table13_1[[#This Row],[Round BMI]] &lt;=24.9),"Healthy Weight",AND(Table13_1[[#This Row],[Round BMI]]&gt;=25,Table13_1[[#This Row],[Round BMI]]&lt;=29.9),"Overweight",Table13_1[[#This Row],[Round BMI]]&gt;=30,"Obese")</f>
        <v>Overweight</v>
      </c>
      <c r="D94" s="4" t="s">
        <v>8</v>
      </c>
      <c r="E94" s="4" t="str">
        <f>IF(Table13_1[[#This Row],[smoker]]="yes","smoker","non-smoker")</f>
        <v>smoker</v>
      </c>
      <c r="F94" s="4" t="s">
        <v>14</v>
      </c>
      <c r="G94" s="5">
        <v>59</v>
      </c>
      <c r="H94" s="5">
        <f>IF(Table13_1[[#This Row],[smoker]]="yes",1,0)</f>
        <v>1</v>
      </c>
      <c r="I94" s="4">
        <v>29.83</v>
      </c>
      <c r="J94" s="4">
        <v>3</v>
      </c>
      <c r="K94" s="12">
        <v>30184.936699999998</v>
      </c>
    </row>
    <row r="95" spans="1:19" x14ac:dyDescent="0.25">
      <c r="A95" s="4" t="s">
        <v>10</v>
      </c>
      <c r="B95" s="4">
        <f>ROUND(Table13_1[[#This Row],[bmi]],1)</f>
        <v>34.799999999999997</v>
      </c>
      <c r="C95" s="4" t="str" cm="1">
        <f t="array" ref="C95">_xlfn.IFS(Table13_1[[#This Row],[Round BMI]]&lt;18.5,"Underweight",AND(Table13_1[[#This Row],[Round BMI]]&gt;=18.5,Table13_1[[#This Row],[Round BMI]] &lt;=24.9),"Healthy Weight",AND(Table13_1[[#This Row],[Round BMI]]&gt;=25,Table13_1[[#This Row],[Round BMI]]&lt;=29.9),"Overweight",Table13_1[[#This Row],[Round BMI]]&gt;=30,"Obese")</f>
        <v>Obese</v>
      </c>
      <c r="D95" s="4" t="s">
        <v>11</v>
      </c>
      <c r="E95" s="4" t="str">
        <f>IF(Table13_1[[#This Row],[smoker]]="yes","smoker","non-smoker")</f>
        <v>non-smoker</v>
      </c>
      <c r="F95" s="4" t="s">
        <v>13</v>
      </c>
      <c r="G95" s="5">
        <v>35</v>
      </c>
      <c r="H95" s="5">
        <f>IF(Table13_1[[#This Row],[smoker]]="yes",1,0)</f>
        <v>0</v>
      </c>
      <c r="I95" s="4">
        <v>34.770000000000003</v>
      </c>
      <c r="J95" s="4">
        <v>2</v>
      </c>
      <c r="K95" s="12">
        <v>5729.0052999999998</v>
      </c>
    </row>
    <row r="96" spans="1:19" x14ac:dyDescent="0.25">
      <c r="A96" s="4" t="s">
        <v>7</v>
      </c>
      <c r="B96" s="4">
        <f>ROUND(Table13_1[[#This Row],[bmi]],1)</f>
        <v>31.3</v>
      </c>
      <c r="C96" s="4" t="str" cm="1">
        <f t="array" ref="C96">_xlfn.IFS(Table13_1[[#This Row],[Round BMI]]&lt;18.5,"Underweight",AND(Table13_1[[#This Row],[Round BMI]]&gt;=18.5,Table13_1[[#This Row],[Round BMI]] &lt;=24.9),"Healthy Weight",AND(Table13_1[[#This Row],[Round BMI]]&gt;=25,Table13_1[[#This Row],[Round BMI]]&lt;=29.9),"Overweight",Table13_1[[#This Row],[Round BMI]]&gt;=30,"Obese")</f>
        <v>Obese</v>
      </c>
      <c r="D96" s="4" t="s">
        <v>8</v>
      </c>
      <c r="E96" s="4" t="str">
        <f>IF(Table13_1[[#This Row],[smoker]]="yes","smoker","non-smoker")</f>
        <v>smoker</v>
      </c>
      <c r="F96" s="4" t="s">
        <v>9</v>
      </c>
      <c r="G96" s="5">
        <v>64</v>
      </c>
      <c r="H96" s="5">
        <f>IF(Table13_1[[#This Row],[smoker]]="yes",1,0)</f>
        <v>1</v>
      </c>
      <c r="I96" s="4">
        <v>31.3</v>
      </c>
      <c r="J96" s="4">
        <v>2</v>
      </c>
      <c r="K96" s="12">
        <v>47291.055</v>
      </c>
    </row>
    <row r="97" spans="1:11" x14ac:dyDescent="0.25">
      <c r="A97" s="4" t="s">
        <v>7</v>
      </c>
      <c r="B97" s="4">
        <f>ROUND(Table13_1[[#This Row],[bmi]],1)</f>
        <v>37.6</v>
      </c>
      <c r="C97" s="4" t="str" cm="1">
        <f t="array" ref="C97">_xlfn.IFS(Table13_1[[#This Row],[Round BMI]]&lt;18.5,"Underweight",AND(Table13_1[[#This Row],[Round BMI]]&gt;=18.5,Table13_1[[#This Row],[Round BMI]] &lt;=24.9),"Healthy Weight",AND(Table13_1[[#This Row],[Round BMI]]&gt;=25,Table13_1[[#This Row],[Round BMI]]&lt;=29.9),"Overweight",Table13_1[[#This Row],[Round BMI]]&gt;=30,"Obese")</f>
        <v>Obese</v>
      </c>
      <c r="D97" s="4" t="s">
        <v>11</v>
      </c>
      <c r="E97" s="4" t="str">
        <f>IF(Table13_1[[#This Row],[smoker]]="yes","smoker","non-smoker")</f>
        <v>non-smoker</v>
      </c>
      <c r="F97" s="4" t="s">
        <v>12</v>
      </c>
      <c r="G97" s="5">
        <v>28</v>
      </c>
      <c r="H97" s="5">
        <f>IF(Table13_1[[#This Row],[smoker]]="yes",1,0)</f>
        <v>0</v>
      </c>
      <c r="I97" s="4">
        <v>37.619999999999997</v>
      </c>
      <c r="J97" s="4">
        <v>1</v>
      </c>
      <c r="K97" s="12">
        <v>3766.8838000000001</v>
      </c>
    </row>
    <row r="98" spans="1:11" x14ac:dyDescent="0.25">
      <c r="A98" s="4" t="s">
        <v>7</v>
      </c>
      <c r="B98" s="4">
        <f>ROUND(Table13_1[[#This Row],[bmi]],1)</f>
        <v>30.8</v>
      </c>
      <c r="C98" s="4" t="str" cm="1">
        <f t="array" ref="C98">_xlfn.IFS(Table13_1[[#This Row],[Round BMI]]&lt;18.5,"Underweight",AND(Table13_1[[#This Row],[Round BMI]]&gt;=18.5,Table13_1[[#This Row],[Round BMI]] &lt;=24.9),"Healthy Weight",AND(Table13_1[[#This Row],[Round BMI]]&gt;=25,Table13_1[[#This Row],[Round BMI]]&lt;=29.9),"Overweight",Table13_1[[#This Row],[Round BMI]]&gt;=30,"Obese")</f>
        <v>Obese</v>
      </c>
      <c r="D98" s="4" t="s">
        <v>11</v>
      </c>
      <c r="E98" s="4" t="str">
        <f>IF(Table13_1[[#This Row],[smoker]]="yes","smoker","non-smoker")</f>
        <v>non-smoker</v>
      </c>
      <c r="F98" s="4" t="s">
        <v>9</v>
      </c>
      <c r="G98" s="5">
        <v>54</v>
      </c>
      <c r="H98" s="5">
        <f>IF(Table13_1[[#This Row],[smoker]]="yes",1,0)</f>
        <v>0</v>
      </c>
      <c r="I98" s="4">
        <v>30.8</v>
      </c>
      <c r="J98" s="4">
        <v>3</v>
      </c>
      <c r="K98" s="12">
        <v>12105.32</v>
      </c>
    </row>
    <row r="99" spans="1:11" x14ac:dyDescent="0.25">
      <c r="A99" s="4" t="s">
        <v>10</v>
      </c>
      <c r="B99" s="4">
        <f>ROUND(Table13_1[[#This Row],[bmi]],1)</f>
        <v>38.299999999999997</v>
      </c>
      <c r="C99" s="4" t="str" cm="1">
        <f t="array" ref="C99">_xlfn.IFS(Table13_1[[#This Row],[Round BMI]]&lt;18.5,"Underweight",AND(Table13_1[[#This Row],[Round BMI]]&gt;=18.5,Table13_1[[#This Row],[Round BMI]] &lt;=24.9),"Healthy Weight",AND(Table13_1[[#This Row],[Round BMI]]&gt;=25,Table13_1[[#This Row],[Round BMI]]&lt;=29.9),"Overweight",Table13_1[[#This Row],[Round BMI]]&gt;=30,"Obese")</f>
        <v>Obese</v>
      </c>
      <c r="D99" s="4" t="s">
        <v>11</v>
      </c>
      <c r="E99" s="4" t="str">
        <f>IF(Table13_1[[#This Row],[smoker]]="yes","smoker","non-smoker")</f>
        <v>non-smoker</v>
      </c>
      <c r="F99" s="4" t="s">
        <v>12</v>
      </c>
      <c r="G99" s="5">
        <v>55</v>
      </c>
      <c r="H99" s="5">
        <f>IF(Table13_1[[#This Row],[smoker]]="yes",1,0)</f>
        <v>0</v>
      </c>
      <c r="I99" s="4">
        <v>38.28</v>
      </c>
      <c r="J99" s="4">
        <v>0</v>
      </c>
      <c r="K99" s="12">
        <v>10226.2842</v>
      </c>
    </row>
    <row r="100" spans="1:11" x14ac:dyDescent="0.25">
      <c r="A100" s="4" t="s">
        <v>10</v>
      </c>
      <c r="B100" s="4">
        <f>ROUND(Table13_1[[#This Row],[bmi]],1)</f>
        <v>20</v>
      </c>
      <c r="C100" s="4" t="str" cm="1">
        <f t="array" ref="C100">_xlfn.IFS(Table13_1[[#This Row],[Round BMI]]&lt;18.5,"Underweight",AND(Table13_1[[#This Row],[Round BMI]]&gt;=18.5,Table13_1[[#This Row],[Round BMI]] &lt;=24.9),"Healthy Weight",AND(Table13_1[[#This Row],[Round BMI]]&gt;=25,Table13_1[[#This Row],[Round BMI]]&lt;=29.9),"Overweight",Table13_1[[#This Row],[Round BMI]]&gt;=30,"Obese")</f>
        <v>Healthy Weight</v>
      </c>
      <c r="D100" s="4" t="s">
        <v>8</v>
      </c>
      <c r="E100" s="4" t="str">
        <f>IF(Table13_1[[#This Row],[smoker]]="yes","smoker","non-smoker")</f>
        <v>smoker</v>
      </c>
      <c r="F100" s="4" t="s">
        <v>14</v>
      </c>
      <c r="G100" s="5">
        <v>56</v>
      </c>
      <c r="H100" s="5">
        <f>IF(Table13_1[[#This Row],[smoker]]="yes",1,0)</f>
        <v>1</v>
      </c>
      <c r="I100" s="4">
        <v>19.95</v>
      </c>
      <c r="J100" s="4">
        <v>0</v>
      </c>
      <c r="K100" s="12">
        <v>22412.648499999999</v>
      </c>
    </row>
    <row r="101" spans="1:11" x14ac:dyDescent="0.25">
      <c r="A101" s="4" t="s">
        <v>10</v>
      </c>
      <c r="B101" s="4">
        <f>ROUND(Table13_1[[#This Row],[bmi]],1)</f>
        <v>19.3</v>
      </c>
      <c r="C101" s="4" t="str" cm="1">
        <f t="array" ref="C101">_xlfn.IFS(Table13_1[[#This Row],[Round BMI]]&lt;18.5,"Underweight",AND(Table13_1[[#This Row],[Round BMI]]&gt;=18.5,Table13_1[[#This Row],[Round BMI]] &lt;=24.9),"Healthy Weight",AND(Table13_1[[#This Row],[Round BMI]]&gt;=25,Table13_1[[#This Row],[Round BMI]]&lt;=29.9),"Overweight",Table13_1[[#This Row],[Round BMI]]&gt;=30,"Obese")</f>
        <v>Healthy Weight</v>
      </c>
      <c r="D101" s="4" t="s">
        <v>8</v>
      </c>
      <c r="E101" s="4" t="str">
        <f>IF(Table13_1[[#This Row],[smoker]]="yes","smoker","non-smoker")</f>
        <v>smoker</v>
      </c>
      <c r="F101" s="4" t="s">
        <v>9</v>
      </c>
      <c r="G101" s="5">
        <v>38</v>
      </c>
      <c r="H101" s="5">
        <f>IF(Table13_1[[#This Row],[smoker]]="yes",1,0)</f>
        <v>1</v>
      </c>
      <c r="I101" s="4">
        <v>19.3</v>
      </c>
      <c r="J101" s="4">
        <v>0</v>
      </c>
      <c r="K101" s="12">
        <v>15820.699000000001</v>
      </c>
    </row>
    <row r="102" spans="1:11" x14ac:dyDescent="0.25">
      <c r="A102" s="4" t="s">
        <v>7</v>
      </c>
      <c r="B102" s="4">
        <f>ROUND(Table13_1[[#This Row],[bmi]],1)</f>
        <v>31.6</v>
      </c>
      <c r="C102" s="4" t="str" cm="1">
        <f t="array" ref="C102">_xlfn.IFS(Table13_1[[#This Row],[Round BMI]]&lt;18.5,"Underweight",AND(Table13_1[[#This Row],[Round BMI]]&gt;=18.5,Table13_1[[#This Row],[Round BMI]] &lt;=24.9),"Healthy Weight",AND(Table13_1[[#This Row],[Round BMI]]&gt;=25,Table13_1[[#This Row],[Round BMI]]&lt;=29.9),"Overweight",Table13_1[[#This Row],[Round BMI]]&gt;=30,"Obese")</f>
        <v>Obese</v>
      </c>
      <c r="D102" s="4" t="s">
        <v>11</v>
      </c>
      <c r="E102" s="4" t="str">
        <f>IF(Table13_1[[#This Row],[smoker]]="yes","smoker","non-smoker")</f>
        <v>non-smoker</v>
      </c>
      <c r="F102" s="4" t="s">
        <v>9</v>
      </c>
      <c r="G102" s="5">
        <v>41</v>
      </c>
      <c r="H102" s="5">
        <f>IF(Table13_1[[#This Row],[smoker]]="yes",1,0)</f>
        <v>0</v>
      </c>
      <c r="I102" s="4">
        <v>31.6</v>
      </c>
      <c r="J102" s="4">
        <v>0</v>
      </c>
      <c r="K102" s="12">
        <v>6186.1270000000004</v>
      </c>
    </row>
    <row r="103" spans="1:11" x14ac:dyDescent="0.25">
      <c r="A103" s="4" t="s">
        <v>10</v>
      </c>
      <c r="B103" s="4">
        <f>ROUND(Table13_1[[#This Row],[bmi]],1)</f>
        <v>25.5</v>
      </c>
      <c r="C103" s="4" t="str" cm="1">
        <f t="array" ref="C103">_xlfn.IFS(Table13_1[[#This Row],[Round BMI]]&lt;18.5,"Underweight",AND(Table13_1[[#This Row],[Round BMI]]&gt;=18.5,Table13_1[[#This Row],[Round BMI]] &lt;=24.9),"Healthy Weight",AND(Table13_1[[#This Row],[Round BMI]]&gt;=25,Table13_1[[#This Row],[Round BMI]]&lt;=29.9),"Overweight",Table13_1[[#This Row],[Round BMI]]&gt;=30,"Obese")</f>
        <v>Overweight</v>
      </c>
      <c r="D103" s="4" t="s">
        <v>11</v>
      </c>
      <c r="E103" s="4" t="str">
        <f>IF(Table13_1[[#This Row],[smoker]]="yes","smoker","non-smoker")</f>
        <v>non-smoker</v>
      </c>
      <c r="F103" s="4" t="s">
        <v>14</v>
      </c>
      <c r="G103" s="5">
        <v>30</v>
      </c>
      <c r="H103" s="5">
        <f>IF(Table13_1[[#This Row],[smoker]]="yes",1,0)</f>
        <v>0</v>
      </c>
      <c r="I103" s="4">
        <v>25.46</v>
      </c>
      <c r="J103" s="4">
        <v>0</v>
      </c>
      <c r="K103" s="12">
        <v>3645.0893999999998</v>
      </c>
    </row>
    <row r="104" spans="1:11" x14ac:dyDescent="0.25">
      <c r="A104" s="4" t="s">
        <v>7</v>
      </c>
      <c r="B104" s="4">
        <f>ROUND(Table13_1[[#This Row],[bmi]],1)</f>
        <v>30.1</v>
      </c>
      <c r="C104" s="4" t="str" cm="1">
        <f t="array" ref="C104">_xlfn.IFS(Table13_1[[#This Row],[Round BMI]]&lt;18.5,"Underweight",AND(Table13_1[[#This Row],[Round BMI]]&gt;=18.5,Table13_1[[#This Row],[Round BMI]] &lt;=24.9),"Healthy Weight",AND(Table13_1[[#This Row],[Round BMI]]&gt;=25,Table13_1[[#This Row],[Round BMI]]&lt;=29.9),"Overweight",Table13_1[[#This Row],[Round BMI]]&gt;=30,"Obese")</f>
        <v>Obese</v>
      </c>
      <c r="D104" s="4" t="s">
        <v>11</v>
      </c>
      <c r="E104" s="4" t="str">
        <f>IF(Table13_1[[#This Row],[smoker]]="yes","smoker","non-smoker")</f>
        <v>non-smoker</v>
      </c>
      <c r="F104" s="4" t="s">
        <v>14</v>
      </c>
      <c r="G104" s="5">
        <v>18</v>
      </c>
      <c r="H104" s="5">
        <f>IF(Table13_1[[#This Row],[smoker]]="yes",1,0)</f>
        <v>0</v>
      </c>
      <c r="I104" s="4">
        <v>30.114999999999998</v>
      </c>
      <c r="J104" s="4">
        <v>0</v>
      </c>
      <c r="K104" s="12">
        <v>21344.846699999998</v>
      </c>
    </row>
    <row r="105" spans="1:11" x14ac:dyDescent="0.25">
      <c r="A105" s="4" t="s">
        <v>7</v>
      </c>
      <c r="B105" s="4">
        <f>ROUND(Table13_1[[#This Row],[bmi]],1)</f>
        <v>29.9</v>
      </c>
      <c r="C105" s="4" t="str" cm="1">
        <f t="array" ref="C105">_xlfn.IFS(Table13_1[[#This Row],[Round BMI]]&lt;18.5,"Underweight",AND(Table13_1[[#This Row],[Round BMI]]&gt;=18.5,Table13_1[[#This Row],[Round BMI]] &lt;=24.9),"Healthy Weight",AND(Table13_1[[#This Row],[Round BMI]]&gt;=25,Table13_1[[#This Row],[Round BMI]]&lt;=29.9),"Overweight",Table13_1[[#This Row],[Round BMI]]&gt;=30,"Obese")</f>
        <v>Overweight</v>
      </c>
      <c r="D105" s="4" t="s">
        <v>8</v>
      </c>
      <c r="E105" s="4" t="str">
        <f>IF(Table13_1[[#This Row],[smoker]]="yes","smoker","non-smoker")</f>
        <v>smoker</v>
      </c>
      <c r="F105" s="4" t="s">
        <v>12</v>
      </c>
      <c r="G105" s="5">
        <v>61</v>
      </c>
      <c r="H105" s="5">
        <f>IF(Table13_1[[#This Row],[smoker]]="yes",1,0)</f>
        <v>1</v>
      </c>
      <c r="I105" s="4">
        <v>29.92</v>
      </c>
      <c r="J105" s="4">
        <v>3</v>
      </c>
      <c r="K105" s="12">
        <v>30942.191800000001</v>
      </c>
    </row>
    <row r="106" spans="1:11" x14ac:dyDescent="0.25">
      <c r="A106" s="4" t="s">
        <v>7</v>
      </c>
      <c r="B106" s="4">
        <f>ROUND(Table13_1[[#This Row],[bmi]],1)</f>
        <v>27.5</v>
      </c>
      <c r="C106" s="4" t="str" cm="1">
        <f t="array" ref="C106">_xlfn.IFS(Table13_1[[#This Row],[Round BMI]]&lt;18.5,"Underweight",AND(Table13_1[[#This Row],[Round BMI]]&gt;=18.5,Table13_1[[#This Row],[Round BMI]] &lt;=24.9),"Healthy Weight",AND(Table13_1[[#This Row],[Round BMI]]&gt;=25,Table13_1[[#This Row],[Round BMI]]&lt;=29.9),"Overweight",Table13_1[[#This Row],[Round BMI]]&gt;=30,"Obese")</f>
        <v>Overweight</v>
      </c>
      <c r="D106" s="4" t="s">
        <v>11</v>
      </c>
      <c r="E106" s="4" t="str">
        <f>IF(Table13_1[[#This Row],[smoker]]="yes","smoker","non-smoker")</f>
        <v>non-smoker</v>
      </c>
      <c r="F106" s="4" t="s">
        <v>9</v>
      </c>
      <c r="G106" s="5">
        <v>34</v>
      </c>
      <c r="H106" s="5">
        <f>IF(Table13_1[[#This Row],[smoker]]="yes",1,0)</f>
        <v>0</v>
      </c>
      <c r="I106" s="4">
        <v>27.5</v>
      </c>
      <c r="J106" s="4">
        <v>1</v>
      </c>
      <c r="K106" s="12">
        <v>5003.8530000000001</v>
      </c>
    </row>
    <row r="107" spans="1:11" x14ac:dyDescent="0.25">
      <c r="A107" s="4" t="s">
        <v>10</v>
      </c>
      <c r="B107" s="4">
        <f>ROUND(Table13_1[[#This Row],[bmi]],1)</f>
        <v>28</v>
      </c>
      <c r="C107" s="4" t="str" cm="1">
        <f t="array" ref="C107">_xlfn.IFS(Table13_1[[#This Row],[Round BMI]]&lt;18.5,"Underweight",AND(Table13_1[[#This Row],[Round BMI]]&gt;=18.5,Table13_1[[#This Row],[Round BMI]] &lt;=24.9),"Healthy Weight",AND(Table13_1[[#This Row],[Round BMI]]&gt;=25,Table13_1[[#This Row],[Round BMI]]&lt;=29.9),"Overweight",Table13_1[[#This Row],[Round BMI]]&gt;=30,"Obese")</f>
        <v>Overweight</v>
      </c>
      <c r="D107" s="4" t="s">
        <v>8</v>
      </c>
      <c r="E107" s="4" t="str">
        <f>IF(Table13_1[[#This Row],[smoker]]="yes","smoker","non-smoker")</f>
        <v>smoker</v>
      </c>
      <c r="F107" s="4" t="s">
        <v>13</v>
      </c>
      <c r="G107" s="5">
        <v>20</v>
      </c>
      <c r="H107" s="5">
        <f>IF(Table13_1[[#This Row],[smoker]]="yes",1,0)</f>
        <v>1</v>
      </c>
      <c r="I107" s="4">
        <v>28.024999999999999</v>
      </c>
      <c r="J107" s="4">
        <v>1</v>
      </c>
      <c r="K107" s="12">
        <v>17560.379799999999</v>
      </c>
    </row>
    <row r="108" spans="1:11" x14ac:dyDescent="0.25">
      <c r="A108" s="4" t="s">
        <v>7</v>
      </c>
      <c r="B108" s="4">
        <f>ROUND(Table13_1[[#This Row],[bmi]],1)</f>
        <v>28.4</v>
      </c>
      <c r="C108" s="4" t="str" cm="1">
        <f t="array" ref="C108">_xlfn.IFS(Table13_1[[#This Row],[Round BMI]]&lt;18.5,"Underweight",AND(Table13_1[[#This Row],[Round BMI]]&gt;=18.5,Table13_1[[#This Row],[Round BMI]] &lt;=24.9),"Healthy Weight",AND(Table13_1[[#This Row],[Round BMI]]&gt;=25,Table13_1[[#This Row],[Round BMI]]&lt;=29.9),"Overweight",Table13_1[[#This Row],[Round BMI]]&gt;=30,"Obese")</f>
        <v>Overweight</v>
      </c>
      <c r="D108" s="4" t="s">
        <v>11</v>
      </c>
      <c r="E108" s="4" t="str">
        <f>IF(Table13_1[[#This Row],[smoker]]="yes","smoker","non-smoker")</f>
        <v>non-smoker</v>
      </c>
      <c r="F108" s="4" t="s">
        <v>9</v>
      </c>
      <c r="G108" s="5">
        <v>19</v>
      </c>
      <c r="H108" s="5">
        <f>IF(Table13_1[[#This Row],[smoker]]="yes",1,0)</f>
        <v>0</v>
      </c>
      <c r="I108" s="4">
        <v>28.4</v>
      </c>
      <c r="J108" s="4">
        <v>1</v>
      </c>
      <c r="K108" s="12">
        <v>2331.5189999999998</v>
      </c>
    </row>
    <row r="109" spans="1:11" x14ac:dyDescent="0.25">
      <c r="A109" s="4" t="s">
        <v>10</v>
      </c>
      <c r="B109" s="4">
        <f>ROUND(Table13_1[[#This Row],[bmi]],1)</f>
        <v>30.9</v>
      </c>
      <c r="C109" s="4" t="str" cm="1">
        <f t="array" ref="C109">_xlfn.IFS(Table13_1[[#This Row],[Round BMI]]&lt;18.5,"Underweight",AND(Table13_1[[#This Row],[Round BMI]]&gt;=18.5,Table13_1[[#This Row],[Round BMI]] &lt;=24.9),"Healthy Weight",AND(Table13_1[[#This Row],[Round BMI]]&gt;=25,Table13_1[[#This Row],[Round BMI]]&lt;=29.9),"Overweight",Table13_1[[#This Row],[Round BMI]]&gt;=30,"Obese")</f>
        <v>Obese</v>
      </c>
      <c r="D109" s="4" t="s">
        <v>11</v>
      </c>
      <c r="E109" s="4" t="str">
        <f>IF(Table13_1[[#This Row],[smoker]]="yes","smoker","non-smoker")</f>
        <v>non-smoker</v>
      </c>
      <c r="F109" s="4" t="s">
        <v>13</v>
      </c>
      <c r="G109" s="5">
        <v>26</v>
      </c>
      <c r="H109" s="5">
        <f>IF(Table13_1[[#This Row],[smoker]]="yes",1,0)</f>
        <v>0</v>
      </c>
      <c r="I109" s="4">
        <v>30.875</v>
      </c>
      <c r="J109" s="4">
        <v>2</v>
      </c>
      <c r="K109" s="12">
        <v>3877.3042</v>
      </c>
    </row>
    <row r="110" spans="1:11" x14ac:dyDescent="0.25">
      <c r="A110" s="4" t="s">
        <v>10</v>
      </c>
      <c r="B110" s="4">
        <f>ROUND(Table13_1[[#This Row],[bmi]],1)</f>
        <v>27.9</v>
      </c>
      <c r="C110" s="4" t="str" cm="1">
        <f t="array" ref="C110">_xlfn.IFS(Table13_1[[#This Row],[Round BMI]]&lt;18.5,"Underweight",AND(Table13_1[[#This Row],[Round BMI]]&gt;=18.5,Table13_1[[#This Row],[Round BMI]] &lt;=24.9),"Healthy Weight",AND(Table13_1[[#This Row],[Round BMI]]&gt;=25,Table13_1[[#This Row],[Round BMI]]&lt;=29.9),"Overweight",Table13_1[[#This Row],[Round BMI]]&gt;=30,"Obese")</f>
        <v>Overweight</v>
      </c>
      <c r="D110" s="4" t="s">
        <v>11</v>
      </c>
      <c r="E110" s="4" t="str">
        <f>IF(Table13_1[[#This Row],[smoker]]="yes","smoker","non-smoker")</f>
        <v>non-smoker</v>
      </c>
      <c r="F110" s="4" t="s">
        <v>12</v>
      </c>
      <c r="G110" s="5">
        <v>29</v>
      </c>
      <c r="H110" s="5">
        <f>IF(Table13_1[[#This Row],[smoker]]="yes",1,0)</f>
        <v>0</v>
      </c>
      <c r="I110" s="4">
        <v>27.94</v>
      </c>
      <c r="J110" s="4">
        <v>0</v>
      </c>
      <c r="K110" s="12">
        <v>2867.1196</v>
      </c>
    </row>
    <row r="111" spans="1:11" x14ac:dyDescent="0.25">
      <c r="A111" s="4" t="s">
        <v>10</v>
      </c>
      <c r="B111" s="4">
        <f>ROUND(Table13_1[[#This Row],[bmi]],1)</f>
        <v>35.1</v>
      </c>
      <c r="C111" s="4" t="str" cm="1">
        <f t="array" ref="C111">_xlfn.IFS(Table13_1[[#This Row],[Round BMI]]&lt;18.5,"Underweight",AND(Table13_1[[#This Row],[Round BMI]]&gt;=18.5,Table13_1[[#This Row],[Round BMI]] &lt;=24.9),"Healthy Weight",AND(Table13_1[[#This Row],[Round BMI]]&gt;=25,Table13_1[[#This Row],[Round BMI]]&lt;=29.9),"Overweight",Table13_1[[#This Row],[Round BMI]]&gt;=30,"Obese")</f>
        <v>Obese</v>
      </c>
      <c r="D111" s="4" t="s">
        <v>8</v>
      </c>
      <c r="E111" s="4" t="str">
        <f>IF(Table13_1[[#This Row],[smoker]]="yes","smoker","non-smoker")</f>
        <v>smoker</v>
      </c>
      <c r="F111" s="4" t="s">
        <v>12</v>
      </c>
      <c r="G111" s="5">
        <v>63</v>
      </c>
      <c r="H111" s="5">
        <f>IF(Table13_1[[#This Row],[smoker]]="yes",1,0)</f>
        <v>1</v>
      </c>
      <c r="I111" s="4">
        <v>35.090000000000003</v>
      </c>
      <c r="J111" s="4">
        <v>0</v>
      </c>
      <c r="K111" s="12">
        <v>47055.532099999997</v>
      </c>
    </row>
    <row r="112" spans="1:11" x14ac:dyDescent="0.25">
      <c r="A112" s="4" t="s">
        <v>10</v>
      </c>
      <c r="B112" s="4">
        <f>ROUND(Table13_1[[#This Row],[bmi]],1)</f>
        <v>33.6</v>
      </c>
      <c r="C112" s="4" t="str" cm="1">
        <f t="array" ref="C112">_xlfn.IFS(Table13_1[[#This Row],[Round BMI]]&lt;18.5,"Underweight",AND(Table13_1[[#This Row],[Round BMI]]&gt;=18.5,Table13_1[[#This Row],[Round BMI]] &lt;=24.9),"Healthy Weight",AND(Table13_1[[#This Row],[Round BMI]]&gt;=25,Table13_1[[#This Row],[Round BMI]]&lt;=29.9),"Overweight",Table13_1[[#This Row],[Round BMI]]&gt;=30,"Obese")</f>
        <v>Obese</v>
      </c>
      <c r="D112" s="4" t="s">
        <v>11</v>
      </c>
      <c r="E112" s="4" t="str">
        <f>IF(Table13_1[[#This Row],[smoker]]="yes","smoker","non-smoker")</f>
        <v>non-smoker</v>
      </c>
      <c r="F112" s="4" t="s">
        <v>13</v>
      </c>
      <c r="G112" s="5">
        <v>54</v>
      </c>
      <c r="H112" s="5">
        <f>IF(Table13_1[[#This Row],[smoker]]="yes",1,0)</f>
        <v>0</v>
      </c>
      <c r="I112" s="4">
        <v>33.630000000000003</v>
      </c>
      <c r="J112" s="4">
        <v>1</v>
      </c>
      <c r="K112" s="12">
        <v>10825.253699999999</v>
      </c>
    </row>
    <row r="113" spans="1:11" x14ac:dyDescent="0.25">
      <c r="A113" s="4" t="s">
        <v>7</v>
      </c>
      <c r="B113" s="4">
        <f>ROUND(Table13_1[[#This Row],[bmi]],1)</f>
        <v>29.7</v>
      </c>
      <c r="C113" s="4" t="str" cm="1">
        <f t="array" ref="C113">_xlfn.IFS(Table13_1[[#This Row],[Round BMI]]&lt;18.5,"Underweight",AND(Table13_1[[#This Row],[Round BMI]]&gt;=18.5,Table13_1[[#This Row],[Round BMI]] &lt;=24.9),"Healthy Weight",AND(Table13_1[[#This Row],[Round BMI]]&gt;=25,Table13_1[[#This Row],[Round BMI]]&lt;=29.9),"Overweight",Table13_1[[#This Row],[Round BMI]]&gt;=30,"Obese")</f>
        <v>Overweight</v>
      </c>
      <c r="D113" s="4" t="s">
        <v>11</v>
      </c>
      <c r="E113" s="4" t="str">
        <f>IF(Table13_1[[#This Row],[smoker]]="yes","smoker","non-smoker")</f>
        <v>non-smoker</v>
      </c>
      <c r="F113" s="4" t="s">
        <v>9</v>
      </c>
      <c r="G113" s="5">
        <v>55</v>
      </c>
      <c r="H113" s="5">
        <f>IF(Table13_1[[#This Row],[smoker]]="yes",1,0)</f>
        <v>0</v>
      </c>
      <c r="I113" s="4">
        <v>29.7</v>
      </c>
      <c r="J113" s="4">
        <v>2</v>
      </c>
      <c r="K113" s="12">
        <v>11881.358</v>
      </c>
    </row>
    <row r="114" spans="1:11" x14ac:dyDescent="0.25">
      <c r="A114" s="4" t="s">
        <v>10</v>
      </c>
      <c r="B114" s="4">
        <f>ROUND(Table13_1[[#This Row],[bmi]],1)</f>
        <v>30.8</v>
      </c>
      <c r="C114" s="4" t="str" cm="1">
        <f t="array" ref="C114">_xlfn.IFS(Table13_1[[#This Row],[Round BMI]]&lt;18.5,"Underweight",AND(Table13_1[[#This Row],[Round BMI]]&gt;=18.5,Table13_1[[#This Row],[Round BMI]] &lt;=24.9),"Healthy Weight",AND(Table13_1[[#This Row],[Round BMI]]&gt;=25,Table13_1[[#This Row],[Round BMI]]&lt;=29.9),"Overweight",Table13_1[[#This Row],[Round BMI]]&gt;=30,"Obese")</f>
        <v>Obese</v>
      </c>
      <c r="D114" s="4" t="s">
        <v>11</v>
      </c>
      <c r="E114" s="4" t="str">
        <f>IF(Table13_1[[#This Row],[smoker]]="yes","smoker","non-smoker")</f>
        <v>non-smoker</v>
      </c>
      <c r="F114" s="4" t="s">
        <v>9</v>
      </c>
      <c r="G114" s="5">
        <v>37</v>
      </c>
      <c r="H114" s="5">
        <f>IF(Table13_1[[#This Row],[smoker]]="yes",1,0)</f>
        <v>0</v>
      </c>
      <c r="I114" s="4">
        <v>30.8</v>
      </c>
      <c r="J114" s="4">
        <v>0</v>
      </c>
      <c r="K114" s="12">
        <v>4646.759</v>
      </c>
    </row>
    <row r="115" spans="1:11" x14ac:dyDescent="0.25">
      <c r="A115" s="4" t="s">
        <v>7</v>
      </c>
      <c r="B115" s="4">
        <f>ROUND(Table13_1[[#This Row],[bmi]],1)</f>
        <v>35.700000000000003</v>
      </c>
      <c r="C115" s="4" t="str" cm="1">
        <f t="array" ref="C115">_xlfn.IFS(Table13_1[[#This Row],[Round BMI]]&lt;18.5,"Underweight",AND(Table13_1[[#This Row],[Round BMI]]&gt;=18.5,Table13_1[[#This Row],[Round BMI]] &lt;=24.9),"Healthy Weight",AND(Table13_1[[#This Row],[Round BMI]]&gt;=25,Table13_1[[#This Row],[Round BMI]]&lt;=29.9),"Overweight",Table13_1[[#This Row],[Round BMI]]&gt;=30,"Obese")</f>
        <v>Obese</v>
      </c>
      <c r="D115" s="4" t="s">
        <v>11</v>
      </c>
      <c r="E115" s="4" t="str">
        <f>IF(Table13_1[[#This Row],[smoker]]="yes","smoker","non-smoker")</f>
        <v>non-smoker</v>
      </c>
      <c r="F115" s="4" t="s">
        <v>13</v>
      </c>
      <c r="G115" s="5">
        <v>21</v>
      </c>
      <c r="H115" s="5">
        <f>IF(Table13_1[[#This Row],[smoker]]="yes",1,0)</f>
        <v>0</v>
      </c>
      <c r="I115" s="4">
        <v>35.72</v>
      </c>
      <c r="J115" s="4">
        <v>0</v>
      </c>
      <c r="K115" s="12">
        <v>2404.7338</v>
      </c>
    </row>
    <row r="116" spans="1:11" x14ac:dyDescent="0.25">
      <c r="A116" s="4" t="s">
        <v>10</v>
      </c>
      <c r="B116" s="4">
        <f>ROUND(Table13_1[[#This Row],[bmi]],1)</f>
        <v>32.200000000000003</v>
      </c>
      <c r="C116" s="4" t="str" cm="1">
        <f t="array" ref="C116">_xlfn.IFS(Table13_1[[#This Row],[Round BMI]]&lt;18.5,"Underweight",AND(Table13_1[[#This Row],[Round BMI]]&gt;=18.5,Table13_1[[#This Row],[Round BMI]] &lt;=24.9),"Healthy Weight",AND(Table13_1[[#This Row],[Round BMI]]&gt;=25,Table13_1[[#This Row],[Round BMI]]&lt;=29.9),"Overweight",Table13_1[[#This Row],[Round BMI]]&gt;=30,"Obese")</f>
        <v>Obese</v>
      </c>
      <c r="D116" s="4" t="s">
        <v>11</v>
      </c>
      <c r="E116" s="4" t="str">
        <f>IF(Table13_1[[#This Row],[smoker]]="yes","smoker","non-smoker")</f>
        <v>non-smoker</v>
      </c>
      <c r="F116" s="4" t="s">
        <v>14</v>
      </c>
      <c r="G116" s="5">
        <v>52</v>
      </c>
      <c r="H116" s="5">
        <f>IF(Table13_1[[#This Row],[smoker]]="yes",1,0)</f>
        <v>0</v>
      </c>
      <c r="I116" s="4">
        <v>32.204999999999998</v>
      </c>
      <c r="J116" s="4">
        <v>3</v>
      </c>
      <c r="K116" s="12">
        <v>11488.316999999999</v>
      </c>
    </row>
    <row r="117" spans="1:11" x14ac:dyDescent="0.25">
      <c r="A117" s="4" t="s">
        <v>10</v>
      </c>
      <c r="B117" s="4">
        <f>ROUND(Table13_1[[#This Row],[bmi]],1)</f>
        <v>28.6</v>
      </c>
      <c r="C117" s="4" t="str" cm="1">
        <f t="array" ref="C117">_xlfn.IFS(Table13_1[[#This Row],[Round BMI]]&lt;18.5,"Underweight",AND(Table13_1[[#This Row],[Round BMI]]&gt;=18.5,Table13_1[[#This Row],[Round BMI]] &lt;=24.9),"Healthy Weight",AND(Table13_1[[#This Row],[Round BMI]]&gt;=25,Table13_1[[#This Row],[Round BMI]]&lt;=29.9),"Overweight",Table13_1[[#This Row],[Round BMI]]&gt;=30,"Obese")</f>
        <v>Overweight</v>
      </c>
      <c r="D117" s="4" t="s">
        <v>11</v>
      </c>
      <c r="E117" s="4" t="str">
        <f>IF(Table13_1[[#This Row],[smoker]]="yes","smoker","non-smoker")</f>
        <v>non-smoker</v>
      </c>
      <c r="F117" s="4" t="s">
        <v>14</v>
      </c>
      <c r="G117" s="5">
        <v>60</v>
      </c>
      <c r="H117" s="5">
        <f>IF(Table13_1[[#This Row],[smoker]]="yes",1,0)</f>
        <v>0</v>
      </c>
      <c r="I117" s="4">
        <v>28.594999999999999</v>
      </c>
      <c r="J117" s="4">
        <v>0</v>
      </c>
      <c r="K117" s="12">
        <v>30259.995599999998</v>
      </c>
    </row>
    <row r="118" spans="1:11" x14ac:dyDescent="0.25">
      <c r="A118" s="4" t="s">
        <v>10</v>
      </c>
      <c r="B118" s="4">
        <f>ROUND(Table13_1[[#This Row],[bmi]],1)</f>
        <v>49.1</v>
      </c>
      <c r="C118" s="4" t="str" cm="1">
        <f t="array" ref="C118">_xlfn.IFS(Table13_1[[#This Row],[Round BMI]]&lt;18.5,"Underweight",AND(Table13_1[[#This Row],[Round BMI]]&gt;=18.5,Table13_1[[#This Row],[Round BMI]] &lt;=24.9),"Healthy Weight",AND(Table13_1[[#This Row],[Round BMI]]&gt;=25,Table13_1[[#This Row],[Round BMI]]&lt;=29.9),"Overweight",Table13_1[[#This Row],[Round BMI]]&gt;=30,"Obese")</f>
        <v>Obese</v>
      </c>
      <c r="D118" s="4" t="s">
        <v>11</v>
      </c>
      <c r="E118" s="4" t="str">
        <f>IF(Table13_1[[#This Row],[smoker]]="yes","smoker","non-smoker")</f>
        <v>non-smoker</v>
      </c>
      <c r="F118" s="4" t="s">
        <v>12</v>
      </c>
      <c r="G118" s="5">
        <v>58</v>
      </c>
      <c r="H118" s="5">
        <f>IF(Table13_1[[#This Row],[smoker]]="yes",1,0)</f>
        <v>0</v>
      </c>
      <c r="I118" s="4">
        <v>49.06</v>
      </c>
      <c r="J118" s="4">
        <v>0</v>
      </c>
      <c r="K118" s="12">
        <v>11381.3254</v>
      </c>
    </row>
    <row r="119" spans="1:11" x14ac:dyDescent="0.25">
      <c r="A119" s="4" t="s">
        <v>7</v>
      </c>
      <c r="B119" s="4">
        <f>ROUND(Table13_1[[#This Row],[bmi]],1)</f>
        <v>27.9</v>
      </c>
      <c r="C119" s="4" t="str" cm="1">
        <f t="array" ref="C119">_xlfn.IFS(Table13_1[[#This Row],[Round BMI]]&lt;18.5,"Underweight",AND(Table13_1[[#This Row],[Round BMI]]&gt;=18.5,Table13_1[[#This Row],[Round BMI]] &lt;=24.9),"Healthy Weight",AND(Table13_1[[#This Row],[Round BMI]]&gt;=25,Table13_1[[#This Row],[Round BMI]]&lt;=29.9),"Overweight",Table13_1[[#This Row],[Round BMI]]&gt;=30,"Obese")</f>
        <v>Overweight</v>
      </c>
      <c r="D119" s="4" t="s">
        <v>8</v>
      </c>
      <c r="E119" s="4" t="str">
        <f>IF(Table13_1[[#This Row],[smoker]]="yes","smoker","non-smoker")</f>
        <v>smoker</v>
      </c>
      <c r="F119" s="4" t="s">
        <v>12</v>
      </c>
      <c r="G119" s="5">
        <v>29</v>
      </c>
      <c r="H119" s="5">
        <f>IF(Table13_1[[#This Row],[smoker]]="yes",1,0)</f>
        <v>1</v>
      </c>
      <c r="I119" s="4">
        <v>27.94</v>
      </c>
      <c r="J119" s="4">
        <v>1</v>
      </c>
      <c r="K119" s="12">
        <v>19107.779600000002</v>
      </c>
    </row>
    <row r="120" spans="1:11" x14ac:dyDescent="0.25">
      <c r="A120" s="4" t="s">
        <v>7</v>
      </c>
      <c r="B120" s="4">
        <f>ROUND(Table13_1[[#This Row],[bmi]],1)</f>
        <v>27.2</v>
      </c>
      <c r="C120" s="4" t="str" cm="1">
        <f t="array" ref="C120">_xlfn.IFS(Table13_1[[#This Row],[Round BMI]]&lt;18.5,"Underweight",AND(Table13_1[[#This Row],[Round BMI]]&gt;=18.5,Table13_1[[#This Row],[Round BMI]] &lt;=24.9),"Healthy Weight",AND(Table13_1[[#This Row],[Round BMI]]&gt;=25,Table13_1[[#This Row],[Round BMI]]&lt;=29.9),"Overweight",Table13_1[[#This Row],[Round BMI]]&gt;=30,"Obese")</f>
        <v>Overweight</v>
      </c>
      <c r="D120" s="4" t="s">
        <v>11</v>
      </c>
      <c r="E120" s="4" t="str">
        <f>IF(Table13_1[[#This Row],[smoker]]="yes","smoker","non-smoker")</f>
        <v>non-smoker</v>
      </c>
      <c r="F120" s="4" t="s">
        <v>12</v>
      </c>
      <c r="G120" s="5">
        <v>49</v>
      </c>
      <c r="H120" s="5">
        <f>IF(Table13_1[[#This Row],[smoker]]="yes",1,0)</f>
        <v>0</v>
      </c>
      <c r="I120" s="4">
        <v>27.17</v>
      </c>
      <c r="J120" s="4">
        <v>0</v>
      </c>
      <c r="K120" s="12">
        <v>8601.3292999999994</v>
      </c>
    </row>
    <row r="121" spans="1:11" x14ac:dyDescent="0.25">
      <c r="A121" s="4" t="s">
        <v>7</v>
      </c>
      <c r="B121" s="4">
        <f>ROUND(Table13_1[[#This Row],[bmi]],1)</f>
        <v>23.4</v>
      </c>
      <c r="C121" s="4" t="str" cm="1">
        <f t="array" ref="C121">_xlfn.IFS(Table13_1[[#This Row],[Round BMI]]&lt;18.5,"Underweight",AND(Table13_1[[#This Row],[Round BMI]]&gt;=18.5,Table13_1[[#This Row],[Round BMI]] &lt;=24.9),"Healthy Weight",AND(Table13_1[[#This Row],[Round BMI]]&gt;=25,Table13_1[[#This Row],[Round BMI]]&lt;=29.9),"Overweight",Table13_1[[#This Row],[Round BMI]]&gt;=30,"Obese")</f>
        <v>Healthy Weight</v>
      </c>
      <c r="D121" s="4" t="s">
        <v>11</v>
      </c>
      <c r="E121" s="4" t="str">
        <f>IF(Table13_1[[#This Row],[smoker]]="yes","smoker","non-smoker")</f>
        <v>non-smoker</v>
      </c>
      <c r="F121" s="4" t="s">
        <v>13</v>
      </c>
      <c r="G121" s="5">
        <v>37</v>
      </c>
      <c r="H121" s="5">
        <f>IF(Table13_1[[#This Row],[smoker]]="yes",1,0)</f>
        <v>0</v>
      </c>
      <c r="I121" s="4">
        <v>23.37</v>
      </c>
      <c r="J121" s="4">
        <v>2</v>
      </c>
      <c r="K121" s="12">
        <v>6686.4313000000002</v>
      </c>
    </row>
    <row r="122" spans="1:11" x14ac:dyDescent="0.25">
      <c r="A122" s="4" t="s">
        <v>10</v>
      </c>
      <c r="B122" s="4">
        <f>ROUND(Table13_1[[#This Row],[bmi]],1)</f>
        <v>37.1</v>
      </c>
      <c r="C122" s="4" t="str" cm="1">
        <f t="array" ref="C122">_xlfn.IFS(Table13_1[[#This Row],[Round BMI]]&lt;18.5,"Underweight",AND(Table13_1[[#This Row],[Round BMI]]&gt;=18.5,Table13_1[[#This Row],[Round BMI]] &lt;=24.9),"Healthy Weight",AND(Table13_1[[#This Row],[Round BMI]]&gt;=25,Table13_1[[#This Row],[Round BMI]]&lt;=29.9),"Overweight",Table13_1[[#This Row],[Round BMI]]&gt;=30,"Obese")</f>
        <v>Obese</v>
      </c>
      <c r="D122" s="4" t="s">
        <v>11</v>
      </c>
      <c r="E122" s="4" t="str">
        <f>IF(Table13_1[[#This Row],[smoker]]="yes","smoker","non-smoker")</f>
        <v>non-smoker</v>
      </c>
      <c r="F122" s="4" t="s">
        <v>9</v>
      </c>
      <c r="G122" s="5">
        <v>44</v>
      </c>
      <c r="H122" s="5">
        <f>IF(Table13_1[[#This Row],[smoker]]="yes",1,0)</f>
        <v>0</v>
      </c>
      <c r="I122" s="4">
        <v>37.1</v>
      </c>
      <c r="J122" s="4">
        <v>2</v>
      </c>
      <c r="K122" s="12">
        <v>7740.3370000000004</v>
      </c>
    </row>
    <row r="123" spans="1:11" x14ac:dyDescent="0.25">
      <c r="A123" s="4" t="s">
        <v>10</v>
      </c>
      <c r="B123" s="4">
        <f>ROUND(Table13_1[[#This Row],[bmi]],1)</f>
        <v>23.8</v>
      </c>
      <c r="C123" s="4" t="str" cm="1">
        <f t="array" ref="C123">_xlfn.IFS(Table13_1[[#This Row],[Round BMI]]&lt;18.5,"Underweight",AND(Table13_1[[#This Row],[Round BMI]]&gt;=18.5,Table13_1[[#This Row],[Round BMI]] &lt;=24.9),"Healthy Weight",AND(Table13_1[[#This Row],[Round BMI]]&gt;=25,Table13_1[[#This Row],[Round BMI]]&lt;=29.9),"Overweight",Table13_1[[#This Row],[Round BMI]]&gt;=30,"Obese")</f>
        <v>Healthy Weight</v>
      </c>
      <c r="D123" s="4" t="s">
        <v>11</v>
      </c>
      <c r="E123" s="4" t="str">
        <f>IF(Table13_1[[#This Row],[smoker]]="yes","smoker","non-smoker")</f>
        <v>non-smoker</v>
      </c>
      <c r="F123" s="4" t="s">
        <v>14</v>
      </c>
      <c r="G123" s="5">
        <v>18</v>
      </c>
      <c r="H123" s="5">
        <f>IF(Table13_1[[#This Row],[smoker]]="yes",1,0)</f>
        <v>0</v>
      </c>
      <c r="I123" s="4">
        <v>23.75</v>
      </c>
      <c r="J123" s="4">
        <v>0</v>
      </c>
      <c r="K123" s="12">
        <v>1705.6244999999999</v>
      </c>
    </row>
    <row r="124" spans="1:11" x14ac:dyDescent="0.25">
      <c r="A124" s="4" t="s">
        <v>7</v>
      </c>
      <c r="B124" s="4">
        <f>ROUND(Table13_1[[#This Row],[bmi]],1)</f>
        <v>29</v>
      </c>
      <c r="C124" s="4" t="str" cm="1">
        <f t="array" ref="C124">_xlfn.IFS(Table13_1[[#This Row],[Round BMI]]&lt;18.5,"Underweight",AND(Table13_1[[#This Row],[Round BMI]]&gt;=18.5,Table13_1[[#This Row],[Round BMI]] &lt;=24.9),"Healthy Weight",AND(Table13_1[[#This Row],[Round BMI]]&gt;=25,Table13_1[[#This Row],[Round BMI]]&lt;=29.9),"Overweight",Table13_1[[#This Row],[Round BMI]]&gt;=30,"Obese")</f>
        <v>Overweight</v>
      </c>
      <c r="D124" s="4" t="s">
        <v>11</v>
      </c>
      <c r="E124" s="4" t="str">
        <f>IF(Table13_1[[#This Row],[smoker]]="yes","smoker","non-smoker")</f>
        <v>non-smoker</v>
      </c>
      <c r="F124" s="4" t="s">
        <v>13</v>
      </c>
      <c r="G124" s="5">
        <v>20</v>
      </c>
      <c r="H124" s="5">
        <f>IF(Table13_1[[#This Row],[smoker]]="yes",1,0)</f>
        <v>0</v>
      </c>
      <c r="I124" s="4">
        <v>28.975000000000001</v>
      </c>
      <c r="J124" s="4">
        <v>0</v>
      </c>
      <c r="K124" s="12">
        <v>2257.4751999999999</v>
      </c>
    </row>
    <row r="125" spans="1:11" x14ac:dyDescent="0.25">
      <c r="A125" s="4" t="s">
        <v>10</v>
      </c>
      <c r="B125" s="4">
        <f>ROUND(Table13_1[[#This Row],[bmi]],1)</f>
        <v>31.4</v>
      </c>
      <c r="C125" s="4" t="str" cm="1">
        <f t="array" ref="C125">_xlfn.IFS(Table13_1[[#This Row],[Round BMI]]&lt;18.5,"Underweight",AND(Table13_1[[#This Row],[Round BMI]]&gt;=18.5,Table13_1[[#This Row],[Round BMI]] &lt;=24.9),"Healthy Weight",AND(Table13_1[[#This Row],[Round BMI]]&gt;=25,Table13_1[[#This Row],[Round BMI]]&lt;=29.9),"Overweight",Table13_1[[#This Row],[Round BMI]]&gt;=30,"Obese")</f>
        <v>Obese</v>
      </c>
      <c r="D125" s="4" t="s">
        <v>8</v>
      </c>
      <c r="E125" s="4" t="str">
        <f>IF(Table13_1[[#This Row],[smoker]]="yes","smoker","non-smoker")</f>
        <v>smoker</v>
      </c>
      <c r="F125" s="4" t="s">
        <v>14</v>
      </c>
      <c r="G125" s="5">
        <v>44</v>
      </c>
      <c r="H125" s="5">
        <f>IF(Table13_1[[#This Row],[smoker]]="yes",1,0)</f>
        <v>1</v>
      </c>
      <c r="I125" s="4">
        <v>31.35</v>
      </c>
      <c r="J125" s="4">
        <v>1</v>
      </c>
      <c r="K125" s="12">
        <v>39556.494500000001</v>
      </c>
    </row>
    <row r="126" spans="1:11" x14ac:dyDescent="0.25">
      <c r="A126" s="4" t="s">
        <v>7</v>
      </c>
      <c r="B126" s="4">
        <f>ROUND(Table13_1[[#This Row],[bmi]],1)</f>
        <v>33.9</v>
      </c>
      <c r="C126" s="4" t="str" cm="1">
        <f t="array" ref="C126">_xlfn.IFS(Table13_1[[#This Row],[Round BMI]]&lt;18.5,"Underweight",AND(Table13_1[[#This Row],[Round BMI]]&gt;=18.5,Table13_1[[#This Row],[Round BMI]] &lt;=24.9),"Healthy Weight",AND(Table13_1[[#This Row],[Round BMI]]&gt;=25,Table13_1[[#This Row],[Round BMI]]&lt;=29.9),"Overweight",Table13_1[[#This Row],[Round BMI]]&gt;=30,"Obese")</f>
        <v>Obese</v>
      </c>
      <c r="D126" s="4" t="s">
        <v>11</v>
      </c>
      <c r="E126" s="4" t="str">
        <f>IF(Table13_1[[#This Row],[smoker]]="yes","smoker","non-smoker")</f>
        <v>non-smoker</v>
      </c>
      <c r="F126" s="4" t="s">
        <v>13</v>
      </c>
      <c r="G126" s="5">
        <v>47</v>
      </c>
      <c r="H126" s="5">
        <f>IF(Table13_1[[#This Row],[smoker]]="yes",1,0)</f>
        <v>0</v>
      </c>
      <c r="I126" s="4">
        <v>33.914999999999999</v>
      </c>
      <c r="J126" s="4">
        <v>3</v>
      </c>
      <c r="K126" s="12">
        <v>10115.0088</v>
      </c>
    </row>
    <row r="127" spans="1:11" x14ac:dyDescent="0.25">
      <c r="A127" s="4" t="s">
        <v>7</v>
      </c>
      <c r="B127" s="4">
        <f>ROUND(Table13_1[[#This Row],[bmi]],1)</f>
        <v>28.8</v>
      </c>
      <c r="C127" s="4" t="str" cm="1">
        <f t="array" ref="C127">_xlfn.IFS(Table13_1[[#This Row],[Round BMI]]&lt;18.5,"Underweight",AND(Table13_1[[#This Row],[Round BMI]]&gt;=18.5,Table13_1[[#This Row],[Round BMI]] &lt;=24.9),"Healthy Weight",AND(Table13_1[[#This Row],[Round BMI]]&gt;=25,Table13_1[[#This Row],[Round BMI]]&lt;=29.9),"Overweight",Table13_1[[#This Row],[Round BMI]]&gt;=30,"Obese")</f>
        <v>Overweight</v>
      </c>
      <c r="D127" s="4" t="s">
        <v>11</v>
      </c>
      <c r="E127" s="4" t="str">
        <f>IF(Table13_1[[#This Row],[smoker]]="yes","smoker","non-smoker")</f>
        <v>non-smoker</v>
      </c>
      <c r="F127" s="4" t="s">
        <v>14</v>
      </c>
      <c r="G127" s="5">
        <v>26</v>
      </c>
      <c r="H127" s="5">
        <f>IF(Table13_1[[#This Row],[smoker]]="yes",1,0)</f>
        <v>0</v>
      </c>
      <c r="I127" s="4">
        <v>28.785</v>
      </c>
      <c r="J127" s="4">
        <v>0</v>
      </c>
      <c r="K127" s="12">
        <v>3385.3991999999998</v>
      </c>
    </row>
    <row r="128" spans="1:11" x14ac:dyDescent="0.25">
      <c r="A128" s="4" t="s">
        <v>7</v>
      </c>
      <c r="B128" s="4">
        <f>ROUND(Table13_1[[#This Row],[bmi]],1)</f>
        <v>28.3</v>
      </c>
      <c r="C128" s="4" t="str" cm="1">
        <f t="array" ref="C128">_xlfn.IFS(Table13_1[[#This Row],[Round BMI]]&lt;18.5,"Underweight",AND(Table13_1[[#This Row],[Round BMI]]&gt;=18.5,Table13_1[[#This Row],[Round BMI]] &lt;=24.9),"Healthy Weight",AND(Table13_1[[#This Row],[Round BMI]]&gt;=25,Table13_1[[#This Row],[Round BMI]]&lt;=29.9),"Overweight",Table13_1[[#This Row],[Round BMI]]&gt;=30,"Obese")</f>
        <v>Overweight</v>
      </c>
      <c r="D128" s="4" t="s">
        <v>8</v>
      </c>
      <c r="E128" s="4" t="str">
        <f>IF(Table13_1[[#This Row],[smoker]]="yes","smoker","non-smoker")</f>
        <v>smoker</v>
      </c>
      <c r="F128" s="4" t="s">
        <v>9</v>
      </c>
      <c r="G128" s="5">
        <v>19</v>
      </c>
      <c r="H128" s="5">
        <f>IF(Table13_1[[#This Row],[smoker]]="yes",1,0)</f>
        <v>1</v>
      </c>
      <c r="I128" s="4">
        <v>28.3</v>
      </c>
      <c r="J128" s="4">
        <v>0</v>
      </c>
      <c r="K128" s="12">
        <v>17081.080000000002</v>
      </c>
    </row>
    <row r="129" spans="1:22" x14ac:dyDescent="0.25">
      <c r="A129" s="4" t="s">
        <v>7</v>
      </c>
      <c r="B129" s="4">
        <f>ROUND(Table13_1[[#This Row],[bmi]],1)</f>
        <v>37.4</v>
      </c>
      <c r="C129" s="4" t="str" cm="1">
        <f t="array" ref="C129">_xlfn.IFS(Table13_1[[#This Row],[Round BMI]]&lt;18.5,"Underweight",AND(Table13_1[[#This Row],[Round BMI]]&gt;=18.5,Table13_1[[#This Row],[Round BMI]] &lt;=24.9),"Healthy Weight",AND(Table13_1[[#This Row],[Round BMI]]&gt;=25,Table13_1[[#This Row],[Round BMI]]&lt;=29.9),"Overweight",Table13_1[[#This Row],[Round BMI]]&gt;=30,"Obese")</f>
        <v>Obese</v>
      </c>
      <c r="D129" s="4" t="s">
        <v>11</v>
      </c>
      <c r="E129" s="4" t="str">
        <f>IF(Table13_1[[#This Row],[smoker]]="yes","smoker","non-smoker")</f>
        <v>non-smoker</v>
      </c>
      <c r="F129" s="4" t="s">
        <v>9</v>
      </c>
      <c r="G129" s="5">
        <v>52</v>
      </c>
      <c r="H129" s="5">
        <f>IF(Table13_1[[#This Row],[smoker]]="yes",1,0)</f>
        <v>0</v>
      </c>
      <c r="I129" s="4">
        <v>37.4</v>
      </c>
      <c r="J129" s="4">
        <v>0</v>
      </c>
      <c r="K129" s="12">
        <v>9634.5380000000005</v>
      </c>
      <c r="N129" t="s">
        <v>42</v>
      </c>
    </row>
    <row r="130" spans="1:22" ht="15.75" thickBot="1" x14ac:dyDescent="0.3">
      <c r="A130" s="4" t="s">
        <v>7</v>
      </c>
      <c r="B130" s="4">
        <f>ROUND(Table13_1[[#This Row],[bmi]],1)</f>
        <v>17.8</v>
      </c>
      <c r="C130" s="4" t="str" cm="1">
        <f t="array" ref="C130">_xlfn.IFS(Table13_1[[#This Row],[Round BMI]]&lt;18.5,"Underweight",AND(Table13_1[[#This Row],[Round BMI]]&gt;=18.5,Table13_1[[#This Row],[Round BMI]] &lt;=24.9),"Healthy Weight",AND(Table13_1[[#This Row],[Round BMI]]&gt;=25,Table13_1[[#This Row],[Round BMI]]&lt;=29.9),"Overweight",Table13_1[[#This Row],[Round BMI]]&gt;=30,"Obese")</f>
        <v>Underweight</v>
      </c>
      <c r="D130" s="4" t="s">
        <v>8</v>
      </c>
      <c r="E130" s="4" t="str">
        <f>IF(Table13_1[[#This Row],[smoker]]="yes","smoker","non-smoker")</f>
        <v>smoker</v>
      </c>
      <c r="F130" s="4" t="s">
        <v>13</v>
      </c>
      <c r="G130" s="5">
        <v>32</v>
      </c>
      <c r="H130" s="5">
        <f>IF(Table13_1[[#This Row],[smoker]]="yes",1,0)</f>
        <v>1</v>
      </c>
      <c r="I130" s="4">
        <v>17.765000000000001</v>
      </c>
      <c r="J130" s="4">
        <v>2</v>
      </c>
      <c r="K130" s="12">
        <v>32734.186300000001</v>
      </c>
    </row>
    <row r="131" spans="1:22" x14ac:dyDescent="0.25">
      <c r="A131" s="4" t="s">
        <v>10</v>
      </c>
      <c r="B131" s="4">
        <f>ROUND(Table13_1[[#This Row],[bmi]],1)</f>
        <v>34.700000000000003</v>
      </c>
      <c r="C131" s="4" t="str" cm="1">
        <f t="array" ref="C131">_xlfn.IFS(Table13_1[[#This Row],[Round BMI]]&lt;18.5,"Underweight",AND(Table13_1[[#This Row],[Round BMI]]&gt;=18.5,Table13_1[[#This Row],[Round BMI]] &lt;=24.9),"Healthy Weight",AND(Table13_1[[#This Row],[Round BMI]]&gt;=25,Table13_1[[#This Row],[Round BMI]]&lt;=29.9),"Overweight",Table13_1[[#This Row],[Round BMI]]&gt;=30,"Obese")</f>
        <v>Obese</v>
      </c>
      <c r="D131" s="4" t="s">
        <v>11</v>
      </c>
      <c r="E131" s="4" t="str">
        <f>IF(Table13_1[[#This Row],[smoker]]="yes","smoker","non-smoker")</f>
        <v>non-smoker</v>
      </c>
      <c r="F131" s="4" t="s">
        <v>9</v>
      </c>
      <c r="G131" s="5">
        <v>38</v>
      </c>
      <c r="H131" s="5">
        <f>IF(Table13_1[[#This Row],[smoker]]="yes",1,0)</f>
        <v>0</v>
      </c>
      <c r="I131" s="4">
        <v>34.700000000000003</v>
      </c>
      <c r="J131" s="4">
        <v>2</v>
      </c>
      <c r="K131" s="12">
        <v>6082.4049999999997</v>
      </c>
      <c r="N131" s="3" t="s">
        <v>43</v>
      </c>
      <c r="O131" s="3"/>
    </row>
    <row r="132" spans="1:22" x14ac:dyDescent="0.25">
      <c r="A132" s="4" t="s">
        <v>7</v>
      </c>
      <c r="B132" s="4">
        <f>ROUND(Table13_1[[#This Row],[bmi]],1)</f>
        <v>26.5</v>
      </c>
      <c r="C132" s="4" t="str" cm="1">
        <f t="array" ref="C132">_xlfn.IFS(Table13_1[[#This Row],[Round BMI]]&lt;18.5,"Underweight",AND(Table13_1[[#This Row],[Round BMI]]&gt;=18.5,Table13_1[[#This Row],[Round BMI]] &lt;=24.9),"Healthy Weight",AND(Table13_1[[#This Row],[Round BMI]]&gt;=25,Table13_1[[#This Row],[Round BMI]]&lt;=29.9),"Overweight",Table13_1[[#This Row],[Round BMI]]&gt;=30,"Obese")</f>
        <v>Overweight</v>
      </c>
      <c r="D132" s="4" t="s">
        <v>11</v>
      </c>
      <c r="E132" s="4" t="str">
        <f>IF(Table13_1[[#This Row],[smoker]]="yes","smoker","non-smoker")</f>
        <v>non-smoker</v>
      </c>
      <c r="F132" s="4" t="s">
        <v>14</v>
      </c>
      <c r="G132" s="5">
        <v>59</v>
      </c>
      <c r="H132" s="5">
        <f>IF(Table13_1[[#This Row],[smoker]]="yes",1,0)</f>
        <v>0</v>
      </c>
      <c r="I132" s="4">
        <v>26.504999999999999</v>
      </c>
      <c r="J132" s="4">
        <v>0</v>
      </c>
      <c r="K132" s="12">
        <v>12815.445</v>
      </c>
      <c r="N132" t="s">
        <v>44</v>
      </c>
      <c r="O132">
        <v>0.86584902284613341</v>
      </c>
    </row>
    <row r="133" spans="1:22" x14ac:dyDescent="0.25">
      <c r="A133" s="4" t="s">
        <v>7</v>
      </c>
      <c r="B133" s="4">
        <f>ROUND(Table13_1[[#This Row],[bmi]],1)</f>
        <v>22</v>
      </c>
      <c r="C133" s="4" t="str" cm="1">
        <f t="array" ref="C133">_xlfn.IFS(Table13_1[[#This Row],[Round BMI]]&lt;18.5,"Underweight",AND(Table13_1[[#This Row],[Round BMI]]&gt;=18.5,Table13_1[[#This Row],[Round BMI]] &lt;=24.9),"Healthy Weight",AND(Table13_1[[#This Row],[Round BMI]]&gt;=25,Table13_1[[#This Row],[Round BMI]]&lt;=29.9),"Overweight",Table13_1[[#This Row],[Round BMI]]&gt;=30,"Obese")</f>
        <v>Healthy Weight</v>
      </c>
      <c r="D133" s="4" t="s">
        <v>11</v>
      </c>
      <c r="E133" s="4" t="str">
        <f>IF(Table13_1[[#This Row],[smoker]]="yes","smoker","non-smoker")</f>
        <v>non-smoker</v>
      </c>
      <c r="F133" s="4" t="s">
        <v>14</v>
      </c>
      <c r="G133" s="5">
        <v>61</v>
      </c>
      <c r="H133" s="5">
        <f>IF(Table13_1[[#This Row],[smoker]]="yes",1,0)</f>
        <v>0</v>
      </c>
      <c r="I133" s="4">
        <v>22.04</v>
      </c>
      <c r="J133" s="4">
        <v>0</v>
      </c>
      <c r="K133" s="12">
        <v>13616.3586</v>
      </c>
      <c r="N133" t="s">
        <v>45</v>
      </c>
      <c r="O133">
        <v>0.74969453036360412</v>
      </c>
    </row>
    <row r="134" spans="1:22" x14ac:dyDescent="0.25">
      <c r="A134" s="4" t="s">
        <v>7</v>
      </c>
      <c r="B134" s="4">
        <f>ROUND(Table13_1[[#This Row],[bmi]],1)</f>
        <v>35.9</v>
      </c>
      <c r="C134" s="4" t="str" cm="1">
        <f t="array" ref="C134">_xlfn.IFS(Table13_1[[#This Row],[Round BMI]]&lt;18.5,"Underweight",AND(Table13_1[[#This Row],[Round BMI]]&gt;=18.5,Table13_1[[#This Row],[Round BMI]] &lt;=24.9),"Healthy Weight",AND(Table13_1[[#This Row],[Round BMI]]&gt;=25,Table13_1[[#This Row],[Round BMI]]&lt;=29.9),"Overweight",Table13_1[[#This Row],[Round BMI]]&gt;=30,"Obese")</f>
        <v>Obese</v>
      </c>
      <c r="D134" s="4" t="s">
        <v>11</v>
      </c>
      <c r="E134" s="4" t="str">
        <f>IF(Table13_1[[#This Row],[smoker]]="yes","smoker","non-smoker")</f>
        <v>non-smoker</v>
      </c>
      <c r="F134" s="4" t="s">
        <v>9</v>
      </c>
      <c r="G134" s="5">
        <v>53</v>
      </c>
      <c r="H134" s="5">
        <f>IF(Table13_1[[#This Row],[smoker]]="yes",1,0)</f>
        <v>0</v>
      </c>
      <c r="I134" s="4">
        <v>35.9</v>
      </c>
      <c r="J134" s="4">
        <v>2</v>
      </c>
      <c r="K134" s="12">
        <v>11163.567999999999</v>
      </c>
      <c r="N134" t="s">
        <v>46</v>
      </c>
      <c r="O134" s="6">
        <v>0.74894342617864873</v>
      </c>
    </row>
    <row r="135" spans="1:22" x14ac:dyDescent="0.25">
      <c r="A135" s="4" t="s">
        <v>10</v>
      </c>
      <c r="B135" s="4">
        <f>ROUND(Table13_1[[#This Row],[bmi]],1)</f>
        <v>25.6</v>
      </c>
      <c r="C135" s="4" t="str" cm="1">
        <f t="array" ref="C135">_xlfn.IFS(Table13_1[[#This Row],[Round BMI]]&lt;18.5,"Underweight",AND(Table13_1[[#This Row],[Round BMI]]&gt;=18.5,Table13_1[[#This Row],[Round BMI]] &lt;=24.9),"Healthy Weight",AND(Table13_1[[#This Row],[Round BMI]]&gt;=25,Table13_1[[#This Row],[Round BMI]]&lt;=29.9),"Overweight",Table13_1[[#This Row],[Round BMI]]&gt;=30,"Obese")</f>
        <v>Overweight</v>
      </c>
      <c r="D135" s="4" t="s">
        <v>11</v>
      </c>
      <c r="E135" s="4" t="str">
        <f>IF(Table13_1[[#This Row],[smoker]]="yes","smoker","non-smoker")</f>
        <v>non-smoker</v>
      </c>
      <c r="F135" s="4" t="s">
        <v>13</v>
      </c>
      <c r="G135" s="5">
        <v>19</v>
      </c>
      <c r="H135" s="5">
        <f>IF(Table13_1[[#This Row],[smoker]]="yes",1,0)</f>
        <v>0</v>
      </c>
      <c r="I135" s="4">
        <v>25.555</v>
      </c>
      <c r="J135" s="4">
        <v>0</v>
      </c>
      <c r="K135" s="12">
        <v>1632.5644</v>
      </c>
      <c r="N135" t="s">
        <v>18</v>
      </c>
      <c r="O135">
        <v>6067.7872493807263</v>
      </c>
    </row>
    <row r="136" spans="1:22" ht="15.75" thickBot="1" x14ac:dyDescent="0.3">
      <c r="A136" s="4" t="s">
        <v>7</v>
      </c>
      <c r="B136" s="4">
        <f>ROUND(Table13_1[[#This Row],[bmi]],1)</f>
        <v>28.8</v>
      </c>
      <c r="C136" s="4" t="str" cm="1">
        <f t="array" ref="C136">_xlfn.IFS(Table13_1[[#This Row],[Round BMI]]&lt;18.5,"Underweight",AND(Table13_1[[#This Row],[Round BMI]]&gt;=18.5,Table13_1[[#This Row],[Round BMI]] &lt;=24.9),"Healthy Weight",AND(Table13_1[[#This Row],[Round BMI]]&gt;=25,Table13_1[[#This Row],[Round BMI]]&lt;=29.9),"Overweight",Table13_1[[#This Row],[Round BMI]]&gt;=30,"Obese")</f>
        <v>Overweight</v>
      </c>
      <c r="D136" s="4" t="s">
        <v>11</v>
      </c>
      <c r="E136" s="4" t="str">
        <f>IF(Table13_1[[#This Row],[smoker]]="yes","smoker","non-smoker")</f>
        <v>non-smoker</v>
      </c>
      <c r="F136" s="4" t="s">
        <v>14</v>
      </c>
      <c r="G136" s="5">
        <v>20</v>
      </c>
      <c r="H136" s="5">
        <f>IF(Table13_1[[#This Row],[smoker]]="yes",1,0)</f>
        <v>0</v>
      </c>
      <c r="I136" s="4">
        <v>28.785</v>
      </c>
      <c r="J136" s="4">
        <v>0</v>
      </c>
      <c r="K136" s="12">
        <v>2457.2112000000002</v>
      </c>
      <c r="N136" s="2" t="s">
        <v>47</v>
      </c>
      <c r="O136" s="2">
        <v>1338</v>
      </c>
    </row>
    <row r="137" spans="1:22" x14ac:dyDescent="0.25">
      <c r="A137" s="4" t="s">
        <v>7</v>
      </c>
      <c r="B137" s="4">
        <f>ROUND(Table13_1[[#This Row],[bmi]],1)</f>
        <v>28.1</v>
      </c>
      <c r="C137" s="4" t="str" cm="1">
        <f t="array" ref="C137">_xlfn.IFS(Table13_1[[#This Row],[Round BMI]]&lt;18.5,"Underweight",AND(Table13_1[[#This Row],[Round BMI]]&gt;=18.5,Table13_1[[#This Row],[Round BMI]] &lt;=24.9),"Healthy Weight",AND(Table13_1[[#This Row],[Round BMI]]&gt;=25,Table13_1[[#This Row],[Round BMI]]&lt;=29.9),"Overweight",Table13_1[[#This Row],[Round BMI]]&gt;=30,"Obese")</f>
        <v>Overweight</v>
      </c>
      <c r="D137" s="4" t="s">
        <v>11</v>
      </c>
      <c r="E137" s="4" t="str">
        <f>IF(Table13_1[[#This Row],[smoker]]="yes","smoker","non-smoker")</f>
        <v>non-smoker</v>
      </c>
      <c r="F137" s="4" t="s">
        <v>12</v>
      </c>
      <c r="G137" s="5">
        <v>22</v>
      </c>
      <c r="H137" s="5">
        <f>IF(Table13_1[[#This Row],[smoker]]="yes",1,0)</f>
        <v>0</v>
      </c>
      <c r="I137" s="4">
        <v>28.05</v>
      </c>
      <c r="J137" s="4">
        <v>0</v>
      </c>
      <c r="K137" s="12">
        <v>2155.6815000000001</v>
      </c>
    </row>
    <row r="138" spans="1:22" ht="15.75" thickBot="1" x14ac:dyDescent="0.3">
      <c r="A138" s="4" t="s">
        <v>10</v>
      </c>
      <c r="B138" s="4">
        <f>ROUND(Table13_1[[#This Row],[bmi]],1)</f>
        <v>34.1</v>
      </c>
      <c r="C138" s="4" t="str" cm="1">
        <f t="array" ref="C138">_xlfn.IFS(Table13_1[[#This Row],[Round BMI]]&lt;18.5,"Underweight",AND(Table13_1[[#This Row],[Round BMI]]&gt;=18.5,Table13_1[[#This Row],[Round BMI]] &lt;=24.9),"Healthy Weight",AND(Table13_1[[#This Row],[Round BMI]]&gt;=25,Table13_1[[#This Row],[Round BMI]]&lt;=29.9),"Overweight",Table13_1[[#This Row],[Round BMI]]&gt;=30,"Obese")</f>
        <v>Obese</v>
      </c>
      <c r="D138" s="4" t="s">
        <v>11</v>
      </c>
      <c r="E138" s="4" t="str">
        <f>IF(Table13_1[[#This Row],[smoker]]="yes","smoker","non-smoker")</f>
        <v>non-smoker</v>
      </c>
      <c r="F138" s="4" t="s">
        <v>9</v>
      </c>
      <c r="G138" s="5">
        <v>19</v>
      </c>
      <c r="H138" s="5">
        <f>IF(Table13_1[[#This Row],[smoker]]="yes",1,0)</f>
        <v>0</v>
      </c>
      <c r="I138" s="4">
        <v>34.1</v>
      </c>
      <c r="J138" s="4">
        <v>0</v>
      </c>
      <c r="K138" s="12">
        <v>1261.442</v>
      </c>
      <c r="N138" t="s">
        <v>48</v>
      </c>
    </row>
    <row r="139" spans="1:22" x14ac:dyDescent="0.25">
      <c r="A139" s="4" t="s">
        <v>10</v>
      </c>
      <c r="B139" s="4">
        <f>ROUND(Table13_1[[#This Row],[bmi]],1)</f>
        <v>25.2</v>
      </c>
      <c r="C139" s="4" t="str" cm="1">
        <f t="array" ref="C139">_xlfn.IFS(Table13_1[[#This Row],[Round BMI]]&lt;18.5,"Underweight",AND(Table13_1[[#This Row],[Round BMI]]&gt;=18.5,Table13_1[[#This Row],[Round BMI]] &lt;=24.9),"Healthy Weight",AND(Table13_1[[#This Row],[Round BMI]]&gt;=25,Table13_1[[#This Row],[Round BMI]]&lt;=29.9),"Overweight",Table13_1[[#This Row],[Round BMI]]&gt;=30,"Obese")</f>
        <v>Overweight</v>
      </c>
      <c r="D139" s="4" t="s">
        <v>11</v>
      </c>
      <c r="E139" s="4" t="str">
        <f>IF(Table13_1[[#This Row],[smoker]]="yes","smoker","non-smoker")</f>
        <v>non-smoker</v>
      </c>
      <c r="F139" s="4" t="s">
        <v>13</v>
      </c>
      <c r="G139" s="5">
        <v>22</v>
      </c>
      <c r="H139" s="5">
        <f>IF(Table13_1[[#This Row],[smoker]]="yes",1,0)</f>
        <v>0</v>
      </c>
      <c r="I139" s="4">
        <v>25.175000000000001</v>
      </c>
      <c r="J139" s="4">
        <v>0</v>
      </c>
      <c r="K139" s="12">
        <v>2045.6851999999999</v>
      </c>
      <c r="N139" s="8"/>
      <c r="O139" s="8" t="s">
        <v>53</v>
      </c>
      <c r="P139" s="8" t="s">
        <v>54</v>
      </c>
      <c r="Q139" s="8" t="s">
        <v>55</v>
      </c>
      <c r="R139" s="8" t="s">
        <v>56</v>
      </c>
      <c r="S139" s="8" t="s">
        <v>57</v>
      </c>
    </row>
    <row r="140" spans="1:22" x14ac:dyDescent="0.25">
      <c r="A140" s="4" t="s">
        <v>7</v>
      </c>
      <c r="B140" s="4">
        <f>ROUND(Table13_1[[#This Row],[bmi]],1)</f>
        <v>31.9</v>
      </c>
      <c r="C140" s="4" t="str" cm="1">
        <f t="array" ref="C140">_xlfn.IFS(Table13_1[[#This Row],[Round BMI]]&lt;18.5,"Underweight",AND(Table13_1[[#This Row],[Round BMI]]&gt;=18.5,Table13_1[[#This Row],[Round BMI]] &lt;=24.9),"Healthy Weight",AND(Table13_1[[#This Row],[Round BMI]]&gt;=25,Table13_1[[#This Row],[Round BMI]]&lt;=29.9),"Overweight",Table13_1[[#This Row],[Round BMI]]&gt;=30,"Obese")</f>
        <v>Obese</v>
      </c>
      <c r="D140" s="4" t="s">
        <v>11</v>
      </c>
      <c r="E140" s="4" t="str">
        <f>IF(Table13_1[[#This Row],[smoker]]="yes","smoker","non-smoker")</f>
        <v>non-smoker</v>
      </c>
      <c r="F140" s="4" t="s">
        <v>12</v>
      </c>
      <c r="G140" s="5">
        <v>54</v>
      </c>
      <c r="H140" s="5">
        <f>IF(Table13_1[[#This Row],[smoker]]="yes",1,0)</f>
        <v>0</v>
      </c>
      <c r="I140" s="4">
        <v>31.9</v>
      </c>
      <c r="J140" s="4">
        <v>3</v>
      </c>
      <c r="K140" s="12">
        <v>27322.733899999999</v>
      </c>
      <c r="N140" t="s">
        <v>49</v>
      </c>
      <c r="O140">
        <v>4</v>
      </c>
      <c r="P140">
        <v>146995771488.15527</v>
      </c>
      <c r="Q140">
        <v>36748942872.038818</v>
      </c>
      <c r="R140">
        <v>998.12322362189207</v>
      </c>
      <c r="S140">
        <v>0</v>
      </c>
    </row>
    <row r="141" spans="1:22" x14ac:dyDescent="0.25">
      <c r="A141" s="4" t="s">
        <v>7</v>
      </c>
      <c r="B141" s="4">
        <f>ROUND(Table13_1[[#This Row],[bmi]],1)</f>
        <v>36</v>
      </c>
      <c r="C141" s="4" t="str" cm="1">
        <f t="array" ref="C141">_xlfn.IFS(Table13_1[[#This Row],[Round BMI]]&lt;18.5,"Underweight",AND(Table13_1[[#This Row],[Round BMI]]&gt;=18.5,Table13_1[[#This Row],[Round BMI]] &lt;=24.9),"Healthy Weight",AND(Table13_1[[#This Row],[Round BMI]]&gt;=25,Table13_1[[#This Row],[Round BMI]]&lt;=29.9),"Overweight",Table13_1[[#This Row],[Round BMI]]&gt;=30,"Obese")</f>
        <v>Obese</v>
      </c>
      <c r="D141" s="4" t="s">
        <v>11</v>
      </c>
      <c r="E141" s="4" t="str">
        <f>IF(Table13_1[[#This Row],[smoker]]="yes","smoker","non-smoker")</f>
        <v>non-smoker</v>
      </c>
      <c r="F141" s="4" t="s">
        <v>9</v>
      </c>
      <c r="G141" s="5">
        <v>22</v>
      </c>
      <c r="H141" s="5">
        <f>IF(Table13_1[[#This Row],[smoker]]="yes",1,0)</f>
        <v>0</v>
      </c>
      <c r="I141" s="4">
        <v>36</v>
      </c>
      <c r="J141" s="4">
        <v>0</v>
      </c>
      <c r="K141" s="12">
        <v>2166.732</v>
      </c>
      <c r="N141" t="s">
        <v>50</v>
      </c>
      <c r="O141">
        <v>1333</v>
      </c>
      <c r="P141">
        <v>49078450124.295174</v>
      </c>
      <c r="Q141">
        <v>36818042.103747316</v>
      </c>
    </row>
    <row r="142" spans="1:22" ht="15.75" thickBot="1" x14ac:dyDescent="0.3">
      <c r="A142" s="4" t="s">
        <v>10</v>
      </c>
      <c r="B142" s="4">
        <f>ROUND(Table13_1[[#This Row],[bmi]],1)</f>
        <v>22.4</v>
      </c>
      <c r="C142" s="4" t="str" cm="1">
        <f t="array" ref="C142">_xlfn.IFS(Table13_1[[#This Row],[Round BMI]]&lt;18.5,"Underweight",AND(Table13_1[[#This Row],[Round BMI]]&gt;=18.5,Table13_1[[#This Row],[Round BMI]] &lt;=24.9),"Healthy Weight",AND(Table13_1[[#This Row],[Round BMI]]&gt;=25,Table13_1[[#This Row],[Round BMI]]&lt;=29.9),"Overweight",Table13_1[[#This Row],[Round BMI]]&gt;=30,"Obese")</f>
        <v>Healthy Weight</v>
      </c>
      <c r="D142" s="4" t="s">
        <v>11</v>
      </c>
      <c r="E142" s="4" t="str">
        <f>IF(Table13_1[[#This Row],[smoker]]="yes","smoker","non-smoker")</f>
        <v>non-smoker</v>
      </c>
      <c r="F142" s="4" t="s">
        <v>14</v>
      </c>
      <c r="G142" s="5">
        <v>34</v>
      </c>
      <c r="H142" s="5">
        <f>IF(Table13_1[[#This Row],[smoker]]="yes",1,0)</f>
        <v>0</v>
      </c>
      <c r="I142" s="4">
        <v>22.42</v>
      </c>
      <c r="J142" s="4">
        <v>2</v>
      </c>
      <c r="K142" s="12">
        <v>27375.9048</v>
      </c>
      <c r="N142" s="2" t="s">
        <v>51</v>
      </c>
      <c r="O142" s="2">
        <v>1337</v>
      </c>
      <c r="P142" s="2">
        <v>196074221612.45044</v>
      </c>
      <c r="Q142" s="2"/>
      <c r="R142" s="2"/>
      <c r="S142" s="2"/>
    </row>
    <row r="143" spans="1:22" ht="15.75" thickBot="1" x14ac:dyDescent="0.3">
      <c r="A143" s="4" t="s">
        <v>10</v>
      </c>
      <c r="B143" s="4">
        <f>ROUND(Table13_1[[#This Row],[bmi]],1)</f>
        <v>32.5</v>
      </c>
      <c r="C143" s="4" t="str" cm="1">
        <f t="array" ref="C143">_xlfn.IFS(Table13_1[[#This Row],[Round BMI]]&lt;18.5,"Underweight",AND(Table13_1[[#This Row],[Round BMI]]&gt;=18.5,Table13_1[[#This Row],[Round BMI]] &lt;=24.9),"Healthy Weight",AND(Table13_1[[#This Row],[Round BMI]]&gt;=25,Table13_1[[#This Row],[Round BMI]]&lt;=29.9),"Overweight",Table13_1[[#This Row],[Round BMI]]&gt;=30,"Obese")</f>
        <v>Obese</v>
      </c>
      <c r="D143" s="4" t="s">
        <v>11</v>
      </c>
      <c r="E143" s="4" t="str">
        <f>IF(Table13_1[[#This Row],[smoker]]="yes","smoker","non-smoker")</f>
        <v>non-smoker</v>
      </c>
      <c r="F143" s="4" t="s">
        <v>14</v>
      </c>
      <c r="G143" s="5">
        <v>26</v>
      </c>
      <c r="H143" s="5">
        <f>IF(Table13_1[[#This Row],[smoker]]="yes",1,0)</f>
        <v>0</v>
      </c>
      <c r="I143" s="4">
        <v>32.49</v>
      </c>
      <c r="J143" s="4">
        <v>1</v>
      </c>
      <c r="K143" s="12">
        <v>3490.5491000000002</v>
      </c>
    </row>
    <row r="144" spans="1:22" x14ac:dyDescent="0.25">
      <c r="A144" s="4" t="s">
        <v>10</v>
      </c>
      <c r="B144" s="4">
        <f>ROUND(Table13_1[[#This Row],[bmi]],1)</f>
        <v>25.3</v>
      </c>
      <c r="C144" s="4" t="str" cm="1">
        <f t="array" ref="C144">_xlfn.IFS(Table13_1[[#This Row],[Round BMI]]&lt;18.5,"Underweight",AND(Table13_1[[#This Row],[Round BMI]]&gt;=18.5,Table13_1[[#This Row],[Round BMI]] &lt;=24.9),"Healthy Weight",AND(Table13_1[[#This Row],[Round BMI]]&gt;=25,Table13_1[[#This Row],[Round BMI]]&lt;=29.9),"Overweight",Table13_1[[#This Row],[Round BMI]]&gt;=30,"Obese")</f>
        <v>Overweight</v>
      </c>
      <c r="D144" s="4" t="s">
        <v>8</v>
      </c>
      <c r="E144" s="4" t="str">
        <f>IF(Table13_1[[#This Row],[smoker]]="yes","smoker","non-smoker")</f>
        <v>smoker</v>
      </c>
      <c r="F144" s="4" t="s">
        <v>12</v>
      </c>
      <c r="G144" s="5">
        <v>34</v>
      </c>
      <c r="H144" s="5">
        <f>IF(Table13_1[[#This Row],[smoker]]="yes",1,0)</f>
        <v>1</v>
      </c>
      <c r="I144" s="4">
        <v>25.3</v>
      </c>
      <c r="J144" s="4">
        <v>2</v>
      </c>
      <c r="K144" s="12">
        <v>18972.494999999999</v>
      </c>
      <c r="N144" s="8"/>
      <c r="O144" s="8" t="s">
        <v>58</v>
      </c>
      <c r="P144" s="8" t="s">
        <v>18</v>
      </c>
      <c r="Q144" s="8" t="s">
        <v>59</v>
      </c>
      <c r="R144" s="8" t="s">
        <v>60</v>
      </c>
      <c r="S144" s="8" t="s">
        <v>61</v>
      </c>
      <c r="T144" s="8" t="s">
        <v>62</v>
      </c>
      <c r="U144" s="8" t="s">
        <v>63</v>
      </c>
      <c r="V144" s="8" t="s">
        <v>64</v>
      </c>
    </row>
    <row r="145" spans="1:22" x14ac:dyDescent="0.25">
      <c r="A145" s="4" t="s">
        <v>10</v>
      </c>
      <c r="B145" s="4">
        <f>ROUND(Table13_1[[#This Row],[bmi]],1)</f>
        <v>29.7</v>
      </c>
      <c r="C145" s="4" t="str" cm="1">
        <f t="array" ref="C145">_xlfn.IFS(Table13_1[[#This Row],[Round BMI]]&lt;18.5,"Underweight",AND(Table13_1[[#This Row],[Round BMI]]&gt;=18.5,Table13_1[[#This Row],[Round BMI]] &lt;=24.9),"Healthy Weight",AND(Table13_1[[#This Row],[Round BMI]]&gt;=25,Table13_1[[#This Row],[Round BMI]]&lt;=29.9),"Overweight",Table13_1[[#This Row],[Round BMI]]&gt;=30,"Obese")</f>
        <v>Overweight</v>
      </c>
      <c r="D145" s="4" t="s">
        <v>11</v>
      </c>
      <c r="E145" s="4" t="str">
        <f>IF(Table13_1[[#This Row],[smoker]]="yes","smoker","non-smoker")</f>
        <v>non-smoker</v>
      </c>
      <c r="F145" s="4" t="s">
        <v>13</v>
      </c>
      <c r="G145" s="5">
        <v>29</v>
      </c>
      <c r="H145" s="5">
        <f>IF(Table13_1[[#This Row],[smoker]]="yes",1,0)</f>
        <v>0</v>
      </c>
      <c r="I145" s="4">
        <v>29.734999999999999</v>
      </c>
      <c r="J145" s="4">
        <v>2</v>
      </c>
      <c r="K145" s="12">
        <v>18157.876</v>
      </c>
      <c r="N145" t="s">
        <v>52</v>
      </c>
      <c r="O145" s="6">
        <v>-12102.769378190753</v>
      </c>
      <c r="P145">
        <v>941.98394119105762</v>
      </c>
      <c r="Q145">
        <v>-12.848169537675815</v>
      </c>
      <c r="R145">
        <v>1.0516491702697875E-35</v>
      </c>
      <c r="S145">
        <v>-13950.701874403634</v>
      </c>
      <c r="T145">
        <v>-10254.836881977872</v>
      </c>
      <c r="U145">
        <v>-13950.701874403634</v>
      </c>
      <c r="V145">
        <v>-10254.836881977872</v>
      </c>
    </row>
    <row r="146" spans="1:22" x14ac:dyDescent="0.25">
      <c r="A146" s="4" t="s">
        <v>10</v>
      </c>
      <c r="B146" s="4">
        <f>ROUND(Table13_1[[#This Row],[bmi]],1)</f>
        <v>28.7</v>
      </c>
      <c r="C146" s="4" t="str" cm="1">
        <f t="array" ref="C146">_xlfn.IFS(Table13_1[[#This Row],[Round BMI]]&lt;18.5,"Underweight",AND(Table13_1[[#This Row],[Round BMI]]&gt;=18.5,Table13_1[[#This Row],[Round BMI]] &lt;=24.9),"Healthy Weight",AND(Table13_1[[#This Row],[Round BMI]]&gt;=25,Table13_1[[#This Row],[Round BMI]]&lt;=29.9),"Overweight",Table13_1[[#This Row],[Round BMI]]&gt;=30,"Obese")</f>
        <v>Overweight</v>
      </c>
      <c r="D146" s="4" t="s">
        <v>8</v>
      </c>
      <c r="E146" s="4" t="str">
        <f>IF(Table13_1[[#This Row],[smoker]]="yes","smoker","non-smoker")</f>
        <v>smoker</v>
      </c>
      <c r="F146" s="4" t="s">
        <v>13</v>
      </c>
      <c r="G146" s="5">
        <v>30</v>
      </c>
      <c r="H146" s="5">
        <f>IF(Table13_1[[#This Row],[smoker]]="yes",1,0)</f>
        <v>1</v>
      </c>
      <c r="I146" s="4">
        <v>28.69</v>
      </c>
      <c r="J146" s="4">
        <v>3</v>
      </c>
      <c r="K146" s="12">
        <v>20745.989099999999</v>
      </c>
      <c r="N146" t="s">
        <v>0</v>
      </c>
      <c r="O146" s="6">
        <v>257.84950733035595</v>
      </c>
      <c r="P146">
        <v>11.896386331959057</v>
      </c>
      <c r="Q146">
        <v>21.674607745181905</v>
      </c>
      <c r="R146">
        <v>1.7483421122365015E-89</v>
      </c>
      <c r="S146">
        <v>234.5118282797626</v>
      </c>
      <c r="T146">
        <v>281.1871863809493</v>
      </c>
      <c r="U146">
        <v>234.5118282797626</v>
      </c>
      <c r="V146">
        <v>281.1871863809493</v>
      </c>
    </row>
    <row r="147" spans="1:22" x14ac:dyDescent="0.25">
      <c r="A147" s="4" t="s">
        <v>7</v>
      </c>
      <c r="B147" s="4">
        <f>ROUND(Table13_1[[#This Row],[bmi]],1)</f>
        <v>38.799999999999997</v>
      </c>
      <c r="C147" s="4" t="str" cm="1">
        <f t="array" ref="C147">_xlfn.IFS(Table13_1[[#This Row],[Round BMI]]&lt;18.5,"Underweight",AND(Table13_1[[#This Row],[Round BMI]]&gt;=18.5,Table13_1[[#This Row],[Round BMI]] &lt;=24.9),"Healthy Weight",AND(Table13_1[[#This Row],[Round BMI]]&gt;=25,Table13_1[[#This Row],[Round BMI]]&lt;=29.9),"Overweight",Table13_1[[#This Row],[Round BMI]]&gt;=30,"Obese")</f>
        <v>Obese</v>
      </c>
      <c r="D147" s="4" t="s">
        <v>11</v>
      </c>
      <c r="E147" s="4" t="str">
        <f>IF(Table13_1[[#This Row],[smoker]]="yes","smoker","non-smoker")</f>
        <v>non-smoker</v>
      </c>
      <c r="F147" s="4" t="s">
        <v>12</v>
      </c>
      <c r="G147" s="5">
        <v>29</v>
      </c>
      <c r="H147" s="5">
        <f>IF(Table13_1[[#This Row],[smoker]]="yes",1,0)</f>
        <v>0</v>
      </c>
      <c r="I147" s="4">
        <v>38.83</v>
      </c>
      <c r="J147" s="4">
        <v>3</v>
      </c>
      <c r="K147" s="12">
        <v>5138.2566999999999</v>
      </c>
      <c r="N147" t="s">
        <v>41</v>
      </c>
      <c r="O147" s="6">
        <v>23811.399846015524</v>
      </c>
      <c r="P147">
        <v>411.21971486385621</v>
      </c>
      <c r="Q147">
        <v>57.904324586915386</v>
      </c>
      <c r="R147">
        <v>0</v>
      </c>
      <c r="S147">
        <v>23004.691535023005</v>
      </c>
      <c r="T147">
        <v>24618.108157008042</v>
      </c>
      <c r="U147">
        <v>23004.691535023005</v>
      </c>
      <c r="V147">
        <v>24618.108157008042</v>
      </c>
    </row>
    <row r="148" spans="1:22" x14ac:dyDescent="0.25">
      <c r="A148" s="4" t="s">
        <v>10</v>
      </c>
      <c r="B148" s="4">
        <f>ROUND(Table13_1[[#This Row],[bmi]],1)</f>
        <v>30.5</v>
      </c>
      <c r="C148" s="4" t="str" cm="1">
        <f t="array" ref="C148">_xlfn.IFS(Table13_1[[#This Row],[Round BMI]]&lt;18.5,"Underweight",AND(Table13_1[[#This Row],[Round BMI]]&gt;=18.5,Table13_1[[#This Row],[Round BMI]] &lt;=24.9),"Healthy Weight",AND(Table13_1[[#This Row],[Round BMI]]&gt;=25,Table13_1[[#This Row],[Round BMI]]&lt;=29.9),"Overweight",Table13_1[[#This Row],[Round BMI]]&gt;=30,"Obese")</f>
        <v>Obese</v>
      </c>
      <c r="D148" s="4" t="s">
        <v>8</v>
      </c>
      <c r="E148" s="4" t="str">
        <f>IF(Table13_1[[#This Row],[smoker]]="yes","smoker","non-smoker")</f>
        <v>smoker</v>
      </c>
      <c r="F148" s="4" t="s">
        <v>13</v>
      </c>
      <c r="G148" s="5">
        <v>46</v>
      </c>
      <c r="H148" s="5">
        <f>IF(Table13_1[[#This Row],[smoker]]="yes",1,0)</f>
        <v>1</v>
      </c>
      <c r="I148" s="4">
        <v>30.495000000000001</v>
      </c>
      <c r="J148" s="4">
        <v>3</v>
      </c>
      <c r="K148" s="12">
        <v>40720.550999999999</v>
      </c>
      <c r="N148" t="s">
        <v>2</v>
      </c>
      <c r="O148" s="6">
        <v>321.85140284121252</v>
      </c>
      <c r="P148">
        <v>27.377632127149319</v>
      </c>
      <c r="Q148">
        <v>11.755998522678853</v>
      </c>
      <c r="R148">
        <v>1.9739864862743945E-30</v>
      </c>
      <c r="S148">
        <v>268.14346381504214</v>
      </c>
      <c r="T148">
        <v>375.5593418673829</v>
      </c>
      <c r="U148">
        <v>268.14346381504214</v>
      </c>
      <c r="V148">
        <v>375.5593418673829</v>
      </c>
    </row>
    <row r="149" spans="1:22" ht="15.75" thickBot="1" x14ac:dyDescent="0.3">
      <c r="A149" s="4" t="s">
        <v>7</v>
      </c>
      <c r="B149" s="4">
        <f>ROUND(Table13_1[[#This Row],[bmi]],1)</f>
        <v>37.700000000000003</v>
      </c>
      <c r="C149" s="4" t="str" cm="1">
        <f t="array" ref="C149">_xlfn.IFS(Table13_1[[#This Row],[Round BMI]]&lt;18.5,"Underweight",AND(Table13_1[[#This Row],[Round BMI]]&gt;=18.5,Table13_1[[#This Row],[Round BMI]] &lt;=24.9),"Healthy Weight",AND(Table13_1[[#This Row],[Round BMI]]&gt;=25,Table13_1[[#This Row],[Round BMI]]&lt;=29.9),"Overweight",Table13_1[[#This Row],[Round BMI]]&gt;=30,"Obese")</f>
        <v>Obese</v>
      </c>
      <c r="D149" s="4" t="s">
        <v>11</v>
      </c>
      <c r="E149" s="4" t="str">
        <f>IF(Table13_1[[#This Row],[smoker]]="yes","smoker","non-smoker")</f>
        <v>non-smoker</v>
      </c>
      <c r="F149" s="4" t="s">
        <v>12</v>
      </c>
      <c r="G149" s="5">
        <v>51</v>
      </c>
      <c r="H149" s="5">
        <f>IF(Table13_1[[#This Row],[smoker]]="yes",1,0)</f>
        <v>0</v>
      </c>
      <c r="I149" s="4">
        <v>37.729999999999997</v>
      </c>
      <c r="J149" s="4">
        <v>1</v>
      </c>
      <c r="K149" s="12">
        <v>9877.6077000000005</v>
      </c>
      <c r="N149" s="2" t="s">
        <v>3</v>
      </c>
      <c r="O149" s="10">
        <v>473.50231554582331</v>
      </c>
      <c r="P149" s="2">
        <v>137.79167151789005</v>
      </c>
      <c r="Q149" s="2">
        <v>3.4363638261282472</v>
      </c>
      <c r="R149" s="2">
        <v>6.0771583637323607E-4</v>
      </c>
      <c r="S149" s="2">
        <v>203.1901622585363</v>
      </c>
      <c r="T149" s="2">
        <v>743.81446883311037</v>
      </c>
      <c r="U149" s="2">
        <v>203.1901622585363</v>
      </c>
      <c r="V149" s="2">
        <v>743.81446883311037</v>
      </c>
    </row>
    <row r="150" spans="1:22" x14ac:dyDescent="0.25">
      <c r="A150" s="4" t="s">
        <v>7</v>
      </c>
      <c r="B150" s="4">
        <f>ROUND(Table13_1[[#This Row],[bmi]],1)</f>
        <v>37.4</v>
      </c>
      <c r="C150" s="4" t="str" cm="1">
        <f t="array" ref="C150">_xlfn.IFS(Table13_1[[#This Row],[Round BMI]]&lt;18.5,"Underweight",AND(Table13_1[[#This Row],[Round BMI]]&gt;=18.5,Table13_1[[#This Row],[Round BMI]] &lt;=24.9),"Healthy Weight",AND(Table13_1[[#This Row],[Round BMI]]&gt;=25,Table13_1[[#This Row],[Round BMI]]&lt;=29.9),"Overweight",Table13_1[[#This Row],[Round BMI]]&gt;=30,"Obese")</f>
        <v>Obese</v>
      </c>
      <c r="D150" s="4" t="s">
        <v>11</v>
      </c>
      <c r="E150" s="4" t="str">
        <f>IF(Table13_1[[#This Row],[smoker]]="yes","smoker","non-smoker")</f>
        <v>non-smoker</v>
      </c>
      <c r="F150" s="4" t="s">
        <v>13</v>
      </c>
      <c r="G150" s="5">
        <v>53</v>
      </c>
      <c r="H150" s="5">
        <f>IF(Table13_1[[#This Row],[smoker]]="yes",1,0)</f>
        <v>0</v>
      </c>
      <c r="I150" s="4">
        <v>37.43</v>
      </c>
      <c r="J150" s="4">
        <v>1</v>
      </c>
      <c r="K150" s="12">
        <v>10959.6947</v>
      </c>
    </row>
    <row r="151" spans="1:22" x14ac:dyDescent="0.25">
      <c r="A151" s="4" t="s">
        <v>10</v>
      </c>
      <c r="B151" s="4">
        <f>ROUND(Table13_1[[#This Row],[bmi]],1)</f>
        <v>28.4</v>
      </c>
      <c r="C151" s="4" t="str" cm="1">
        <f t="array" ref="C151">_xlfn.IFS(Table13_1[[#This Row],[Round BMI]]&lt;18.5,"Underweight",AND(Table13_1[[#This Row],[Round BMI]]&gt;=18.5,Table13_1[[#This Row],[Round BMI]] &lt;=24.9),"Healthy Weight",AND(Table13_1[[#This Row],[Round BMI]]&gt;=25,Table13_1[[#This Row],[Round BMI]]&lt;=29.9),"Overweight",Table13_1[[#This Row],[Round BMI]]&gt;=30,"Obese")</f>
        <v>Overweight</v>
      </c>
      <c r="D151" s="4" t="s">
        <v>11</v>
      </c>
      <c r="E151" s="4" t="str">
        <f>IF(Table13_1[[#This Row],[smoker]]="yes","smoker","non-smoker")</f>
        <v>non-smoker</v>
      </c>
      <c r="F151" s="4" t="s">
        <v>9</v>
      </c>
      <c r="G151" s="5">
        <v>19</v>
      </c>
      <c r="H151" s="5">
        <f>IF(Table13_1[[#This Row],[smoker]]="yes",1,0)</f>
        <v>0</v>
      </c>
      <c r="I151" s="4">
        <v>28.4</v>
      </c>
      <c r="J151" s="4">
        <v>1</v>
      </c>
      <c r="K151" s="12">
        <v>1842.519</v>
      </c>
    </row>
    <row r="152" spans="1:22" x14ac:dyDescent="0.25">
      <c r="A152" s="4" t="s">
        <v>10</v>
      </c>
      <c r="B152" s="4">
        <f>ROUND(Table13_1[[#This Row],[bmi]],1)</f>
        <v>24.1</v>
      </c>
      <c r="C152" s="4" t="str" cm="1">
        <f t="array" ref="C152">_xlfn.IFS(Table13_1[[#This Row],[Round BMI]]&lt;18.5,"Underweight",AND(Table13_1[[#This Row],[Round BMI]]&gt;=18.5,Table13_1[[#This Row],[Round BMI]] &lt;=24.9),"Healthy Weight",AND(Table13_1[[#This Row],[Round BMI]]&gt;=25,Table13_1[[#This Row],[Round BMI]]&lt;=29.9),"Overweight",Table13_1[[#This Row],[Round BMI]]&gt;=30,"Obese")</f>
        <v>Healthy Weight</v>
      </c>
      <c r="D152" s="4" t="s">
        <v>11</v>
      </c>
      <c r="E152" s="4" t="str">
        <f>IF(Table13_1[[#This Row],[smoker]]="yes","smoker","non-smoker")</f>
        <v>non-smoker</v>
      </c>
      <c r="F152" s="4" t="s">
        <v>13</v>
      </c>
      <c r="G152" s="5">
        <v>35</v>
      </c>
      <c r="H152" s="5">
        <f>IF(Table13_1[[#This Row],[smoker]]="yes",1,0)</f>
        <v>0</v>
      </c>
      <c r="I152" s="4">
        <v>24.13</v>
      </c>
      <c r="J152" s="4">
        <v>1</v>
      </c>
      <c r="K152" s="12">
        <v>5125.2156999999997</v>
      </c>
    </row>
    <row r="153" spans="1:22" x14ac:dyDescent="0.25">
      <c r="A153" s="4" t="s">
        <v>10</v>
      </c>
      <c r="B153" s="4">
        <f>ROUND(Table13_1[[#This Row],[bmi]],1)</f>
        <v>29.7</v>
      </c>
      <c r="C153" s="4" t="str" cm="1">
        <f t="array" ref="C153">_xlfn.IFS(Table13_1[[#This Row],[Round BMI]]&lt;18.5,"Underweight",AND(Table13_1[[#This Row],[Round BMI]]&gt;=18.5,Table13_1[[#This Row],[Round BMI]] &lt;=24.9),"Healthy Weight",AND(Table13_1[[#This Row],[Round BMI]]&gt;=25,Table13_1[[#This Row],[Round BMI]]&lt;=29.9),"Overweight",Table13_1[[#This Row],[Round BMI]]&gt;=30,"Obese")</f>
        <v>Overweight</v>
      </c>
      <c r="D153" s="4" t="s">
        <v>11</v>
      </c>
      <c r="E153" s="4" t="str">
        <f>IF(Table13_1[[#This Row],[smoker]]="yes","smoker","non-smoker")</f>
        <v>non-smoker</v>
      </c>
      <c r="F153" s="4" t="s">
        <v>12</v>
      </c>
      <c r="G153" s="5">
        <v>48</v>
      </c>
      <c r="H153" s="5">
        <f>IF(Table13_1[[#This Row],[smoker]]="yes",1,0)</f>
        <v>0</v>
      </c>
      <c r="I153" s="4">
        <v>29.7</v>
      </c>
      <c r="J153" s="4">
        <v>0</v>
      </c>
      <c r="K153" s="12">
        <v>7789.6350000000002</v>
      </c>
      <c r="N153" t="s">
        <v>65</v>
      </c>
    </row>
    <row r="154" spans="1:22" ht="15.75" thickBot="1" x14ac:dyDescent="0.3">
      <c r="A154" s="4" t="s">
        <v>7</v>
      </c>
      <c r="B154" s="4">
        <f>ROUND(Table13_1[[#This Row],[bmi]],1)</f>
        <v>37.1</v>
      </c>
      <c r="C154" s="4" t="str" cm="1">
        <f t="array" ref="C154">_xlfn.IFS(Table13_1[[#This Row],[Round BMI]]&lt;18.5,"Underweight",AND(Table13_1[[#This Row],[Round BMI]]&gt;=18.5,Table13_1[[#This Row],[Round BMI]] &lt;=24.9),"Healthy Weight",AND(Table13_1[[#This Row],[Round BMI]]&gt;=25,Table13_1[[#This Row],[Round BMI]]&lt;=29.9),"Overweight",Table13_1[[#This Row],[Round BMI]]&gt;=30,"Obese")</f>
        <v>Obese</v>
      </c>
      <c r="D154" s="4" t="s">
        <v>11</v>
      </c>
      <c r="E154" s="4" t="str">
        <f>IF(Table13_1[[#This Row],[smoker]]="yes","smoker","non-smoker")</f>
        <v>non-smoker</v>
      </c>
      <c r="F154" s="4" t="s">
        <v>14</v>
      </c>
      <c r="G154" s="5">
        <v>32</v>
      </c>
      <c r="H154" s="5">
        <f>IF(Table13_1[[#This Row],[smoker]]="yes",1,0)</f>
        <v>0</v>
      </c>
      <c r="I154" s="4">
        <v>37.145000000000003</v>
      </c>
      <c r="J154" s="4">
        <v>3</v>
      </c>
      <c r="K154" s="12">
        <v>6334.3436000000002</v>
      </c>
    </row>
    <row r="155" spans="1:22" x14ac:dyDescent="0.25">
      <c r="A155" s="4" t="s">
        <v>7</v>
      </c>
      <c r="B155" s="4">
        <f>ROUND(Table13_1[[#This Row],[bmi]],1)</f>
        <v>23.4</v>
      </c>
      <c r="C155" s="4" t="str" cm="1">
        <f t="array" ref="C155">_xlfn.IFS(Table13_1[[#This Row],[Round BMI]]&lt;18.5,"Underweight",AND(Table13_1[[#This Row],[Round BMI]]&gt;=18.5,Table13_1[[#This Row],[Round BMI]] &lt;=24.9),"Healthy Weight",AND(Table13_1[[#This Row],[Round BMI]]&gt;=25,Table13_1[[#This Row],[Round BMI]]&lt;=29.9),"Overweight",Table13_1[[#This Row],[Round BMI]]&gt;=30,"Obese")</f>
        <v>Healthy Weight</v>
      </c>
      <c r="D155" s="4" t="s">
        <v>8</v>
      </c>
      <c r="E155" s="4" t="str">
        <f>IF(Table13_1[[#This Row],[smoker]]="yes","smoker","non-smoker")</f>
        <v>smoker</v>
      </c>
      <c r="F155" s="4" t="s">
        <v>14</v>
      </c>
      <c r="G155" s="5">
        <v>42</v>
      </c>
      <c r="H155" s="5">
        <f>IF(Table13_1[[#This Row],[smoker]]="yes",1,0)</f>
        <v>1</v>
      </c>
      <c r="I155" s="4">
        <v>23.37</v>
      </c>
      <c r="J155" s="4">
        <v>0</v>
      </c>
      <c r="K155" s="12">
        <v>19964.746299999999</v>
      </c>
      <c r="N155" s="8" t="s">
        <v>66</v>
      </c>
      <c r="O155" s="8" t="s">
        <v>68</v>
      </c>
      <c r="P155" s="8" t="s">
        <v>67</v>
      </c>
    </row>
    <row r="156" spans="1:22" x14ac:dyDescent="0.25">
      <c r="A156" s="4" t="s">
        <v>7</v>
      </c>
      <c r="B156" s="4">
        <f>ROUND(Table13_1[[#This Row],[bmi]],1)</f>
        <v>25.5</v>
      </c>
      <c r="C156" s="4" t="str" cm="1">
        <f t="array" ref="C156">_xlfn.IFS(Table13_1[[#This Row],[Round BMI]]&lt;18.5,"Underweight",AND(Table13_1[[#This Row],[Round BMI]]&gt;=18.5,Table13_1[[#This Row],[Round BMI]] &lt;=24.9),"Healthy Weight",AND(Table13_1[[#This Row],[Round BMI]]&gt;=25,Table13_1[[#This Row],[Round BMI]]&lt;=29.9),"Overweight",Table13_1[[#This Row],[Round BMI]]&gt;=30,"Obese")</f>
        <v>Overweight</v>
      </c>
      <c r="D156" s="4" t="s">
        <v>11</v>
      </c>
      <c r="E156" s="4" t="str">
        <f>IF(Table13_1[[#This Row],[smoker]]="yes","smoker","non-smoker")</f>
        <v>non-smoker</v>
      </c>
      <c r="F156" s="4" t="s">
        <v>14</v>
      </c>
      <c r="G156" s="5">
        <v>40</v>
      </c>
      <c r="H156" s="5">
        <f>IF(Table13_1[[#This Row],[smoker]]="yes",1,0)</f>
        <v>0</v>
      </c>
      <c r="I156" s="4">
        <v>25.46</v>
      </c>
      <c r="J156" s="4">
        <v>1</v>
      </c>
      <c r="K156" s="12">
        <v>7077.1894000000002</v>
      </c>
      <c r="N156">
        <v>1</v>
      </c>
      <c r="O156">
        <v>25587.425246371364</v>
      </c>
      <c r="P156">
        <v>-8702.5012463713647</v>
      </c>
    </row>
    <row r="157" spans="1:22" x14ac:dyDescent="0.25">
      <c r="A157" s="4" t="s">
        <v>10</v>
      </c>
      <c r="B157" s="4">
        <f>ROUND(Table13_1[[#This Row],[bmi]],1)</f>
        <v>39.5</v>
      </c>
      <c r="C157" s="4" t="str" cm="1">
        <f t="array" ref="C157">_xlfn.IFS(Table13_1[[#This Row],[Round BMI]]&lt;18.5,"Underweight",AND(Table13_1[[#This Row],[Round BMI]]&gt;=18.5,Table13_1[[#This Row],[Round BMI]] &lt;=24.9),"Healthy Weight",AND(Table13_1[[#This Row],[Round BMI]]&gt;=25,Table13_1[[#This Row],[Round BMI]]&lt;=29.9),"Overweight",Table13_1[[#This Row],[Round BMI]]&gt;=30,"Obese")</f>
        <v>Obese</v>
      </c>
      <c r="D157" s="4" t="s">
        <v>11</v>
      </c>
      <c r="E157" s="4" t="str">
        <f>IF(Table13_1[[#This Row],[smoker]]="yes","smoker","non-smoker")</f>
        <v>non-smoker</v>
      </c>
      <c r="F157" s="4" t="s">
        <v>13</v>
      </c>
      <c r="G157" s="5">
        <v>44</v>
      </c>
      <c r="H157" s="5">
        <f>IF(Table13_1[[#This Row],[smoker]]="yes",1,0)</f>
        <v>0</v>
      </c>
      <c r="I157" s="4">
        <v>39.520000000000003</v>
      </c>
      <c r="J157" s="4">
        <v>0</v>
      </c>
      <c r="K157" s="12">
        <v>6948.7007999999996</v>
      </c>
      <c r="N157">
        <v>2</v>
      </c>
      <c r="O157">
        <v>3880.9459432492254</v>
      </c>
      <c r="P157">
        <v>-2155.3936432492255</v>
      </c>
    </row>
    <row r="158" spans="1:22" x14ac:dyDescent="0.25">
      <c r="A158" s="4" t="s">
        <v>10</v>
      </c>
      <c r="B158" s="4">
        <f>ROUND(Table13_1[[#This Row],[bmi]],1)</f>
        <v>24.4</v>
      </c>
      <c r="C158" s="4" t="str" cm="1">
        <f t="array" ref="C158">_xlfn.IFS(Table13_1[[#This Row],[Round BMI]]&lt;18.5,"Underweight",AND(Table13_1[[#This Row],[Round BMI]]&gt;=18.5,Table13_1[[#This Row],[Round BMI]] &lt;=24.9),"Healthy Weight",AND(Table13_1[[#This Row],[Round BMI]]&gt;=25,Table13_1[[#This Row],[Round BMI]]&lt;=29.9),"Overweight",Table13_1[[#This Row],[Round BMI]]&gt;=30,"Obese")</f>
        <v>Healthy Weight</v>
      </c>
      <c r="D158" s="4" t="s">
        <v>8</v>
      </c>
      <c r="E158" s="4" t="str">
        <f>IF(Table13_1[[#This Row],[smoker]]="yes","smoker","non-smoker")</f>
        <v>smoker</v>
      </c>
      <c r="F158" s="4" t="s">
        <v>12</v>
      </c>
      <c r="G158" s="5">
        <v>48</v>
      </c>
      <c r="H158" s="5">
        <f>IF(Table13_1[[#This Row],[smoker]]="yes",1,0)</f>
        <v>1</v>
      </c>
      <c r="I158" s="4">
        <v>24.42</v>
      </c>
      <c r="J158" s="4">
        <v>0</v>
      </c>
      <c r="K158" s="12">
        <v>21223.675800000001</v>
      </c>
      <c r="N158">
        <v>3</v>
      </c>
      <c r="O158">
        <v>7158.6200674566962</v>
      </c>
      <c r="P158">
        <v>-2709.1580674566958</v>
      </c>
    </row>
    <row r="159" spans="1:22" x14ac:dyDescent="0.25">
      <c r="A159" s="4" t="s">
        <v>10</v>
      </c>
      <c r="B159" s="4">
        <f>ROUND(Table13_1[[#This Row],[bmi]],1)</f>
        <v>25.2</v>
      </c>
      <c r="C159" s="4" t="str" cm="1">
        <f t="array" ref="C159">_xlfn.IFS(Table13_1[[#This Row],[Round BMI]]&lt;18.5,"Underweight",AND(Table13_1[[#This Row],[Round BMI]]&gt;=18.5,Table13_1[[#This Row],[Round BMI]] &lt;=24.9),"Healthy Weight",AND(Table13_1[[#This Row],[Round BMI]]&gt;=25,Table13_1[[#This Row],[Round BMI]]&lt;=29.9),"Overweight",Table13_1[[#This Row],[Round BMI]]&gt;=30,"Obese")</f>
        <v>Overweight</v>
      </c>
      <c r="D159" s="4" t="s">
        <v>8</v>
      </c>
      <c r="E159" s="4" t="str">
        <f>IF(Table13_1[[#This Row],[smoker]]="yes","smoker","non-smoker")</f>
        <v>smoker</v>
      </c>
      <c r="F159" s="4" t="s">
        <v>14</v>
      </c>
      <c r="G159" s="5">
        <v>18</v>
      </c>
      <c r="H159" s="5">
        <f>IF(Table13_1[[#This Row],[smoker]]="yes",1,0)</f>
        <v>1</v>
      </c>
      <c r="I159" s="4">
        <v>25.175000000000001</v>
      </c>
      <c r="J159" s="4">
        <v>0</v>
      </c>
      <c r="K159" s="12">
        <v>15518.180200000001</v>
      </c>
      <c r="N159">
        <v>4</v>
      </c>
      <c r="O159">
        <v>3713.9004652207241</v>
      </c>
      <c r="P159">
        <v>18270.570134779278</v>
      </c>
    </row>
    <row r="160" spans="1:22" x14ac:dyDescent="0.25">
      <c r="A160" s="4" t="s">
        <v>10</v>
      </c>
      <c r="B160" s="4">
        <f>ROUND(Table13_1[[#This Row],[bmi]],1)</f>
        <v>35.5</v>
      </c>
      <c r="C160" s="4" t="str" cm="1">
        <f t="array" ref="C160">_xlfn.IFS(Table13_1[[#This Row],[Round BMI]]&lt;18.5,"Underweight",AND(Table13_1[[#This Row],[Round BMI]]&gt;=18.5,Table13_1[[#This Row],[Round BMI]] &lt;=24.9),"Healthy Weight",AND(Table13_1[[#This Row],[Round BMI]]&gt;=25,Table13_1[[#This Row],[Round BMI]]&lt;=29.9),"Overweight",Table13_1[[#This Row],[Round BMI]]&gt;=30,"Obese")</f>
        <v>Obese</v>
      </c>
      <c r="D160" s="4" t="s">
        <v>8</v>
      </c>
      <c r="E160" s="4" t="str">
        <f>IF(Table13_1[[#This Row],[smoker]]="yes","smoker","non-smoker")</f>
        <v>smoker</v>
      </c>
      <c r="F160" s="4" t="s">
        <v>12</v>
      </c>
      <c r="G160" s="5">
        <v>30</v>
      </c>
      <c r="H160" s="5">
        <f>IF(Table13_1[[#This Row],[smoker]]="yes",1,0)</f>
        <v>1</v>
      </c>
      <c r="I160" s="4">
        <v>35.53</v>
      </c>
      <c r="J160" s="4">
        <v>0</v>
      </c>
      <c r="K160" s="12">
        <v>36950.256699999998</v>
      </c>
      <c r="N160">
        <v>5</v>
      </c>
      <c r="O160">
        <v>5443.4833704348548</v>
      </c>
      <c r="P160">
        <v>-1576.6281704348548</v>
      </c>
    </row>
    <row r="161" spans="1:16" x14ac:dyDescent="0.25">
      <c r="A161" s="4" t="s">
        <v>7</v>
      </c>
      <c r="B161" s="4">
        <f>ROUND(Table13_1[[#This Row],[bmi]],1)</f>
        <v>27.8</v>
      </c>
      <c r="C161" s="4" t="str" cm="1">
        <f t="array" ref="C161">_xlfn.IFS(Table13_1[[#This Row],[Round BMI]]&lt;18.5,"Underweight",AND(Table13_1[[#This Row],[Round BMI]]&gt;=18.5,Table13_1[[#This Row],[Round BMI]] &lt;=24.9),"Healthy Weight",AND(Table13_1[[#This Row],[Round BMI]]&gt;=25,Table13_1[[#This Row],[Round BMI]]&lt;=29.9),"Overweight",Table13_1[[#This Row],[Round BMI]]&gt;=30,"Obese")</f>
        <v>Overweight</v>
      </c>
      <c r="D161" s="4" t="s">
        <v>11</v>
      </c>
      <c r="E161" s="4" t="str">
        <f>IF(Table13_1[[#This Row],[smoker]]="yes","smoker","non-smoker")</f>
        <v>non-smoker</v>
      </c>
      <c r="F161" s="4" t="s">
        <v>12</v>
      </c>
      <c r="G161" s="5">
        <v>50</v>
      </c>
      <c r="H161" s="5">
        <f>IF(Table13_1[[#This Row],[smoker]]="yes",1,0)</f>
        <v>0</v>
      </c>
      <c r="I161" s="4">
        <v>27.83</v>
      </c>
      <c r="J161" s="4">
        <v>3</v>
      </c>
      <c r="K161" s="12">
        <v>19749.383399999999</v>
      </c>
      <c r="N161">
        <v>6</v>
      </c>
      <c r="O161">
        <v>4175.0204581830922</v>
      </c>
      <c r="P161">
        <v>-418.39885818309222</v>
      </c>
    </row>
    <row r="162" spans="1:16" x14ac:dyDescent="0.25">
      <c r="A162" s="4" t="s">
        <v>7</v>
      </c>
      <c r="B162" s="4">
        <f>ROUND(Table13_1[[#This Row],[bmi]],1)</f>
        <v>26.6</v>
      </c>
      <c r="C162" s="4" t="str" cm="1">
        <f t="array" ref="C162">_xlfn.IFS(Table13_1[[#This Row],[Round BMI]]&lt;18.5,"Underweight",AND(Table13_1[[#This Row],[Round BMI]]&gt;=18.5,Table13_1[[#This Row],[Round BMI]] &lt;=24.9),"Healthy Weight",AND(Table13_1[[#This Row],[Round BMI]]&gt;=25,Table13_1[[#This Row],[Round BMI]]&lt;=29.9),"Overweight",Table13_1[[#This Row],[Round BMI]]&gt;=30,"Obese")</f>
        <v>Overweight</v>
      </c>
      <c r="D162" s="4" t="s">
        <v>8</v>
      </c>
      <c r="E162" s="4" t="str">
        <f>IF(Table13_1[[#This Row],[smoker]]="yes","smoker","non-smoker")</f>
        <v>smoker</v>
      </c>
      <c r="F162" s="4" t="s">
        <v>13</v>
      </c>
      <c r="G162" s="5">
        <v>42</v>
      </c>
      <c r="H162" s="5">
        <f>IF(Table13_1[[#This Row],[smoker]]="yes",1,0)</f>
        <v>1</v>
      </c>
      <c r="I162" s="4">
        <v>26.6</v>
      </c>
      <c r="J162" s="4">
        <v>0</v>
      </c>
      <c r="K162" s="12">
        <v>21348.705999999998</v>
      </c>
      <c r="N162">
        <v>7</v>
      </c>
      <c r="O162">
        <v>10994.521185561591</v>
      </c>
      <c r="P162">
        <v>-2753.9315855615914</v>
      </c>
    </row>
    <row r="163" spans="1:16" x14ac:dyDescent="0.25">
      <c r="A163" s="4" t="s">
        <v>7</v>
      </c>
      <c r="B163" s="4">
        <f>ROUND(Table13_1[[#This Row],[bmi]],1)</f>
        <v>36.9</v>
      </c>
      <c r="C163" s="4" t="str" cm="1">
        <f t="array" ref="C163">_xlfn.IFS(Table13_1[[#This Row],[Round BMI]]&lt;18.5,"Underweight",AND(Table13_1[[#This Row],[Round BMI]]&gt;=18.5,Table13_1[[#This Row],[Round BMI]] &lt;=24.9),"Healthy Weight",AND(Table13_1[[#This Row],[Round BMI]]&gt;=25,Table13_1[[#This Row],[Round BMI]]&lt;=29.9),"Overweight",Table13_1[[#This Row],[Round BMI]]&gt;=30,"Obese")</f>
        <v>Obese</v>
      </c>
      <c r="D163" s="4" t="s">
        <v>8</v>
      </c>
      <c r="E163" s="4" t="str">
        <f>IF(Table13_1[[#This Row],[smoker]]="yes","smoker","non-smoker")</f>
        <v>smoker</v>
      </c>
      <c r="F163" s="4" t="s">
        <v>12</v>
      </c>
      <c r="G163" s="5">
        <v>18</v>
      </c>
      <c r="H163" s="5">
        <f>IF(Table13_1[[#This Row],[smoker]]="yes",1,0)</f>
        <v>1</v>
      </c>
      <c r="I163" s="4">
        <v>36.85</v>
      </c>
      <c r="J163" s="4">
        <v>0</v>
      </c>
      <c r="K163" s="12">
        <v>36149.483500000002</v>
      </c>
      <c r="N163">
        <v>8</v>
      </c>
      <c r="O163">
        <v>7786.3272544851206</v>
      </c>
      <c r="P163">
        <v>-504.82165448512023</v>
      </c>
    </row>
    <row r="164" spans="1:16" x14ac:dyDescent="0.25">
      <c r="A164" s="4" t="s">
        <v>10</v>
      </c>
      <c r="B164" s="4">
        <f>ROUND(Table13_1[[#This Row],[bmi]],1)</f>
        <v>39.6</v>
      </c>
      <c r="C164" s="4" t="str" cm="1">
        <f t="array" ref="C164">_xlfn.IFS(Table13_1[[#This Row],[Round BMI]]&lt;18.5,"Underweight",AND(Table13_1[[#This Row],[Round BMI]]&gt;=18.5,Table13_1[[#This Row],[Round BMI]] &lt;=24.9),"Healthy Weight",AND(Table13_1[[#This Row],[Round BMI]]&gt;=25,Table13_1[[#This Row],[Round BMI]]&lt;=29.9),"Overweight",Table13_1[[#This Row],[Round BMI]]&gt;=30,"Obese")</f>
        <v>Obese</v>
      </c>
      <c r="D164" s="4" t="s">
        <v>11</v>
      </c>
      <c r="E164" s="4" t="str">
        <f>IF(Table13_1[[#This Row],[smoker]]="yes","smoker","non-smoker")</f>
        <v>non-smoker</v>
      </c>
      <c r="F164" s="4" t="s">
        <v>9</v>
      </c>
      <c r="G164" s="5">
        <v>54</v>
      </c>
      <c r="H164" s="5">
        <f>IF(Table13_1[[#This Row],[smoker]]="yes",1,0)</f>
        <v>0</v>
      </c>
      <c r="I164" s="4">
        <v>39.6</v>
      </c>
      <c r="J164" s="4">
        <v>1</v>
      </c>
      <c r="K164" s="12">
        <v>10450.552</v>
      </c>
      <c r="N164">
        <v>9</v>
      </c>
      <c r="O164">
        <v>7985.4943708774326</v>
      </c>
      <c r="P164">
        <v>-1579.0836708774323</v>
      </c>
    </row>
    <row r="165" spans="1:16" x14ac:dyDescent="0.25">
      <c r="A165" s="4" t="s">
        <v>7</v>
      </c>
      <c r="B165" s="4">
        <f>ROUND(Table13_1[[#This Row],[bmi]],1)</f>
        <v>29.8</v>
      </c>
      <c r="C165" s="4" t="str" cm="1">
        <f t="array" ref="C165">_xlfn.IFS(Table13_1[[#This Row],[Round BMI]]&lt;18.5,"Underweight",AND(Table13_1[[#This Row],[Round BMI]]&gt;=18.5,Table13_1[[#This Row],[Round BMI]] &lt;=24.9),"Healthy Weight",AND(Table13_1[[#This Row],[Round BMI]]&gt;=25,Table13_1[[#This Row],[Round BMI]]&lt;=29.9),"Overweight",Table13_1[[#This Row],[Round BMI]]&gt;=30,"Obese")</f>
        <v>Overweight</v>
      </c>
      <c r="D165" s="4" t="s">
        <v>11</v>
      </c>
      <c r="E165" s="4" t="str">
        <f>IF(Table13_1[[#This Row],[smoker]]="yes","smoker","non-smoker")</f>
        <v>non-smoker</v>
      </c>
      <c r="F165" s="4" t="s">
        <v>9</v>
      </c>
      <c r="G165" s="5">
        <v>32</v>
      </c>
      <c r="H165" s="5">
        <f>IF(Table13_1[[#This Row],[smoker]]="yes",1,0)</f>
        <v>0</v>
      </c>
      <c r="I165" s="4">
        <v>29.8</v>
      </c>
      <c r="J165" s="4">
        <v>2</v>
      </c>
      <c r="K165" s="12">
        <v>5152.134</v>
      </c>
      <c r="N165">
        <v>10</v>
      </c>
      <c r="O165">
        <v>11684.841311047534</v>
      </c>
      <c r="P165">
        <v>17238.295588952467</v>
      </c>
    </row>
    <row r="166" spans="1:16" x14ac:dyDescent="0.25">
      <c r="A166" s="4" t="s">
        <v>10</v>
      </c>
      <c r="B166" s="4">
        <f>ROUND(Table13_1[[#This Row],[bmi]],1)</f>
        <v>29.6</v>
      </c>
      <c r="C166" s="4" t="str" cm="1">
        <f t="array" ref="C166">_xlfn.IFS(Table13_1[[#This Row],[Round BMI]]&lt;18.5,"Underweight",AND(Table13_1[[#This Row],[Round BMI]]&gt;=18.5,Table13_1[[#This Row],[Round BMI]] &lt;=24.9),"Healthy Weight",AND(Table13_1[[#This Row],[Round BMI]]&gt;=25,Table13_1[[#This Row],[Round BMI]]&lt;=29.9),"Overweight",Table13_1[[#This Row],[Round BMI]]&gt;=30,"Obese")</f>
        <v>Overweight</v>
      </c>
      <c r="D166" s="4" t="s">
        <v>11</v>
      </c>
      <c r="E166" s="4" t="str">
        <f>IF(Table13_1[[#This Row],[smoker]]="yes","smoker","non-smoker")</f>
        <v>non-smoker</v>
      </c>
      <c r="F166" s="4" t="s">
        <v>13</v>
      </c>
      <c r="G166" s="5">
        <v>37</v>
      </c>
      <c r="H166" s="5">
        <f>IF(Table13_1[[#This Row],[smoker]]="yes",1,0)</f>
        <v>0</v>
      </c>
      <c r="I166" s="4">
        <v>29.64</v>
      </c>
      <c r="J166" s="4">
        <v>0</v>
      </c>
      <c r="K166" s="12">
        <v>5028.1466</v>
      </c>
      <c r="N166">
        <v>11</v>
      </c>
      <c r="O166">
        <v>2782.4120875647377</v>
      </c>
      <c r="P166">
        <v>-61.09128756473774</v>
      </c>
    </row>
    <row r="167" spans="1:16" x14ac:dyDescent="0.25">
      <c r="A167" s="4" t="s">
        <v>10</v>
      </c>
      <c r="B167" s="4">
        <f>ROUND(Table13_1[[#This Row],[bmi]],1)</f>
        <v>28.2</v>
      </c>
      <c r="C167" s="4" t="str" cm="1">
        <f t="array" ref="C167">_xlfn.IFS(Table13_1[[#This Row],[Round BMI]]&lt;18.5,"Underweight",AND(Table13_1[[#This Row],[Round BMI]]&gt;=18.5,Table13_1[[#This Row],[Round BMI]] &lt;=24.9),"Healthy Weight",AND(Table13_1[[#This Row],[Round BMI]]&gt;=25,Table13_1[[#This Row],[Round BMI]]&lt;=29.9),"Overweight",Table13_1[[#This Row],[Round BMI]]&gt;=30,"Obese")</f>
        <v>Overweight</v>
      </c>
      <c r="D167" s="4" t="s">
        <v>11</v>
      </c>
      <c r="E167" s="4" t="str">
        <f>IF(Table13_1[[#This Row],[smoker]]="yes","smoker","non-smoker")</f>
        <v>non-smoker</v>
      </c>
      <c r="F167" s="4" t="s">
        <v>14</v>
      </c>
      <c r="G167" s="5">
        <v>47</v>
      </c>
      <c r="H167" s="5">
        <f>IF(Table13_1[[#This Row],[smoker]]="yes",1,0)</f>
        <v>0</v>
      </c>
      <c r="I167" s="4">
        <v>28.215</v>
      </c>
      <c r="J167" s="4">
        <v>4</v>
      </c>
      <c r="K167" s="12">
        <v>10407.085800000001</v>
      </c>
      <c r="N167">
        <v>12</v>
      </c>
      <c r="O167">
        <v>36156.773303002316</v>
      </c>
      <c r="P167">
        <v>-8348.0482030023159</v>
      </c>
    </row>
    <row r="168" spans="1:16" x14ac:dyDescent="0.25">
      <c r="A168" s="4" t="s">
        <v>7</v>
      </c>
      <c r="B168" s="4">
        <f>ROUND(Table13_1[[#This Row],[bmi]],1)</f>
        <v>37</v>
      </c>
      <c r="C168" s="4" t="str" cm="1">
        <f t="array" ref="C168">_xlfn.IFS(Table13_1[[#This Row],[Round BMI]]&lt;18.5,"Underweight",AND(Table13_1[[#This Row],[Round BMI]]&gt;=18.5,Table13_1[[#This Row],[Round BMI]] &lt;=24.9),"Healthy Weight",AND(Table13_1[[#This Row],[Round BMI]]&gt;=25,Table13_1[[#This Row],[Round BMI]]&lt;=29.9),"Overweight",Table13_1[[#This Row],[Round BMI]]&gt;=30,"Obese")</f>
        <v>Obese</v>
      </c>
      <c r="D168" s="4" t="s">
        <v>11</v>
      </c>
      <c r="E168" s="4" t="str">
        <f>IF(Table13_1[[#This Row],[smoker]]="yes","smoker","non-smoker")</f>
        <v>non-smoker</v>
      </c>
      <c r="F168" s="4" t="s">
        <v>9</v>
      </c>
      <c r="G168" s="5">
        <v>20</v>
      </c>
      <c r="H168" s="5">
        <f>IF(Table13_1[[#This Row],[smoker]]="yes",1,0)</f>
        <v>0</v>
      </c>
      <c r="I168" s="4">
        <v>37</v>
      </c>
      <c r="J168" s="4">
        <v>5</v>
      </c>
      <c r="K168" s="12">
        <v>4830.63</v>
      </c>
      <c r="N168">
        <v>13</v>
      </c>
      <c r="O168">
        <v>4899.4575481451448</v>
      </c>
      <c r="P168">
        <v>-3072.6145481451449</v>
      </c>
    </row>
    <row r="169" spans="1:16" x14ac:dyDescent="0.25">
      <c r="A169" s="4" t="s">
        <v>7</v>
      </c>
      <c r="B169" s="4">
        <f>ROUND(Table13_1[[#This Row],[bmi]],1)</f>
        <v>33.200000000000003</v>
      </c>
      <c r="C169" s="4" t="str" cm="1">
        <f t="array" ref="C169">_xlfn.IFS(Table13_1[[#This Row],[Round BMI]]&lt;18.5,"Underweight",AND(Table13_1[[#This Row],[Round BMI]]&gt;=18.5,Table13_1[[#This Row],[Round BMI]] &lt;=24.9),"Healthy Weight",AND(Table13_1[[#This Row],[Round BMI]]&gt;=25,Table13_1[[#This Row],[Round BMI]]&lt;=29.9),"Overweight",Table13_1[[#This Row],[Round BMI]]&gt;=30,"Obese")</f>
        <v>Obese</v>
      </c>
      <c r="D169" s="4" t="s">
        <v>11</v>
      </c>
      <c r="E169" s="4" t="str">
        <f>IF(Table13_1[[#This Row],[smoker]]="yes","smoker","non-smoker")</f>
        <v>non-smoker</v>
      </c>
      <c r="F169" s="4" t="s">
        <v>13</v>
      </c>
      <c r="G169" s="5">
        <v>32</v>
      </c>
      <c r="H169" s="5">
        <f>IF(Table13_1[[#This Row],[smoker]]="yes",1,0)</f>
        <v>0</v>
      </c>
      <c r="I169" s="4">
        <v>33.155000000000001</v>
      </c>
      <c r="J169" s="4">
        <v>3</v>
      </c>
      <c r="K169" s="12">
        <v>6128.7974000000004</v>
      </c>
      <c r="N169">
        <v>14</v>
      </c>
      <c r="O169">
        <v>15152.925893446263</v>
      </c>
      <c r="P169">
        <v>-4062.2080934462629</v>
      </c>
    </row>
    <row r="170" spans="1:16" x14ac:dyDescent="0.25">
      <c r="A170" s="4" t="s">
        <v>7</v>
      </c>
      <c r="B170" s="4">
        <f>ROUND(Table13_1[[#This Row],[bmi]],1)</f>
        <v>31.8</v>
      </c>
      <c r="C170" s="4" t="str" cm="1">
        <f t="array" ref="C170">_xlfn.IFS(Table13_1[[#This Row],[Round BMI]]&lt;18.5,"Underweight",AND(Table13_1[[#This Row],[Round BMI]]&gt;=18.5,Table13_1[[#This Row],[Round BMI]] &lt;=24.9),"Healthy Weight",AND(Table13_1[[#This Row],[Round BMI]]&gt;=25,Table13_1[[#This Row],[Round BMI]]&lt;=29.9),"Overweight",Table13_1[[#This Row],[Round BMI]]&gt;=30,"Obese")</f>
        <v>Obese</v>
      </c>
      <c r="D170" s="4" t="s">
        <v>11</v>
      </c>
      <c r="E170" s="4" t="str">
        <f>IF(Table13_1[[#This Row],[smoker]]="yes","smoker","non-smoker")</f>
        <v>non-smoker</v>
      </c>
      <c r="F170" s="4" t="s">
        <v>13</v>
      </c>
      <c r="G170" s="5">
        <v>19</v>
      </c>
      <c r="H170" s="5">
        <f>IF(Table13_1[[#This Row],[smoker]]="yes",1,0)</f>
        <v>0</v>
      </c>
      <c r="I170" s="4">
        <v>31.824999999999999</v>
      </c>
      <c r="J170" s="4">
        <v>1</v>
      </c>
      <c r="K170" s="12">
        <v>2719.2797999999998</v>
      </c>
      <c r="N170">
        <v>15</v>
      </c>
      <c r="O170">
        <v>32230.166767444665</v>
      </c>
      <c r="P170">
        <v>7381.5909325553366</v>
      </c>
    </row>
    <row r="171" spans="1:16" x14ac:dyDescent="0.25">
      <c r="A171" s="4" t="s">
        <v>10</v>
      </c>
      <c r="B171" s="4">
        <f>ROUND(Table13_1[[#This Row],[bmi]],1)</f>
        <v>18.899999999999999</v>
      </c>
      <c r="C171" s="4" t="str" cm="1">
        <f t="array" ref="C171">_xlfn.IFS(Table13_1[[#This Row],[Round BMI]]&lt;18.5,"Underweight",AND(Table13_1[[#This Row],[Round BMI]]&gt;=18.5,Table13_1[[#This Row],[Round BMI]] &lt;=24.9),"Healthy Weight",AND(Table13_1[[#This Row],[Round BMI]]&gt;=25,Table13_1[[#This Row],[Round BMI]]&lt;=29.9),"Overweight",Table13_1[[#This Row],[Round BMI]]&gt;=30,"Obese")</f>
        <v>Healthy Weight</v>
      </c>
      <c r="D171" s="4" t="s">
        <v>11</v>
      </c>
      <c r="E171" s="4" t="str">
        <f>IF(Table13_1[[#This Row],[smoker]]="yes","smoker","non-smoker")</f>
        <v>non-smoker</v>
      </c>
      <c r="F171" s="4" t="s">
        <v>14</v>
      </c>
      <c r="G171" s="5">
        <v>27</v>
      </c>
      <c r="H171" s="5">
        <f>IF(Table13_1[[#This Row],[smoker]]="yes",1,0)</f>
        <v>0</v>
      </c>
      <c r="I171" s="4">
        <v>18.905000000000001</v>
      </c>
      <c r="J171" s="4">
        <v>3</v>
      </c>
      <c r="K171" s="12">
        <v>4827.9049999999997</v>
      </c>
      <c r="N171">
        <v>16</v>
      </c>
      <c r="O171">
        <v>1187.4180865256617</v>
      </c>
      <c r="P171">
        <v>649.81891347433839</v>
      </c>
    </row>
    <row r="172" spans="1:16" x14ac:dyDescent="0.25">
      <c r="A172" s="4" t="s">
        <v>10</v>
      </c>
      <c r="B172" s="4">
        <f>ROUND(Table13_1[[#This Row],[bmi]],1)</f>
        <v>41.5</v>
      </c>
      <c r="C172" s="4" t="str" cm="1">
        <f t="array" ref="C172">_xlfn.IFS(Table13_1[[#This Row],[Round BMI]]&lt;18.5,"Underweight",AND(Table13_1[[#This Row],[Round BMI]]&gt;=18.5,Table13_1[[#This Row],[Round BMI]] &lt;=24.9),"Healthy Weight",AND(Table13_1[[#This Row],[Round BMI]]&gt;=25,Table13_1[[#This Row],[Round BMI]]&lt;=29.9),"Overweight",Table13_1[[#This Row],[Round BMI]]&gt;=30,"Obese")</f>
        <v>Obese</v>
      </c>
      <c r="D172" s="4" t="s">
        <v>11</v>
      </c>
      <c r="E172" s="4" t="str">
        <f>IF(Table13_1[[#This Row],[smoker]]="yes","smoker","non-smoker")</f>
        <v>non-smoker</v>
      </c>
      <c r="F172" s="4" t="s">
        <v>12</v>
      </c>
      <c r="G172" s="5">
        <v>63</v>
      </c>
      <c r="H172" s="5">
        <f>IF(Table13_1[[#This Row],[smoker]]="yes",1,0)</f>
        <v>0</v>
      </c>
      <c r="I172" s="4">
        <v>41.47</v>
      </c>
      <c r="J172" s="4">
        <v>0</v>
      </c>
      <c r="K172" s="12">
        <v>13405.390299999999</v>
      </c>
      <c r="N172">
        <v>17</v>
      </c>
      <c r="O172">
        <v>11685.493497986101</v>
      </c>
      <c r="P172">
        <v>-888.15729798610118</v>
      </c>
    </row>
    <row r="173" spans="1:16" x14ac:dyDescent="0.25">
      <c r="A173" s="4" t="s">
        <v>10</v>
      </c>
      <c r="B173" s="4">
        <f>ROUND(Table13_1[[#This Row],[bmi]],1)</f>
        <v>30.3</v>
      </c>
      <c r="C173" s="4" t="str" cm="1">
        <f t="array" ref="C173">_xlfn.IFS(Table13_1[[#This Row],[Round BMI]]&lt;18.5,"Underweight",AND(Table13_1[[#This Row],[Round BMI]]&gt;=18.5,Table13_1[[#This Row],[Round BMI]] &lt;=24.9),"Healthy Weight",AND(Table13_1[[#This Row],[Round BMI]]&gt;=25,Table13_1[[#This Row],[Round BMI]]&lt;=29.9),"Overweight",Table13_1[[#This Row],[Round BMI]]&gt;=30,"Obese")</f>
        <v>Obese</v>
      </c>
      <c r="D173" s="4" t="s">
        <v>11</v>
      </c>
      <c r="E173" s="4" t="str">
        <f>IF(Table13_1[[#This Row],[smoker]]="yes","smoker","non-smoker")</f>
        <v>non-smoker</v>
      </c>
      <c r="F173" s="4" t="s">
        <v>9</v>
      </c>
      <c r="G173" s="5">
        <v>49</v>
      </c>
      <c r="H173" s="5">
        <f>IF(Table13_1[[#This Row],[smoker]]="yes",1,0)</f>
        <v>0</v>
      </c>
      <c r="I173" s="4">
        <v>30.3</v>
      </c>
      <c r="J173" s="4">
        <v>0</v>
      </c>
      <c r="K173" s="12">
        <v>8116.68</v>
      </c>
      <c r="N173">
        <v>18</v>
      </c>
      <c r="O173">
        <v>1502.3159911561461</v>
      </c>
      <c r="P173">
        <v>892.85560884385404</v>
      </c>
    </row>
    <row r="174" spans="1:16" x14ac:dyDescent="0.25">
      <c r="A174" s="4" t="s">
        <v>10</v>
      </c>
      <c r="B174" s="4">
        <f>ROUND(Table13_1[[#This Row],[bmi]],1)</f>
        <v>16</v>
      </c>
      <c r="C174" s="4" t="str" cm="1">
        <f t="array" ref="C174">_xlfn.IFS(Table13_1[[#This Row],[Round BMI]]&lt;18.5,"Underweight",AND(Table13_1[[#This Row],[Round BMI]]&gt;=18.5,Table13_1[[#This Row],[Round BMI]] &lt;=24.9),"Healthy Weight",AND(Table13_1[[#This Row],[Round BMI]]&gt;=25,Table13_1[[#This Row],[Round BMI]]&lt;=29.9),"Overweight",Table13_1[[#This Row],[Round BMI]]&gt;=30,"Obese")</f>
        <v>Underweight</v>
      </c>
      <c r="D174" s="4" t="s">
        <v>11</v>
      </c>
      <c r="E174" s="4" t="str">
        <f>IF(Table13_1[[#This Row],[smoker]]="yes","smoker","non-smoker")</f>
        <v>non-smoker</v>
      </c>
      <c r="F174" s="4" t="s">
        <v>14</v>
      </c>
      <c r="G174" s="5">
        <v>18</v>
      </c>
      <c r="H174" s="5">
        <f>IF(Table13_1[[#This Row],[smoker]]="yes",1,0)</f>
        <v>0</v>
      </c>
      <c r="I174" s="4">
        <v>15.96</v>
      </c>
      <c r="J174" s="4">
        <v>0</v>
      </c>
      <c r="K174" s="12">
        <v>1694.7963999999999</v>
      </c>
      <c r="N174">
        <v>19</v>
      </c>
      <c r="O174">
        <v>15307.414566810045</v>
      </c>
      <c r="P174">
        <v>-4705.0295668100443</v>
      </c>
    </row>
    <row r="175" spans="1:16" x14ac:dyDescent="0.25">
      <c r="A175" s="4" t="s">
        <v>7</v>
      </c>
      <c r="B175" s="4">
        <f>ROUND(Table13_1[[#This Row],[bmi]],1)</f>
        <v>34.799999999999997</v>
      </c>
      <c r="C175" s="4" t="str" cm="1">
        <f t="array" ref="C175">_xlfn.IFS(Table13_1[[#This Row],[Round BMI]]&lt;18.5,"Underweight",AND(Table13_1[[#This Row],[Round BMI]]&gt;=18.5,Table13_1[[#This Row],[Round BMI]] &lt;=24.9),"Healthy Weight",AND(Table13_1[[#This Row],[Round BMI]]&gt;=25,Table13_1[[#This Row],[Round BMI]]&lt;=29.9),"Overweight",Table13_1[[#This Row],[Round BMI]]&gt;=30,"Obese")</f>
        <v>Obese</v>
      </c>
      <c r="D175" s="4" t="s">
        <v>11</v>
      </c>
      <c r="E175" s="4" t="str">
        <f>IF(Table13_1[[#This Row],[smoker]]="yes","smoker","non-smoker")</f>
        <v>non-smoker</v>
      </c>
      <c r="F175" s="4" t="s">
        <v>9</v>
      </c>
      <c r="G175" s="5">
        <v>35</v>
      </c>
      <c r="H175" s="5">
        <f>IF(Table13_1[[#This Row],[smoker]]="yes",1,0)</f>
        <v>0</v>
      </c>
      <c r="I175" s="4">
        <v>34.799999999999997</v>
      </c>
      <c r="J175" s="4">
        <v>1</v>
      </c>
      <c r="K175" s="12">
        <v>5246.0469999999996</v>
      </c>
      <c r="N175">
        <v>20</v>
      </c>
      <c r="O175">
        <v>30805.470208030249</v>
      </c>
      <c r="P175">
        <v>6031.9967919697483</v>
      </c>
    </row>
    <row r="176" spans="1:16" x14ac:dyDescent="0.25">
      <c r="A176" s="4" t="s">
        <v>7</v>
      </c>
      <c r="B176" s="4">
        <f>ROUND(Table13_1[[#This Row],[bmi]],1)</f>
        <v>33.299999999999997</v>
      </c>
      <c r="C176" s="4" t="str" cm="1">
        <f t="array" ref="C176">_xlfn.IFS(Table13_1[[#This Row],[Round BMI]]&lt;18.5,"Underweight",AND(Table13_1[[#This Row],[Round BMI]]&gt;=18.5,Table13_1[[#This Row],[Round BMI]] &lt;=24.9),"Healthy Weight",AND(Table13_1[[#This Row],[Round BMI]]&gt;=25,Table13_1[[#This Row],[Round BMI]]&lt;=29.9),"Overweight",Table13_1[[#This Row],[Round BMI]]&gt;=30,"Obese")</f>
        <v>Obese</v>
      </c>
      <c r="D176" s="4" t="s">
        <v>11</v>
      </c>
      <c r="E176" s="4" t="str">
        <f>IF(Table13_1[[#This Row],[smoker]]="yes","smoker","non-smoker")</f>
        <v>non-smoker</v>
      </c>
      <c r="F176" s="4" t="s">
        <v>13</v>
      </c>
      <c r="G176" s="5">
        <v>24</v>
      </c>
      <c r="H176" s="5">
        <f>IF(Table13_1[[#This Row],[smoker]]="yes",1,0)</f>
        <v>0</v>
      </c>
      <c r="I176" s="4">
        <v>33.344999999999999</v>
      </c>
      <c r="J176" s="4">
        <v>0</v>
      </c>
      <c r="K176" s="12">
        <v>2855.4376000000002</v>
      </c>
      <c r="N176">
        <v>21</v>
      </c>
      <c r="O176">
        <v>14956.460820928462</v>
      </c>
      <c r="P176">
        <v>-1727.6138209284618</v>
      </c>
    </row>
    <row r="177" spans="1:16" x14ac:dyDescent="0.25">
      <c r="A177" s="4" t="s">
        <v>7</v>
      </c>
      <c r="B177" s="4">
        <f>ROUND(Table13_1[[#This Row],[bmi]],1)</f>
        <v>37.700000000000003</v>
      </c>
      <c r="C177" s="4" t="str" cm="1">
        <f t="array" ref="C177">_xlfn.IFS(Table13_1[[#This Row],[Round BMI]]&lt;18.5,"Underweight",AND(Table13_1[[#This Row],[Round BMI]]&gt;=18.5,Table13_1[[#This Row],[Round BMI]] &lt;=24.9),"Healthy Weight",AND(Table13_1[[#This Row],[Round BMI]]&gt;=25,Table13_1[[#This Row],[Round BMI]]&lt;=29.9),"Overweight",Table13_1[[#This Row],[Round BMI]]&gt;=30,"Obese")</f>
        <v>Obese</v>
      </c>
      <c r="D177" s="4" t="s">
        <v>8</v>
      </c>
      <c r="E177" s="4" t="str">
        <f>IF(Table13_1[[#This Row],[smoker]]="yes","smoker","non-smoker")</f>
        <v>smoker</v>
      </c>
      <c r="F177" s="4" t="s">
        <v>9</v>
      </c>
      <c r="G177" s="5">
        <v>63</v>
      </c>
      <c r="H177" s="5">
        <f>IF(Table13_1[[#This Row],[smoker]]="yes",1,0)</f>
        <v>1</v>
      </c>
      <c r="I177" s="4">
        <v>37.700000000000003</v>
      </c>
      <c r="J177" s="4">
        <v>0</v>
      </c>
      <c r="K177" s="12">
        <v>48824.45</v>
      </c>
      <c r="N177">
        <v>22</v>
      </c>
      <c r="O177">
        <v>6534.2036093210336</v>
      </c>
      <c r="P177">
        <v>-2384.4676093210337</v>
      </c>
    </row>
    <row r="178" spans="1:16" x14ac:dyDescent="0.25">
      <c r="A178" s="4" t="s">
        <v>10</v>
      </c>
      <c r="B178" s="4">
        <f>ROUND(Table13_1[[#This Row],[bmi]],1)</f>
        <v>27.8</v>
      </c>
      <c r="C178" s="4" t="str" cm="1">
        <f t="array" ref="C178">_xlfn.IFS(Table13_1[[#This Row],[Round BMI]]&lt;18.5,"Underweight",AND(Table13_1[[#This Row],[Round BMI]]&gt;=18.5,Table13_1[[#This Row],[Round BMI]] &lt;=24.9),"Healthy Weight",AND(Table13_1[[#This Row],[Round BMI]]&gt;=25,Table13_1[[#This Row],[Round BMI]]&lt;=29.9),"Overweight",Table13_1[[#This Row],[Round BMI]]&gt;=30,"Obese")</f>
        <v>Overweight</v>
      </c>
      <c r="D178" s="4" t="s">
        <v>11</v>
      </c>
      <c r="E178" s="4" t="str">
        <f>IF(Table13_1[[#This Row],[smoker]]="yes","smoker","non-smoker")</f>
        <v>non-smoker</v>
      </c>
      <c r="F178" s="4" t="s">
        <v>13</v>
      </c>
      <c r="G178" s="5">
        <v>38</v>
      </c>
      <c r="H178" s="5">
        <f>IF(Table13_1[[#This Row],[smoker]]="yes",1,0)</f>
        <v>0</v>
      </c>
      <c r="I178" s="4">
        <v>27.835000000000001</v>
      </c>
      <c r="J178" s="4">
        <v>2</v>
      </c>
      <c r="K178" s="12">
        <v>6455.8626000000004</v>
      </c>
      <c r="N178">
        <v>23</v>
      </c>
      <c r="O178">
        <v>3513.6545906410011</v>
      </c>
      <c r="P178">
        <v>-2376.6435906410011</v>
      </c>
    </row>
    <row r="179" spans="1:16" x14ac:dyDescent="0.25">
      <c r="A179" s="4" t="s">
        <v>10</v>
      </c>
      <c r="B179" s="4">
        <f>ROUND(Table13_1[[#This Row],[bmi]],1)</f>
        <v>29.2</v>
      </c>
      <c r="C179" s="4" t="str" cm="1">
        <f t="array" ref="C179">_xlfn.IFS(Table13_1[[#This Row],[Round BMI]]&lt;18.5,"Underweight",AND(Table13_1[[#This Row],[Round BMI]]&gt;=18.5,Table13_1[[#This Row],[Round BMI]] &lt;=24.9),"Healthy Weight",AND(Table13_1[[#This Row],[Round BMI]]&gt;=25,Table13_1[[#This Row],[Round BMI]]&lt;=29.9),"Overweight",Table13_1[[#This Row],[Round BMI]]&gt;=30,"Obese")</f>
        <v>Overweight</v>
      </c>
      <c r="D179" s="4" t="s">
        <v>11</v>
      </c>
      <c r="E179" s="4" t="str">
        <f>IF(Table13_1[[#This Row],[smoker]]="yes","smoker","non-smoker")</f>
        <v>non-smoker</v>
      </c>
      <c r="F179" s="4" t="s">
        <v>9</v>
      </c>
      <c r="G179" s="5">
        <v>54</v>
      </c>
      <c r="H179" s="5">
        <f>IF(Table13_1[[#This Row],[smoker]]="yes",1,0)</f>
        <v>0</v>
      </c>
      <c r="I179" s="4">
        <v>29.2</v>
      </c>
      <c r="J179" s="4">
        <v>1</v>
      </c>
      <c r="K179" s="12">
        <v>10436.096</v>
      </c>
      <c r="N179">
        <v>24</v>
      </c>
      <c r="O179">
        <v>31222.512811294197</v>
      </c>
      <c r="P179">
        <v>6479.3639887058016</v>
      </c>
    </row>
    <row r="180" spans="1:16" x14ac:dyDescent="0.25">
      <c r="A180" s="4" t="s">
        <v>7</v>
      </c>
      <c r="B180" s="4">
        <f>ROUND(Table13_1[[#This Row],[bmi]],1)</f>
        <v>28.9</v>
      </c>
      <c r="C180" s="4" t="str" cm="1">
        <f t="array" ref="C180">_xlfn.IFS(Table13_1[[#This Row],[Round BMI]]&lt;18.5,"Underweight",AND(Table13_1[[#This Row],[Round BMI]]&gt;=18.5,Table13_1[[#This Row],[Round BMI]] &lt;=24.9),"Healthy Weight",AND(Table13_1[[#This Row],[Round BMI]]&gt;=25,Table13_1[[#This Row],[Round BMI]]&lt;=29.9),"Overweight",Table13_1[[#This Row],[Round BMI]]&gt;=30,"Obese")</f>
        <v>Overweight</v>
      </c>
      <c r="D180" s="4" t="s">
        <v>11</v>
      </c>
      <c r="E180" s="4" t="str">
        <f>IF(Table13_1[[#This Row],[smoker]]="yes","smoker","non-smoker")</f>
        <v>non-smoker</v>
      </c>
      <c r="F180" s="4" t="s">
        <v>9</v>
      </c>
      <c r="G180" s="5">
        <v>46</v>
      </c>
      <c r="H180" s="5">
        <f>IF(Table13_1[[#This Row],[smoker]]="yes",1,0)</f>
        <v>0</v>
      </c>
      <c r="I180" s="4">
        <v>28.9</v>
      </c>
      <c r="J180" s="4">
        <v>2</v>
      </c>
      <c r="K180" s="12">
        <v>8823.2790000000005</v>
      </c>
      <c r="N180">
        <v>25</v>
      </c>
      <c r="O180">
        <v>7404.5525887490448</v>
      </c>
      <c r="P180">
        <v>-1200.6507887490452</v>
      </c>
    </row>
    <row r="181" spans="1:16" x14ac:dyDescent="0.25">
      <c r="A181" s="4" t="s">
        <v>7</v>
      </c>
      <c r="B181" s="4">
        <f>ROUND(Table13_1[[#This Row],[bmi]],1)</f>
        <v>33.200000000000003</v>
      </c>
      <c r="C181" s="4" t="str" cm="1">
        <f t="array" ref="C181">_xlfn.IFS(Table13_1[[#This Row],[Round BMI]]&lt;18.5,"Underweight",AND(Table13_1[[#This Row],[Round BMI]]&gt;=18.5,Table13_1[[#This Row],[Round BMI]] &lt;=24.9),"Healthy Weight",AND(Table13_1[[#This Row],[Round BMI]]&gt;=25,Table13_1[[#This Row],[Round BMI]]&lt;=29.9),"Overweight",Table13_1[[#This Row],[Round BMI]]&gt;=30,"Obese")</f>
        <v>Obese</v>
      </c>
      <c r="D181" s="4" t="s">
        <v>11</v>
      </c>
      <c r="E181" s="4" t="str">
        <f>IF(Table13_1[[#This Row],[smoker]]="yes","smoker","non-smoker")</f>
        <v>non-smoker</v>
      </c>
      <c r="F181" s="4" t="s">
        <v>14</v>
      </c>
      <c r="G181" s="5">
        <v>41</v>
      </c>
      <c r="H181" s="5">
        <f>IF(Table13_1[[#This Row],[smoker]]="yes",1,0)</f>
        <v>0</v>
      </c>
      <c r="I181" s="4">
        <v>33.155000000000001</v>
      </c>
      <c r="J181" s="4">
        <v>3</v>
      </c>
      <c r="K181" s="12">
        <v>8538.2883999999995</v>
      </c>
      <c r="N181">
        <v>26</v>
      </c>
      <c r="O181">
        <v>13452.579387696129</v>
      </c>
      <c r="P181">
        <v>548.55441230387078</v>
      </c>
    </row>
    <row r="182" spans="1:16" x14ac:dyDescent="0.25">
      <c r="A182" s="4" t="s">
        <v>10</v>
      </c>
      <c r="B182" s="4">
        <f>ROUND(Table13_1[[#This Row],[bmi]],1)</f>
        <v>28.6</v>
      </c>
      <c r="C182" s="4" t="str" cm="1">
        <f t="array" ref="C182">_xlfn.IFS(Table13_1[[#This Row],[Round BMI]]&lt;18.5,"Underweight",AND(Table13_1[[#This Row],[Round BMI]]&gt;=18.5,Table13_1[[#This Row],[Round BMI]] &lt;=24.9),"Healthy Weight",AND(Table13_1[[#This Row],[Round BMI]]&gt;=25,Table13_1[[#This Row],[Round BMI]]&lt;=29.9),"Overweight",Table13_1[[#This Row],[Round BMI]]&gt;=30,"Obese")</f>
        <v>Overweight</v>
      </c>
      <c r="D182" s="4" t="s">
        <v>11</v>
      </c>
      <c r="E182" s="4" t="str">
        <f>IF(Table13_1[[#This Row],[smoker]]="yes","smoker","non-smoker")</f>
        <v>non-smoker</v>
      </c>
      <c r="F182" s="4" t="s">
        <v>13</v>
      </c>
      <c r="G182" s="5">
        <v>58</v>
      </c>
      <c r="H182" s="5">
        <f>IF(Table13_1[[#This Row],[smoker]]="yes",1,0)</f>
        <v>0</v>
      </c>
      <c r="I182" s="4">
        <v>28.594999999999999</v>
      </c>
      <c r="J182" s="4">
        <v>0</v>
      </c>
      <c r="K182" s="12">
        <v>11735.879000000001</v>
      </c>
      <c r="N182">
        <v>27</v>
      </c>
      <c r="O182">
        <v>11571.689218211062</v>
      </c>
      <c r="P182">
        <v>2880.1459817889372</v>
      </c>
    </row>
    <row r="183" spans="1:16" x14ac:dyDescent="0.25">
      <c r="A183" s="4" t="s">
        <v>7</v>
      </c>
      <c r="B183" s="4">
        <f>ROUND(Table13_1[[#This Row],[bmi]],1)</f>
        <v>38.299999999999997</v>
      </c>
      <c r="C183" s="4" t="str" cm="1">
        <f t="array" ref="C183">_xlfn.IFS(Table13_1[[#This Row],[Round BMI]]&lt;18.5,"Underweight",AND(Table13_1[[#This Row],[Round BMI]]&gt;=18.5,Table13_1[[#This Row],[Round BMI]] &lt;=24.9),"Healthy Weight",AND(Table13_1[[#This Row],[Round BMI]]&gt;=25,Table13_1[[#This Row],[Round BMI]]&lt;=29.9),"Overweight",Table13_1[[#This Row],[Round BMI]]&gt;=30,"Obese")</f>
        <v>Obese</v>
      </c>
      <c r="D183" s="4" t="s">
        <v>11</v>
      </c>
      <c r="E183" s="4" t="str">
        <f>IF(Table13_1[[#This Row],[smoker]]="yes","smoker","non-smoker")</f>
        <v>non-smoker</v>
      </c>
      <c r="F183" s="4" t="s">
        <v>12</v>
      </c>
      <c r="G183" s="5">
        <v>18</v>
      </c>
      <c r="H183" s="5">
        <f>IF(Table13_1[[#This Row],[smoker]]="yes",1,0)</f>
        <v>0</v>
      </c>
      <c r="I183" s="4">
        <v>38.28</v>
      </c>
      <c r="J183" s="4">
        <v>0</v>
      </c>
      <c r="K183" s="12">
        <v>1631.8212000000001</v>
      </c>
      <c r="N183">
        <v>28</v>
      </c>
      <c r="O183">
        <v>13574.63788419121</v>
      </c>
      <c r="P183">
        <v>-1306.0056841912101</v>
      </c>
    </row>
    <row r="184" spans="1:16" x14ac:dyDescent="0.25">
      <c r="A184" s="4" t="s">
        <v>10</v>
      </c>
      <c r="B184" s="4">
        <f>ROUND(Table13_1[[#This Row],[bmi]],1)</f>
        <v>20</v>
      </c>
      <c r="C184" s="4" t="str" cm="1">
        <f t="array" ref="C184">_xlfn.IFS(Table13_1[[#This Row],[Round BMI]]&lt;18.5,"Underweight",AND(Table13_1[[#This Row],[Round BMI]]&gt;=18.5,Table13_1[[#This Row],[Round BMI]] &lt;=24.9),"Healthy Weight",AND(Table13_1[[#This Row],[Round BMI]]&gt;=25,Table13_1[[#This Row],[Round BMI]]&lt;=29.9),"Overweight",Table13_1[[#This Row],[Round BMI]]&gt;=30,"Obese")</f>
        <v>Healthy Weight</v>
      </c>
      <c r="D184" s="4" t="s">
        <v>11</v>
      </c>
      <c r="E184" s="4" t="str">
        <f>IF(Table13_1[[#This Row],[smoker]]="yes","smoker","non-smoker")</f>
        <v>non-smoker</v>
      </c>
      <c r="F184" s="4" t="s">
        <v>14</v>
      </c>
      <c r="G184" s="5">
        <v>22</v>
      </c>
      <c r="H184" s="5">
        <f>IF(Table13_1[[#This Row],[smoker]]="yes",1,0)</f>
        <v>0</v>
      </c>
      <c r="I184" s="4">
        <v>19.95</v>
      </c>
      <c r="J184" s="4">
        <v>3</v>
      </c>
      <c r="K184" s="12">
        <v>4005.4225000000001</v>
      </c>
      <c r="N184">
        <v>29</v>
      </c>
      <c r="O184">
        <v>-103.34175565226235</v>
      </c>
      <c r="P184">
        <v>2878.5339556522622</v>
      </c>
    </row>
    <row r="185" spans="1:16" x14ac:dyDescent="0.25">
      <c r="A185" s="4" t="s">
        <v>7</v>
      </c>
      <c r="B185" s="4">
        <f>ROUND(Table13_1[[#This Row],[bmi]],1)</f>
        <v>26.4</v>
      </c>
      <c r="C185" s="4" t="str" cm="1">
        <f t="array" ref="C185">_xlfn.IFS(Table13_1[[#This Row],[Round BMI]]&lt;18.5,"Underweight",AND(Table13_1[[#This Row],[Round BMI]]&gt;=18.5,Table13_1[[#This Row],[Round BMI]] &lt;=24.9),"Healthy Weight",AND(Table13_1[[#This Row],[Round BMI]]&gt;=25,Table13_1[[#This Row],[Round BMI]]&lt;=29.9),"Overweight",Table13_1[[#This Row],[Round BMI]]&gt;=30,"Obese")</f>
        <v>Overweight</v>
      </c>
      <c r="D185" s="4" t="s">
        <v>11</v>
      </c>
      <c r="E185" s="4" t="str">
        <f>IF(Table13_1[[#This Row],[smoker]]="yes","smoker","non-smoker")</f>
        <v>non-smoker</v>
      </c>
      <c r="F185" s="4" t="s">
        <v>13</v>
      </c>
      <c r="G185" s="5">
        <v>44</v>
      </c>
      <c r="H185" s="5">
        <f>IF(Table13_1[[#This Row],[smoker]]="yes",1,0)</f>
        <v>0</v>
      </c>
      <c r="I185" s="4">
        <v>26.41</v>
      </c>
      <c r="J185" s="4">
        <v>0</v>
      </c>
      <c r="K185" s="12">
        <v>7419.4778999999999</v>
      </c>
      <c r="N185">
        <v>30</v>
      </c>
      <c r="O185">
        <v>32332.175749293467</v>
      </c>
      <c r="P185">
        <v>6378.8242507065333</v>
      </c>
    </row>
    <row r="186" spans="1:16" x14ac:dyDescent="0.25">
      <c r="A186" s="4" t="s">
        <v>10</v>
      </c>
      <c r="B186" s="4">
        <f>ROUND(Table13_1[[#This Row],[bmi]],1)</f>
        <v>30.7</v>
      </c>
      <c r="C186" s="4" t="str" cm="1">
        <f t="array" ref="C186">_xlfn.IFS(Table13_1[[#This Row],[Round BMI]]&lt;18.5,"Underweight",AND(Table13_1[[#This Row],[Round BMI]]&gt;=18.5,Table13_1[[#This Row],[Round BMI]] &lt;=24.9),"Healthy Weight",AND(Table13_1[[#This Row],[Round BMI]]&gt;=25,Table13_1[[#This Row],[Round BMI]]&lt;=29.9),"Overweight",Table13_1[[#This Row],[Round BMI]]&gt;=30,"Obese")</f>
        <v>Obese</v>
      </c>
      <c r="D186" s="4" t="s">
        <v>11</v>
      </c>
      <c r="E186" s="4" t="str">
        <f>IF(Table13_1[[#This Row],[smoker]]="yes","smoker","non-smoker")</f>
        <v>non-smoker</v>
      </c>
      <c r="F186" s="4" t="s">
        <v>12</v>
      </c>
      <c r="G186" s="5">
        <v>44</v>
      </c>
      <c r="H186" s="5">
        <f>IF(Table13_1[[#This Row],[smoker]]="yes",1,0)</f>
        <v>0</v>
      </c>
      <c r="I186" s="4">
        <v>30.69</v>
      </c>
      <c r="J186" s="4">
        <v>2</v>
      </c>
      <c r="K186" s="12">
        <v>7731.4270999999999</v>
      </c>
      <c r="N186">
        <v>31</v>
      </c>
      <c r="O186">
        <v>28839.229570239768</v>
      </c>
      <c r="P186">
        <v>6746.3464297602331</v>
      </c>
    </row>
    <row r="187" spans="1:16" x14ac:dyDescent="0.25">
      <c r="A187" s="4" t="s">
        <v>10</v>
      </c>
      <c r="B187" s="4">
        <f>ROUND(Table13_1[[#This Row],[bmi]],1)</f>
        <v>41.9</v>
      </c>
      <c r="C187" s="4" t="str" cm="1">
        <f t="array" ref="C187">_xlfn.IFS(Table13_1[[#This Row],[Round BMI]]&lt;18.5,"Underweight",AND(Table13_1[[#This Row],[Round BMI]]&gt;=18.5,Table13_1[[#This Row],[Round BMI]] &lt;=24.9),"Healthy Weight",AND(Table13_1[[#This Row],[Round BMI]]&gt;=25,Table13_1[[#This Row],[Round BMI]]&lt;=29.9),"Overweight",Table13_1[[#This Row],[Round BMI]]&gt;=30,"Obese")</f>
        <v>Obese</v>
      </c>
      <c r="D187" s="4" t="s">
        <v>8</v>
      </c>
      <c r="E187" s="4" t="str">
        <f>IF(Table13_1[[#This Row],[smoker]]="yes","smoker","non-smoker")</f>
        <v>smoker</v>
      </c>
      <c r="F187" s="4" t="s">
        <v>14</v>
      </c>
      <c r="G187" s="5">
        <v>36</v>
      </c>
      <c r="H187" s="5">
        <f>IF(Table13_1[[#This Row],[smoker]]="yes",1,0)</f>
        <v>1</v>
      </c>
      <c r="I187" s="4">
        <v>41.895000000000003</v>
      </c>
      <c r="J187" s="4">
        <v>3</v>
      </c>
      <c r="K187" s="12">
        <v>43753.337</v>
      </c>
      <c r="N187">
        <v>32</v>
      </c>
      <c r="O187">
        <v>1008.041419522162</v>
      </c>
      <c r="P187">
        <v>1190.1483804778381</v>
      </c>
    </row>
    <row r="188" spans="1:16" x14ac:dyDescent="0.25">
      <c r="A188" s="4" t="s">
        <v>7</v>
      </c>
      <c r="B188" s="4">
        <f>ROUND(Table13_1[[#This Row],[bmi]],1)</f>
        <v>29.9</v>
      </c>
      <c r="C188" s="4" t="str" cm="1">
        <f t="array" ref="C188">_xlfn.IFS(Table13_1[[#This Row],[Round BMI]]&lt;18.5,"Underweight",AND(Table13_1[[#This Row],[Round BMI]]&gt;=18.5,Table13_1[[#This Row],[Round BMI]] &lt;=24.9),"Healthy Weight",AND(Table13_1[[#This Row],[Round BMI]]&gt;=25,Table13_1[[#This Row],[Round BMI]]&lt;=29.9),"Overweight",Table13_1[[#This Row],[Round BMI]]&gt;=30,"Obese")</f>
        <v>Overweight</v>
      </c>
      <c r="D188" s="4" t="s">
        <v>11</v>
      </c>
      <c r="E188" s="4" t="str">
        <f>IF(Table13_1[[#This Row],[smoker]]="yes","smoker","non-smoker")</f>
        <v>non-smoker</v>
      </c>
      <c r="F188" s="4" t="s">
        <v>12</v>
      </c>
      <c r="G188" s="5">
        <v>26</v>
      </c>
      <c r="H188" s="5">
        <f>IF(Table13_1[[#This Row],[smoker]]="yes",1,0)</f>
        <v>0</v>
      </c>
      <c r="I188" s="4">
        <v>29.92</v>
      </c>
      <c r="J188" s="4">
        <v>2</v>
      </c>
      <c r="K188" s="12">
        <v>3981.9767999999999</v>
      </c>
      <c r="N188">
        <v>33</v>
      </c>
      <c r="O188">
        <v>4368.8329600738052</v>
      </c>
      <c r="P188">
        <v>318.96403992619435</v>
      </c>
    </row>
    <row r="189" spans="1:16" x14ac:dyDescent="0.25">
      <c r="A189" s="4" t="s">
        <v>7</v>
      </c>
      <c r="B189" s="4">
        <f>ROUND(Table13_1[[#This Row],[bmi]],1)</f>
        <v>30.9</v>
      </c>
      <c r="C189" s="4" t="str" cm="1">
        <f t="array" ref="C189">_xlfn.IFS(Table13_1[[#This Row],[Round BMI]]&lt;18.5,"Underweight",AND(Table13_1[[#This Row],[Round BMI]]&gt;=18.5,Table13_1[[#This Row],[Round BMI]] &lt;=24.9),"Healthy Weight",AND(Table13_1[[#This Row],[Round BMI]]&gt;=25,Table13_1[[#This Row],[Round BMI]]&lt;=29.9),"Overweight",Table13_1[[#This Row],[Round BMI]]&gt;=30,"Obese")</f>
        <v>Obese</v>
      </c>
      <c r="D189" s="4" t="s">
        <v>11</v>
      </c>
      <c r="E189" s="4" t="str">
        <f>IF(Table13_1[[#This Row],[smoker]]="yes","smoker","non-smoker")</f>
        <v>non-smoker</v>
      </c>
      <c r="F189" s="4" t="s">
        <v>9</v>
      </c>
      <c r="G189" s="5">
        <v>30</v>
      </c>
      <c r="H189" s="5">
        <f>IF(Table13_1[[#This Row],[smoker]]="yes",1,0)</f>
        <v>0</v>
      </c>
      <c r="I189" s="4">
        <v>30.9</v>
      </c>
      <c r="J189" s="4">
        <v>3</v>
      </c>
      <c r="K189" s="12">
        <v>5325.6509999999998</v>
      </c>
      <c r="N189">
        <v>34</v>
      </c>
      <c r="O189">
        <v>13253.362798056398</v>
      </c>
      <c r="P189">
        <v>516.73510194360279</v>
      </c>
    </row>
    <row r="190" spans="1:16" x14ac:dyDescent="0.25">
      <c r="A190" s="4" t="s">
        <v>7</v>
      </c>
      <c r="B190" s="4">
        <f>ROUND(Table13_1[[#This Row],[bmi]],1)</f>
        <v>32.200000000000003</v>
      </c>
      <c r="C190" s="4" t="str" cm="1">
        <f t="array" ref="C190">_xlfn.IFS(Table13_1[[#This Row],[Round BMI]]&lt;18.5,"Underweight",AND(Table13_1[[#This Row],[Round BMI]]&gt;=18.5,Table13_1[[#This Row],[Round BMI]] &lt;=24.9),"Healthy Weight",AND(Table13_1[[#This Row],[Round BMI]]&gt;=25,Table13_1[[#This Row],[Round BMI]]&lt;=29.9),"Overweight",Table13_1[[#This Row],[Round BMI]]&gt;=30,"Obese")</f>
        <v>Obese</v>
      </c>
      <c r="D190" s="4" t="s">
        <v>11</v>
      </c>
      <c r="E190" s="4" t="str">
        <f>IF(Table13_1[[#This Row],[smoker]]="yes","smoker","non-smoker")</f>
        <v>non-smoker</v>
      </c>
      <c r="F190" s="4" t="s">
        <v>9</v>
      </c>
      <c r="G190" s="5">
        <v>41</v>
      </c>
      <c r="H190" s="5">
        <f>IF(Table13_1[[#This Row],[smoker]]="yes",1,0)</f>
        <v>0</v>
      </c>
      <c r="I190" s="4">
        <v>32.200000000000003</v>
      </c>
      <c r="J190" s="4">
        <v>1</v>
      </c>
      <c r="K190" s="12">
        <v>6775.9610000000002</v>
      </c>
      <c r="N190">
        <v>35</v>
      </c>
      <c r="O190">
        <v>31117.310052040695</v>
      </c>
      <c r="P190">
        <v>20077.249047959303</v>
      </c>
    </row>
    <row r="191" spans="1:16" x14ac:dyDescent="0.25">
      <c r="A191" s="4" t="s">
        <v>7</v>
      </c>
      <c r="B191" s="4">
        <f>ROUND(Table13_1[[#This Row],[bmi]],1)</f>
        <v>32.1</v>
      </c>
      <c r="C191" s="4" t="str" cm="1">
        <f t="array" ref="C191">_xlfn.IFS(Table13_1[[#This Row],[Round BMI]]&lt;18.5,"Underweight",AND(Table13_1[[#This Row],[Round BMI]]&gt;=18.5,Table13_1[[#This Row],[Round BMI]] &lt;=24.9),"Healthy Weight",AND(Table13_1[[#This Row],[Round BMI]]&gt;=25,Table13_1[[#This Row],[Round BMI]]&lt;=29.9),"Overweight",Table13_1[[#This Row],[Round BMI]]&gt;=30,"Obese")</f>
        <v>Obese</v>
      </c>
      <c r="D191" s="4" t="s">
        <v>11</v>
      </c>
      <c r="E191" s="4" t="str">
        <f>IF(Table13_1[[#This Row],[smoker]]="yes","smoker","non-smoker")</f>
        <v>non-smoker</v>
      </c>
      <c r="F191" s="4" t="s">
        <v>13</v>
      </c>
      <c r="G191" s="5">
        <v>29</v>
      </c>
      <c r="H191" s="5">
        <f>IF(Table13_1[[#This Row],[smoker]]="yes",1,0)</f>
        <v>0</v>
      </c>
      <c r="I191" s="4">
        <v>32.11</v>
      </c>
      <c r="J191" s="4">
        <v>2</v>
      </c>
      <c r="K191" s="12">
        <v>4922.9159</v>
      </c>
      <c r="N191">
        <v>36</v>
      </c>
      <c r="O191">
        <v>-629.81383588222343</v>
      </c>
      <c r="P191">
        <v>2255.2476358822232</v>
      </c>
    </row>
    <row r="192" spans="1:16" x14ac:dyDescent="0.25">
      <c r="A192" s="4" t="s">
        <v>10</v>
      </c>
      <c r="B192" s="4">
        <f>ROUND(Table13_1[[#This Row],[bmi]],1)</f>
        <v>31.6</v>
      </c>
      <c r="C192" s="4" t="str" cm="1">
        <f t="array" ref="C192">_xlfn.IFS(Table13_1[[#This Row],[Round BMI]]&lt;18.5,"Underweight",AND(Table13_1[[#This Row],[Round BMI]]&gt;=18.5,Table13_1[[#This Row],[Round BMI]] &lt;=24.9),"Healthy Weight",AND(Table13_1[[#This Row],[Round BMI]]&gt;=25,Table13_1[[#This Row],[Round BMI]]&lt;=29.9),"Overweight",Table13_1[[#This Row],[Round BMI]]&gt;=30,"Obese")</f>
        <v>Obese</v>
      </c>
      <c r="D192" s="4" t="s">
        <v>11</v>
      </c>
      <c r="E192" s="4" t="str">
        <f>IF(Table13_1[[#This Row],[smoker]]="yes","smoker","non-smoker")</f>
        <v>non-smoker</v>
      </c>
      <c r="F192" s="4" t="s">
        <v>12</v>
      </c>
      <c r="G192" s="5">
        <v>61</v>
      </c>
      <c r="H192" s="5">
        <f>IF(Table13_1[[#This Row],[smoker]]="yes",1,0)</f>
        <v>0</v>
      </c>
      <c r="I192" s="4">
        <v>31.57</v>
      </c>
      <c r="J192" s="4">
        <v>0</v>
      </c>
      <c r="K192" s="12">
        <v>12557.605299999999</v>
      </c>
      <c r="N192">
        <v>37</v>
      </c>
      <c r="O192">
        <v>15914.238517589358</v>
      </c>
      <c r="P192">
        <v>-302.04511758935769</v>
      </c>
    </row>
    <row r="193" spans="1:16" x14ac:dyDescent="0.25">
      <c r="A193" s="4" t="s">
        <v>7</v>
      </c>
      <c r="B193" s="4">
        <f>ROUND(Table13_1[[#This Row],[bmi]],1)</f>
        <v>26.2</v>
      </c>
      <c r="C193" s="4" t="str" cm="1">
        <f t="array" ref="C193">_xlfn.IFS(Table13_1[[#This Row],[Round BMI]]&lt;18.5,"Underweight",AND(Table13_1[[#This Row],[Round BMI]]&gt;=18.5,Table13_1[[#This Row],[Round BMI]] &lt;=24.9),"Healthy Weight",AND(Table13_1[[#This Row],[Round BMI]]&gt;=25,Table13_1[[#This Row],[Round BMI]]&lt;=29.9),"Overweight",Table13_1[[#This Row],[Round BMI]]&gt;=30,"Obese")</f>
        <v>Overweight</v>
      </c>
      <c r="D193" s="4" t="s">
        <v>11</v>
      </c>
      <c r="E193" s="4" t="str">
        <f>IF(Table13_1[[#This Row],[smoker]]="yes","smoker","non-smoker")</f>
        <v>non-smoker</v>
      </c>
      <c r="F193" s="4" t="s">
        <v>9</v>
      </c>
      <c r="G193" s="5">
        <v>36</v>
      </c>
      <c r="H193" s="5">
        <f>IF(Table13_1[[#This Row],[smoker]]="yes",1,0)</f>
        <v>0</v>
      </c>
      <c r="I193" s="4">
        <v>26.2</v>
      </c>
      <c r="J193" s="4">
        <v>0</v>
      </c>
      <c r="K193" s="12">
        <v>4883.866</v>
      </c>
      <c r="N193">
        <v>38</v>
      </c>
      <c r="O193">
        <v>1295.8269914957227</v>
      </c>
      <c r="P193">
        <v>1006.4730085042775</v>
      </c>
    </row>
    <row r="194" spans="1:16" x14ac:dyDescent="0.25">
      <c r="A194" s="4" t="s">
        <v>10</v>
      </c>
      <c r="B194" s="4">
        <f>ROUND(Table13_1[[#This Row],[bmi]],1)</f>
        <v>25.7</v>
      </c>
      <c r="C194" s="4" t="str" cm="1">
        <f t="array" ref="C194">_xlfn.IFS(Table13_1[[#This Row],[Round BMI]]&lt;18.5,"Underweight",AND(Table13_1[[#This Row],[Round BMI]]&gt;=18.5,Table13_1[[#This Row],[Round BMI]] &lt;=24.9),"Healthy Weight",AND(Table13_1[[#This Row],[Round BMI]]&gt;=25,Table13_1[[#This Row],[Round BMI]]&lt;=29.9),"Overweight",Table13_1[[#This Row],[Round BMI]]&gt;=30,"Obese")</f>
        <v>Overweight</v>
      </c>
      <c r="D194" s="4" t="s">
        <v>11</v>
      </c>
      <c r="E194" s="4" t="str">
        <f>IF(Table13_1[[#This Row],[smoker]]="yes","smoker","non-smoker")</f>
        <v>non-smoker</v>
      </c>
      <c r="F194" s="4" t="s">
        <v>12</v>
      </c>
      <c r="G194" s="5">
        <v>25</v>
      </c>
      <c r="H194" s="5">
        <f>IF(Table13_1[[#This Row],[smoker]]="yes",1,0)</f>
        <v>0</v>
      </c>
      <c r="I194" s="4">
        <v>25.74</v>
      </c>
      <c r="J194" s="4">
        <v>0</v>
      </c>
      <c r="K194" s="12">
        <v>2137.6536000000001</v>
      </c>
      <c r="N194">
        <v>39</v>
      </c>
      <c r="O194">
        <v>33009.156482120314</v>
      </c>
      <c r="P194">
        <v>6765.119817879684</v>
      </c>
    </row>
    <row r="195" spans="1:16" x14ac:dyDescent="0.25">
      <c r="A195" s="4" t="s">
        <v>7</v>
      </c>
      <c r="B195" s="4">
        <f>ROUND(Table13_1[[#This Row],[bmi]],1)</f>
        <v>26.6</v>
      </c>
      <c r="C195" s="4" t="str" cm="1">
        <f t="array" ref="C195">_xlfn.IFS(Table13_1[[#This Row],[Round BMI]]&lt;18.5,"Underweight",AND(Table13_1[[#This Row],[Round BMI]]&gt;=18.5,Table13_1[[#This Row],[Round BMI]] &lt;=24.9),"Healthy Weight",AND(Table13_1[[#This Row],[Round BMI]]&gt;=25,Table13_1[[#This Row],[Round BMI]]&lt;=29.9),"Overweight",Table13_1[[#This Row],[Round BMI]]&gt;=30,"Obese")</f>
        <v>Overweight</v>
      </c>
      <c r="D195" s="4" t="s">
        <v>11</v>
      </c>
      <c r="E195" s="4" t="str">
        <f>IF(Table13_1[[#This Row],[smoker]]="yes","smoker","non-smoker")</f>
        <v>non-smoker</v>
      </c>
      <c r="F195" s="4" t="s">
        <v>13</v>
      </c>
      <c r="G195" s="5">
        <v>56</v>
      </c>
      <c r="H195" s="5">
        <f>IF(Table13_1[[#This Row],[smoker]]="yes",1,0)</f>
        <v>0</v>
      </c>
      <c r="I195" s="4">
        <v>26.6</v>
      </c>
      <c r="J195" s="4">
        <v>1</v>
      </c>
      <c r="K195" s="12">
        <v>12044.342000000001</v>
      </c>
      <c r="N195">
        <v>40</v>
      </c>
      <c r="O195">
        <v>40021.471881010504</v>
      </c>
      <c r="P195">
        <v>8151.889118989493</v>
      </c>
    </row>
    <row r="196" spans="1:16" x14ac:dyDescent="0.25">
      <c r="A196" s="4" t="s">
        <v>10</v>
      </c>
      <c r="B196" s="4">
        <f>ROUND(Table13_1[[#This Row],[bmi]],1)</f>
        <v>34.4</v>
      </c>
      <c r="C196" s="4" t="str" cm="1">
        <f t="array" ref="C196">_xlfn.IFS(Table13_1[[#This Row],[Round BMI]]&lt;18.5,"Underweight",AND(Table13_1[[#This Row],[Round BMI]]&gt;=18.5,Table13_1[[#This Row],[Round BMI]] &lt;=24.9),"Healthy Weight",AND(Table13_1[[#This Row],[Round BMI]]&gt;=25,Table13_1[[#This Row],[Round BMI]]&lt;=29.9),"Overweight",Table13_1[[#This Row],[Round BMI]]&gt;=30,"Obese")</f>
        <v>Obese</v>
      </c>
      <c r="D196" s="4" t="s">
        <v>11</v>
      </c>
      <c r="E196" s="4" t="str">
        <f>IF(Table13_1[[#This Row],[smoker]]="yes","smoker","non-smoker")</f>
        <v>non-smoker</v>
      </c>
      <c r="F196" s="4" t="s">
        <v>12</v>
      </c>
      <c r="G196" s="5">
        <v>18</v>
      </c>
      <c r="H196" s="5">
        <f>IF(Table13_1[[#This Row],[smoker]]="yes",1,0)</f>
        <v>0</v>
      </c>
      <c r="I196" s="4">
        <v>34.43</v>
      </c>
      <c r="J196" s="4">
        <v>0</v>
      </c>
      <c r="K196" s="12">
        <v>1137.4697000000001</v>
      </c>
      <c r="N196">
        <v>41</v>
      </c>
      <c r="O196">
        <v>2646.8661133140431</v>
      </c>
      <c r="P196">
        <v>399.19588668595679</v>
      </c>
    </row>
    <row r="197" spans="1:16" x14ac:dyDescent="0.25">
      <c r="A197" s="4" t="s">
        <v>10</v>
      </c>
      <c r="B197" s="4">
        <f>ROUND(Table13_1[[#This Row],[bmi]],1)</f>
        <v>30.6</v>
      </c>
      <c r="C197" s="4" t="str" cm="1">
        <f t="array" ref="C197">_xlfn.IFS(Table13_1[[#This Row],[Round BMI]]&lt;18.5,"Underweight",AND(Table13_1[[#This Row],[Round BMI]]&gt;=18.5,Table13_1[[#This Row],[Round BMI]] &lt;=24.9),"Healthy Weight",AND(Table13_1[[#This Row],[Round BMI]]&gt;=25,Table13_1[[#This Row],[Round BMI]]&lt;=29.9),"Overweight",Table13_1[[#This Row],[Round BMI]]&gt;=30,"Obese")</f>
        <v>Obese</v>
      </c>
      <c r="D197" s="4" t="s">
        <v>11</v>
      </c>
      <c r="E197" s="4" t="str">
        <f>IF(Table13_1[[#This Row],[smoker]]="yes","smoker","non-smoker")</f>
        <v>non-smoker</v>
      </c>
      <c r="F197" s="4" t="s">
        <v>13</v>
      </c>
      <c r="G197" s="5">
        <v>19</v>
      </c>
      <c r="H197" s="5">
        <f>IF(Table13_1[[#This Row],[smoker]]="yes",1,0)</f>
        <v>0</v>
      </c>
      <c r="I197" s="4">
        <v>30.59</v>
      </c>
      <c r="J197" s="4">
        <v>0</v>
      </c>
      <c r="K197" s="12">
        <v>1639.5631000000001</v>
      </c>
      <c r="N197">
        <v>42</v>
      </c>
      <c r="O197">
        <v>8626.9868662155441</v>
      </c>
      <c r="P197">
        <v>-3677.2281662155438</v>
      </c>
    </row>
    <row r="198" spans="1:16" x14ac:dyDescent="0.25">
      <c r="A198" s="4" t="s">
        <v>7</v>
      </c>
      <c r="B198" s="4">
        <f>ROUND(Table13_1[[#This Row],[bmi]],1)</f>
        <v>32.799999999999997</v>
      </c>
      <c r="C198" s="4" t="str" cm="1">
        <f t="array" ref="C198">_xlfn.IFS(Table13_1[[#This Row],[Round BMI]]&lt;18.5,"Underweight",AND(Table13_1[[#This Row],[Round BMI]]&gt;=18.5,Table13_1[[#This Row],[Round BMI]] &lt;=24.9),"Healthy Weight",AND(Table13_1[[#This Row],[Round BMI]]&gt;=25,Table13_1[[#This Row],[Round BMI]]&lt;=29.9),"Overweight",Table13_1[[#This Row],[Round BMI]]&gt;=30,"Obese")</f>
        <v>Obese</v>
      </c>
      <c r="D198" s="4" t="s">
        <v>11</v>
      </c>
      <c r="E198" s="4" t="str">
        <f>IF(Table13_1[[#This Row],[smoker]]="yes","smoker","non-smoker")</f>
        <v>non-smoker</v>
      </c>
      <c r="F198" s="4" t="s">
        <v>9</v>
      </c>
      <c r="G198" s="5">
        <v>39</v>
      </c>
      <c r="H198" s="5">
        <f>IF(Table13_1[[#This Row],[smoker]]="yes",1,0)</f>
        <v>0</v>
      </c>
      <c r="I198" s="4">
        <v>32.799999999999997</v>
      </c>
      <c r="J198" s="4">
        <v>0</v>
      </c>
      <c r="K198" s="12">
        <v>5649.7150000000001</v>
      </c>
      <c r="N198">
        <v>43</v>
      </c>
      <c r="O198">
        <v>5952.4862917812734</v>
      </c>
      <c r="P198">
        <v>319.99090821872687</v>
      </c>
    </row>
    <row r="199" spans="1:16" x14ac:dyDescent="0.25">
      <c r="A199" s="4" t="s">
        <v>7</v>
      </c>
      <c r="B199" s="4">
        <f>ROUND(Table13_1[[#This Row],[bmi]],1)</f>
        <v>28.6</v>
      </c>
      <c r="C199" s="4" t="str" cm="1">
        <f t="array" ref="C199">_xlfn.IFS(Table13_1[[#This Row],[Round BMI]]&lt;18.5,"Underweight",AND(Table13_1[[#This Row],[Round BMI]]&gt;=18.5,Table13_1[[#This Row],[Round BMI]] &lt;=24.9),"Healthy Weight",AND(Table13_1[[#This Row],[Round BMI]]&gt;=25,Table13_1[[#This Row],[Round BMI]]&lt;=29.9),"Overweight",Table13_1[[#This Row],[Round BMI]]&gt;=30,"Obese")</f>
        <v>Overweight</v>
      </c>
      <c r="D199" s="4" t="s">
        <v>11</v>
      </c>
      <c r="E199" s="4" t="str">
        <f>IF(Table13_1[[#This Row],[smoker]]="yes","smoker","non-smoker")</f>
        <v>non-smoker</v>
      </c>
      <c r="F199" s="4" t="s">
        <v>12</v>
      </c>
      <c r="G199" s="5">
        <v>45</v>
      </c>
      <c r="H199" s="5">
        <f>IF(Table13_1[[#This Row],[smoker]]="yes",1,0)</f>
        <v>0</v>
      </c>
      <c r="I199" s="4">
        <v>28.6</v>
      </c>
      <c r="J199" s="4">
        <v>2</v>
      </c>
      <c r="K199" s="12">
        <v>8516.8289999999997</v>
      </c>
      <c r="N199">
        <v>44</v>
      </c>
      <c r="O199">
        <v>8297.690231633409</v>
      </c>
      <c r="P199">
        <v>-1983.931231633409</v>
      </c>
    </row>
    <row r="200" spans="1:16" x14ac:dyDescent="0.25">
      <c r="A200" s="4" t="s">
        <v>7</v>
      </c>
      <c r="B200" s="4">
        <f>ROUND(Table13_1[[#This Row],[bmi]],1)</f>
        <v>18.100000000000001</v>
      </c>
      <c r="C200" s="4" t="str" cm="1">
        <f t="array" ref="C200">_xlfn.IFS(Table13_1[[#This Row],[Round BMI]]&lt;18.5,"Underweight",AND(Table13_1[[#This Row],[Round BMI]]&gt;=18.5,Table13_1[[#This Row],[Round BMI]] &lt;=24.9),"Healthy Weight",AND(Table13_1[[#This Row],[Round BMI]]&gt;=25,Table13_1[[#This Row],[Round BMI]]&lt;=29.9),"Overweight",Table13_1[[#This Row],[Round BMI]]&gt;=30,"Obese")</f>
        <v>Underweight</v>
      </c>
      <c r="D200" s="4" t="s">
        <v>11</v>
      </c>
      <c r="E200" s="4" t="str">
        <f>IF(Table13_1[[#This Row],[smoker]]="yes","smoker","non-smoker")</f>
        <v>non-smoker</v>
      </c>
      <c r="F200" s="4" t="s">
        <v>13</v>
      </c>
      <c r="G200" s="5">
        <v>51</v>
      </c>
      <c r="H200" s="5">
        <f>IF(Table13_1[[#This Row],[smoker]]="yes",1,0)</f>
        <v>0</v>
      </c>
      <c r="I200" s="4">
        <v>18.05</v>
      </c>
      <c r="J200" s="4">
        <v>0</v>
      </c>
      <c r="K200" s="12">
        <v>9644.2525000000005</v>
      </c>
      <c r="N200">
        <v>45</v>
      </c>
      <c r="O200">
        <v>10093.608691175519</v>
      </c>
      <c r="P200">
        <v>-4013.9371911755188</v>
      </c>
    </row>
    <row r="201" spans="1:16" x14ac:dyDescent="0.25">
      <c r="A201" s="4" t="s">
        <v>7</v>
      </c>
      <c r="B201" s="4">
        <f>ROUND(Table13_1[[#This Row],[bmi]],1)</f>
        <v>39.299999999999997</v>
      </c>
      <c r="C201" s="4" t="str" cm="1">
        <f t="array" ref="C201">_xlfn.IFS(Table13_1[[#This Row],[Round BMI]]&lt;18.5,"Underweight",AND(Table13_1[[#This Row],[Round BMI]]&gt;=18.5,Table13_1[[#This Row],[Round BMI]] &lt;=24.9),"Healthy Weight",AND(Table13_1[[#This Row],[Round BMI]]&gt;=25,Table13_1[[#This Row],[Round BMI]]&lt;=29.9),"Overweight",Table13_1[[#This Row],[Round BMI]]&gt;=30,"Obese")</f>
        <v>Obese</v>
      </c>
      <c r="D201" s="4" t="s">
        <v>11</v>
      </c>
      <c r="E201" s="4" t="str">
        <f>IF(Table13_1[[#This Row],[smoker]]="yes","smoker","non-smoker")</f>
        <v>non-smoker</v>
      </c>
      <c r="F201" s="4" t="s">
        <v>14</v>
      </c>
      <c r="G201" s="5">
        <v>64</v>
      </c>
      <c r="H201" s="5">
        <f>IF(Table13_1[[#This Row],[smoker]]="yes",1,0)</f>
        <v>0</v>
      </c>
      <c r="I201" s="4">
        <v>39.33</v>
      </c>
      <c r="J201" s="4">
        <v>0</v>
      </c>
      <c r="K201" s="12">
        <v>14901.5167</v>
      </c>
      <c r="N201">
        <v>46</v>
      </c>
      <c r="O201">
        <v>14084.01085095605</v>
      </c>
      <c r="P201">
        <v>6546.2726490439509</v>
      </c>
    </row>
    <row r="202" spans="1:16" x14ac:dyDescent="0.25">
      <c r="A202" s="4" t="s">
        <v>7</v>
      </c>
      <c r="B202" s="4">
        <f>ROUND(Table13_1[[#This Row],[bmi]],1)</f>
        <v>32.1</v>
      </c>
      <c r="C202" s="4" t="str" cm="1">
        <f t="array" ref="C202">_xlfn.IFS(Table13_1[[#This Row],[Round BMI]]&lt;18.5,"Underweight",AND(Table13_1[[#This Row],[Round BMI]]&gt;=18.5,Table13_1[[#This Row],[Round BMI]] &lt;=24.9),"Healthy Weight",AND(Table13_1[[#This Row],[Round BMI]]&gt;=25,Table13_1[[#This Row],[Round BMI]]&lt;=29.9),"Overweight",Table13_1[[#This Row],[Round BMI]]&gt;=30,"Obese")</f>
        <v>Obese</v>
      </c>
      <c r="D202" s="4" t="s">
        <v>11</v>
      </c>
      <c r="E202" s="4" t="str">
        <f>IF(Table13_1[[#This Row],[smoker]]="yes","smoker","non-smoker")</f>
        <v>non-smoker</v>
      </c>
      <c r="F202" s="4" t="s">
        <v>13</v>
      </c>
      <c r="G202" s="5">
        <v>19</v>
      </c>
      <c r="H202" s="5">
        <f>IF(Table13_1[[#This Row],[smoker]]="yes",1,0)</f>
        <v>0</v>
      </c>
      <c r="I202" s="4">
        <v>32.11</v>
      </c>
      <c r="J202" s="4">
        <v>0</v>
      </c>
      <c r="K202" s="12">
        <v>2130.6759000000002</v>
      </c>
      <c r="N202">
        <v>47</v>
      </c>
      <c r="O202">
        <v>5929.9108757027834</v>
      </c>
      <c r="P202">
        <v>-2536.5544757027833</v>
      </c>
    </row>
    <row r="203" spans="1:16" x14ac:dyDescent="0.25">
      <c r="A203" s="4" t="s">
        <v>7</v>
      </c>
      <c r="B203" s="4">
        <f>ROUND(Table13_1[[#This Row],[bmi]],1)</f>
        <v>32.200000000000003</v>
      </c>
      <c r="C203" s="4" t="str" cm="1">
        <f t="array" ref="C203">_xlfn.IFS(Table13_1[[#This Row],[Round BMI]]&lt;18.5,"Underweight",AND(Table13_1[[#This Row],[Round BMI]]&gt;=18.5,Table13_1[[#This Row],[Round BMI]] &lt;=24.9),"Healthy Weight",AND(Table13_1[[#This Row],[Round BMI]]&gt;=25,Table13_1[[#This Row],[Round BMI]]&lt;=29.9),"Overweight",Table13_1[[#This Row],[Round BMI]]&gt;=30,"Obese")</f>
        <v>Obese</v>
      </c>
      <c r="D203" s="4" t="s">
        <v>11</v>
      </c>
      <c r="E203" s="4" t="str">
        <f>IF(Table13_1[[#This Row],[smoker]]="yes","smoker","non-smoker")</f>
        <v>non-smoker</v>
      </c>
      <c r="F203" s="4" t="s">
        <v>12</v>
      </c>
      <c r="G203" s="5">
        <v>48</v>
      </c>
      <c r="H203" s="5">
        <f>IF(Table13_1[[#This Row],[smoker]]="yes",1,0)</f>
        <v>0</v>
      </c>
      <c r="I203" s="4">
        <v>32.229999999999997</v>
      </c>
      <c r="J203" s="4">
        <v>1</v>
      </c>
      <c r="K203" s="12">
        <v>8871.1517000000003</v>
      </c>
      <c r="N203">
        <v>48</v>
      </c>
      <c r="O203">
        <v>6307.790103848175</v>
      </c>
      <c r="P203">
        <v>-2750.8678038481748</v>
      </c>
    </row>
    <row r="204" spans="1:16" x14ac:dyDescent="0.25">
      <c r="A204" s="4" t="s">
        <v>7</v>
      </c>
      <c r="B204" s="4">
        <f>ROUND(Table13_1[[#This Row],[bmi]],1)</f>
        <v>24</v>
      </c>
      <c r="C204" s="4" t="str" cm="1">
        <f t="array" ref="C204">_xlfn.IFS(Table13_1[[#This Row],[Round BMI]]&lt;18.5,"Underweight",AND(Table13_1[[#This Row],[Round BMI]]&gt;=18.5,Table13_1[[#This Row],[Round BMI]] &lt;=24.9),"Healthy Weight",AND(Table13_1[[#This Row],[Round BMI]]&gt;=25,Table13_1[[#This Row],[Round BMI]]&lt;=29.9),"Overweight",Table13_1[[#This Row],[Round BMI]]&gt;=30,"Obese")</f>
        <v>Healthy Weight</v>
      </c>
      <c r="D204" s="4" t="s">
        <v>11</v>
      </c>
      <c r="E204" s="4" t="str">
        <f>IF(Table13_1[[#This Row],[smoker]]="yes","smoker","non-smoker")</f>
        <v>non-smoker</v>
      </c>
      <c r="F204" s="4" t="s">
        <v>13</v>
      </c>
      <c r="G204" s="5">
        <v>60</v>
      </c>
      <c r="H204" s="5">
        <f>IF(Table13_1[[#This Row],[smoker]]="yes",1,0)</f>
        <v>0</v>
      </c>
      <c r="I204" s="4">
        <v>24.035</v>
      </c>
      <c r="J204" s="4">
        <v>0</v>
      </c>
      <c r="K204" s="12">
        <v>13012.2086</v>
      </c>
      <c r="N204">
        <v>49</v>
      </c>
      <c r="O204">
        <v>11263.215973325547</v>
      </c>
      <c r="P204">
        <v>1366.6807266744527</v>
      </c>
    </row>
    <row r="205" spans="1:16" x14ac:dyDescent="0.25">
      <c r="A205" s="4" t="s">
        <v>7</v>
      </c>
      <c r="B205" s="4">
        <f>ROUND(Table13_1[[#This Row],[bmi]],1)</f>
        <v>36.1</v>
      </c>
      <c r="C205" s="4" t="str" cm="1">
        <f t="array" ref="C205">_xlfn.IFS(Table13_1[[#This Row],[Round BMI]]&lt;18.5,"Underweight",AND(Table13_1[[#This Row],[Round BMI]]&gt;=18.5,Table13_1[[#This Row],[Round BMI]] &lt;=24.9),"Healthy Weight",AND(Table13_1[[#This Row],[Round BMI]]&gt;=25,Table13_1[[#This Row],[Round BMI]]&lt;=29.9),"Overweight",Table13_1[[#This Row],[Round BMI]]&gt;=30,"Obese")</f>
        <v>Obese</v>
      </c>
      <c r="D205" s="4" t="s">
        <v>8</v>
      </c>
      <c r="E205" s="4" t="str">
        <f>IF(Table13_1[[#This Row],[smoker]]="yes","smoker","non-smoker")</f>
        <v>smoker</v>
      </c>
      <c r="F205" s="4" t="s">
        <v>12</v>
      </c>
      <c r="G205" s="5">
        <v>27</v>
      </c>
      <c r="H205" s="5">
        <f>IF(Table13_1[[#This Row],[smoker]]="yes",1,0)</f>
        <v>1</v>
      </c>
      <c r="I205" s="4">
        <v>36.08</v>
      </c>
      <c r="J205" s="4">
        <v>0</v>
      </c>
      <c r="K205" s="12">
        <v>37133.898200000003</v>
      </c>
      <c r="N205">
        <v>50</v>
      </c>
      <c r="O205">
        <v>32793.88442727409</v>
      </c>
      <c r="P205">
        <v>5915.2915727259096</v>
      </c>
    </row>
    <row r="206" spans="1:16" x14ac:dyDescent="0.25">
      <c r="A206" s="4" t="s">
        <v>10</v>
      </c>
      <c r="B206" s="4">
        <f>ROUND(Table13_1[[#This Row],[bmi]],1)</f>
        <v>22.3</v>
      </c>
      <c r="C206" s="4" t="str" cm="1">
        <f t="array" ref="C206">_xlfn.IFS(Table13_1[[#This Row],[Round BMI]]&lt;18.5,"Underweight",AND(Table13_1[[#This Row],[Round BMI]]&gt;=18.5,Table13_1[[#This Row],[Round BMI]] &lt;=24.9),"Healthy Weight",AND(Table13_1[[#This Row],[Round BMI]]&gt;=25,Table13_1[[#This Row],[Round BMI]]&lt;=29.9),"Overweight",Table13_1[[#This Row],[Round BMI]]&gt;=30,"Obese")</f>
        <v>Healthy Weight</v>
      </c>
      <c r="D206" s="4" t="s">
        <v>11</v>
      </c>
      <c r="E206" s="4" t="str">
        <f>IF(Table13_1[[#This Row],[smoker]]="yes","smoker","non-smoker")</f>
        <v>non-smoker</v>
      </c>
      <c r="F206" s="4" t="s">
        <v>9</v>
      </c>
      <c r="G206" s="5">
        <v>46</v>
      </c>
      <c r="H206" s="5">
        <f>IF(Table13_1[[#This Row],[smoker]]="yes",1,0)</f>
        <v>0</v>
      </c>
      <c r="I206" s="4">
        <v>22.3</v>
      </c>
      <c r="J206" s="4">
        <v>0</v>
      </c>
      <c r="K206" s="12">
        <v>7147.1049999999996</v>
      </c>
      <c r="N206">
        <v>51</v>
      </c>
      <c r="O206">
        <v>4004.4779799738499</v>
      </c>
      <c r="P206">
        <v>-1793.34717997385</v>
      </c>
    </row>
    <row r="207" spans="1:16" x14ac:dyDescent="0.25">
      <c r="A207" s="4" t="s">
        <v>7</v>
      </c>
      <c r="B207" s="4">
        <f>ROUND(Table13_1[[#This Row],[bmi]],1)</f>
        <v>28.9</v>
      </c>
      <c r="C207" s="4" t="str" cm="1">
        <f t="array" ref="C207">_xlfn.IFS(Table13_1[[#This Row],[Round BMI]]&lt;18.5,"Underweight",AND(Table13_1[[#This Row],[Round BMI]]&gt;=18.5,Table13_1[[#This Row],[Round BMI]] &lt;=24.9),"Healthy Weight",AND(Table13_1[[#This Row],[Round BMI]]&gt;=25,Table13_1[[#This Row],[Round BMI]]&lt;=29.9),"Overweight",Table13_1[[#This Row],[Round BMI]]&gt;=30,"Obese")</f>
        <v>Overweight</v>
      </c>
      <c r="D207" s="4" t="s">
        <v>11</v>
      </c>
      <c r="E207" s="4" t="str">
        <f>IF(Table13_1[[#This Row],[smoker]]="yes","smoker","non-smoker")</f>
        <v>non-smoker</v>
      </c>
      <c r="F207" s="4" t="s">
        <v>14</v>
      </c>
      <c r="G207" s="5">
        <v>28</v>
      </c>
      <c r="H207" s="5">
        <f>IF(Table13_1[[#This Row],[smoker]]="yes",1,0)</f>
        <v>0</v>
      </c>
      <c r="I207" s="4">
        <v>28.88</v>
      </c>
      <c r="J207" s="4">
        <v>1</v>
      </c>
      <c r="K207" s="12">
        <v>4337.7352000000001</v>
      </c>
      <c r="N207">
        <v>52</v>
      </c>
      <c r="O207">
        <v>5082.9375843883472</v>
      </c>
      <c r="P207">
        <v>-1503.1088843883472</v>
      </c>
    </row>
    <row r="208" spans="1:16" x14ac:dyDescent="0.25">
      <c r="A208" s="4" t="s">
        <v>10</v>
      </c>
      <c r="B208" s="4">
        <f>ROUND(Table13_1[[#This Row],[bmi]],1)</f>
        <v>26.4</v>
      </c>
      <c r="C208" s="4" t="str" cm="1">
        <f t="array" ref="C208">_xlfn.IFS(Table13_1[[#This Row],[Round BMI]]&lt;18.5,"Underweight",AND(Table13_1[[#This Row],[Round BMI]]&gt;=18.5,Table13_1[[#This Row],[Round BMI]] &lt;=24.9),"Healthy Weight",AND(Table13_1[[#This Row],[Round BMI]]&gt;=25,Table13_1[[#This Row],[Round BMI]]&lt;=29.9),"Overweight",Table13_1[[#This Row],[Round BMI]]&gt;=30,"Obese")</f>
        <v>Overweight</v>
      </c>
      <c r="D208" s="4" t="s">
        <v>11</v>
      </c>
      <c r="E208" s="4" t="str">
        <f>IF(Table13_1[[#This Row],[smoker]]="yes","smoker","non-smoker")</f>
        <v>non-smoker</v>
      </c>
      <c r="F208" s="4" t="s">
        <v>12</v>
      </c>
      <c r="G208" s="5">
        <v>59</v>
      </c>
      <c r="H208" s="5">
        <f>IF(Table13_1[[#This Row],[smoker]]="yes",1,0)</f>
        <v>0</v>
      </c>
      <c r="I208" s="4">
        <v>26.4</v>
      </c>
      <c r="J208" s="4">
        <v>0</v>
      </c>
      <c r="K208" s="12">
        <v>11743.299000000001</v>
      </c>
      <c r="N208">
        <v>53</v>
      </c>
      <c r="O208">
        <v>33570.748414781636</v>
      </c>
      <c r="P208">
        <v>-10002.476414781635</v>
      </c>
    </row>
    <row r="209" spans="1:16" x14ac:dyDescent="0.25">
      <c r="A209" s="4" t="s">
        <v>10</v>
      </c>
      <c r="B209" s="4">
        <f>ROUND(Table13_1[[#This Row],[bmi]],1)</f>
        <v>27.7</v>
      </c>
      <c r="C209" s="4" t="str" cm="1">
        <f t="array" ref="C209">_xlfn.IFS(Table13_1[[#This Row],[Round BMI]]&lt;18.5,"Underweight",AND(Table13_1[[#This Row],[Round BMI]]&gt;=18.5,Table13_1[[#This Row],[Round BMI]] &lt;=24.9),"Healthy Weight",AND(Table13_1[[#This Row],[Round BMI]]&gt;=25,Table13_1[[#This Row],[Round BMI]]&lt;=29.9),"Overweight",Table13_1[[#This Row],[Round BMI]]&gt;=30,"Obese")</f>
        <v>Overweight</v>
      </c>
      <c r="D209" s="4" t="s">
        <v>8</v>
      </c>
      <c r="E209" s="4" t="str">
        <f>IF(Table13_1[[#This Row],[smoker]]="yes","smoker","non-smoker")</f>
        <v>smoker</v>
      </c>
      <c r="F209" s="4" t="s">
        <v>14</v>
      </c>
      <c r="G209" s="5">
        <v>35</v>
      </c>
      <c r="H209" s="5">
        <f>IF(Table13_1[[#This Row],[smoker]]="yes",1,0)</f>
        <v>1</v>
      </c>
      <c r="I209" s="4">
        <v>27.74</v>
      </c>
      <c r="J209" s="4">
        <v>2</v>
      </c>
      <c r="K209" s="12">
        <v>20984.0936</v>
      </c>
      <c r="N209">
        <v>54</v>
      </c>
      <c r="O209">
        <v>32072.556531540533</v>
      </c>
      <c r="P209">
        <v>5670.0191684594683</v>
      </c>
    </row>
    <row r="210" spans="1:16" x14ac:dyDescent="0.25">
      <c r="A210" s="4" t="s">
        <v>7</v>
      </c>
      <c r="B210" s="4">
        <f>ROUND(Table13_1[[#This Row],[bmi]],1)</f>
        <v>31.8</v>
      </c>
      <c r="C210" s="4" t="str" cm="1">
        <f t="array" ref="C210">_xlfn.IFS(Table13_1[[#This Row],[Round BMI]]&lt;18.5,"Underweight",AND(Table13_1[[#This Row],[Round BMI]]&gt;=18.5,Table13_1[[#This Row],[Round BMI]] &lt;=24.9),"Healthy Weight",AND(Table13_1[[#This Row],[Round BMI]]&gt;=25,Table13_1[[#This Row],[Round BMI]]&lt;=29.9),"Overweight",Table13_1[[#This Row],[Round BMI]]&gt;=30,"Obese")</f>
        <v>Obese</v>
      </c>
      <c r="D210" s="4" t="s">
        <v>11</v>
      </c>
      <c r="E210" s="4" t="str">
        <f>IF(Table13_1[[#This Row],[smoker]]="yes","smoker","non-smoker")</f>
        <v>non-smoker</v>
      </c>
      <c r="F210" s="4" t="s">
        <v>9</v>
      </c>
      <c r="G210" s="5">
        <v>63</v>
      </c>
      <c r="H210" s="5">
        <f>IF(Table13_1[[#This Row],[smoker]]="yes",1,0)</f>
        <v>0</v>
      </c>
      <c r="I210" s="4">
        <v>31.8</v>
      </c>
      <c r="J210" s="4">
        <v>0</v>
      </c>
      <c r="K210" s="12">
        <v>13880.949000000001</v>
      </c>
      <c r="N210">
        <v>55</v>
      </c>
      <c r="O210">
        <v>8865.6346091753421</v>
      </c>
      <c r="P210">
        <v>-805.95550917534183</v>
      </c>
    </row>
    <row r="211" spans="1:16" x14ac:dyDescent="0.25">
      <c r="A211" s="4" t="s">
        <v>10</v>
      </c>
      <c r="B211" s="4">
        <f>ROUND(Table13_1[[#This Row],[bmi]],1)</f>
        <v>41.2</v>
      </c>
      <c r="C211" s="4" t="str" cm="1">
        <f t="array" ref="C211">_xlfn.IFS(Table13_1[[#This Row],[Round BMI]]&lt;18.5,"Underweight",AND(Table13_1[[#This Row],[Round BMI]]&gt;=18.5,Table13_1[[#This Row],[Round BMI]] &lt;=24.9),"Healthy Weight",AND(Table13_1[[#This Row],[Round BMI]]&gt;=25,Table13_1[[#This Row],[Round BMI]]&lt;=29.9),"Overweight",Table13_1[[#This Row],[Round BMI]]&gt;=30,"Obese")</f>
        <v>Obese</v>
      </c>
      <c r="D211" s="4" t="s">
        <v>11</v>
      </c>
      <c r="E211" s="4" t="str">
        <f>IF(Table13_1[[#This Row],[smoker]]="yes","smoker","non-smoker")</f>
        <v>non-smoker</v>
      </c>
      <c r="F211" s="4" t="s">
        <v>14</v>
      </c>
      <c r="G211" s="5">
        <v>40</v>
      </c>
      <c r="H211" s="5">
        <f>IF(Table13_1[[#This Row],[smoker]]="yes",1,0)</f>
        <v>0</v>
      </c>
      <c r="I211" s="4">
        <v>41.23</v>
      </c>
      <c r="J211" s="4">
        <v>1</v>
      </c>
      <c r="K211" s="12">
        <v>6610.1097</v>
      </c>
      <c r="N211">
        <v>56</v>
      </c>
      <c r="O211">
        <v>39504.925116074068</v>
      </c>
      <c r="P211">
        <v>7991.5692839259355</v>
      </c>
    </row>
    <row r="212" spans="1:16" x14ac:dyDescent="0.25">
      <c r="A212" s="4" t="s">
        <v>10</v>
      </c>
      <c r="B212" s="4">
        <f>ROUND(Table13_1[[#This Row],[bmi]],1)</f>
        <v>33</v>
      </c>
      <c r="C212" s="4" t="str" cm="1">
        <f t="array" ref="C212">_xlfn.IFS(Table13_1[[#This Row],[Round BMI]]&lt;18.5,"Underweight",AND(Table13_1[[#This Row],[Round BMI]]&gt;=18.5,Table13_1[[#This Row],[Round BMI]] &lt;=24.9),"Healthy Weight",AND(Table13_1[[#This Row],[Round BMI]]&gt;=25,Table13_1[[#This Row],[Round BMI]]&lt;=29.9),"Overweight",Table13_1[[#This Row],[Round BMI]]&gt;=30,"Obese")</f>
        <v>Obese</v>
      </c>
      <c r="D212" s="4" t="s">
        <v>11</v>
      </c>
      <c r="E212" s="4" t="str">
        <f>IF(Table13_1[[#This Row],[smoker]]="yes","smoker","non-smoker")</f>
        <v>non-smoker</v>
      </c>
      <c r="F212" s="4" t="s">
        <v>9</v>
      </c>
      <c r="G212" s="5">
        <v>20</v>
      </c>
      <c r="H212" s="5">
        <f>IF(Table13_1[[#This Row],[smoker]]="yes",1,0)</f>
        <v>0</v>
      </c>
      <c r="I212" s="4">
        <v>33</v>
      </c>
      <c r="J212" s="4">
        <v>1</v>
      </c>
      <c r="K212" s="12">
        <v>1980.07</v>
      </c>
      <c r="N212">
        <v>57</v>
      </c>
      <c r="O212">
        <v>14042.427573483126</v>
      </c>
      <c r="P212">
        <v>-435.05877348312606</v>
      </c>
    </row>
    <row r="213" spans="1:16" x14ac:dyDescent="0.25">
      <c r="A213" s="4" t="s">
        <v>10</v>
      </c>
      <c r="B213" s="4">
        <f>ROUND(Table13_1[[#This Row],[bmi]],1)</f>
        <v>30.9</v>
      </c>
      <c r="C213" s="4" t="str" cm="1">
        <f t="array" ref="C213">_xlfn.IFS(Table13_1[[#This Row],[Round BMI]]&lt;18.5,"Underweight",AND(Table13_1[[#This Row],[Round BMI]]&gt;=18.5,Table13_1[[#This Row],[Round BMI]] &lt;=24.9),"Healthy Weight",AND(Table13_1[[#This Row],[Round BMI]]&gt;=25,Table13_1[[#This Row],[Round BMI]]&lt;=29.9),"Overweight",Table13_1[[#This Row],[Round BMI]]&gt;=30,"Obese")</f>
        <v>Obese</v>
      </c>
      <c r="D213" s="4" t="s">
        <v>11</v>
      </c>
      <c r="E213" s="4" t="str">
        <f>IF(Table13_1[[#This Row],[smoker]]="yes","smoker","non-smoker")</f>
        <v>non-smoker</v>
      </c>
      <c r="F213" s="4" t="s">
        <v>13</v>
      </c>
      <c r="G213" s="5">
        <v>40</v>
      </c>
      <c r="H213" s="5">
        <f>IF(Table13_1[[#This Row],[smoker]]="yes",1,0)</f>
        <v>0</v>
      </c>
      <c r="I213" s="4">
        <v>30.875</v>
      </c>
      <c r="J213" s="4">
        <v>4</v>
      </c>
      <c r="K213" s="12">
        <v>8162.7161999999998</v>
      </c>
      <c r="N213">
        <v>58</v>
      </c>
      <c r="O213">
        <v>27493.178672872436</v>
      </c>
      <c r="P213">
        <v>6809.9885271275671</v>
      </c>
    </row>
    <row r="214" spans="1:16" x14ac:dyDescent="0.25">
      <c r="A214" s="4" t="s">
        <v>10</v>
      </c>
      <c r="B214" s="4">
        <f>ROUND(Table13_1[[#This Row],[bmi]],1)</f>
        <v>28.5</v>
      </c>
      <c r="C214" s="4" t="str" cm="1">
        <f t="array" ref="C214">_xlfn.IFS(Table13_1[[#This Row],[Round BMI]]&lt;18.5,"Underweight",AND(Table13_1[[#This Row],[Round BMI]]&gt;=18.5,Table13_1[[#This Row],[Round BMI]] &lt;=24.9),"Healthy Weight",AND(Table13_1[[#This Row],[Round BMI]]&gt;=25,Table13_1[[#This Row],[Round BMI]]&lt;=29.9),"Overweight",Table13_1[[#This Row],[Round BMI]]&gt;=30,"Obese")</f>
        <v>Overweight</v>
      </c>
      <c r="D214" s="4" t="s">
        <v>11</v>
      </c>
      <c r="E214" s="4" t="str">
        <f>IF(Table13_1[[#This Row],[smoker]]="yes","smoker","non-smoker")</f>
        <v>non-smoker</v>
      </c>
      <c r="F214" s="4" t="s">
        <v>13</v>
      </c>
      <c r="G214" s="5">
        <v>24</v>
      </c>
      <c r="H214" s="5">
        <f>IF(Table13_1[[#This Row],[smoker]]="yes",1,0)</f>
        <v>0</v>
      </c>
      <c r="I214" s="4">
        <v>28.5</v>
      </c>
      <c r="J214" s="4">
        <v>2</v>
      </c>
      <c r="K214" s="12">
        <v>3537.703</v>
      </c>
      <c r="N214">
        <v>59</v>
      </c>
      <c r="O214">
        <v>33212.116768886408</v>
      </c>
      <c r="P214">
        <v>-9967.3265688864085</v>
      </c>
    </row>
    <row r="215" spans="1:16" x14ac:dyDescent="0.25">
      <c r="A215" s="4" t="s">
        <v>7</v>
      </c>
      <c r="B215" s="4">
        <f>ROUND(Table13_1[[#This Row],[bmi]],1)</f>
        <v>26.7</v>
      </c>
      <c r="C215" s="4" t="str" cm="1">
        <f t="array" ref="C215">_xlfn.IFS(Table13_1[[#This Row],[Round BMI]]&lt;18.5,"Underweight",AND(Table13_1[[#This Row],[Round BMI]]&gt;=18.5,Table13_1[[#This Row],[Round BMI]] &lt;=24.9),"Healthy Weight",AND(Table13_1[[#This Row],[Round BMI]]&gt;=25,Table13_1[[#This Row],[Round BMI]]&lt;=29.9),"Overweight",Table13_1[[#This Row],[Round BMI]]&gt;=30,"Obese")</f>
        <v>Overweight</v>
      </c>
      <c r="D215" s="4" t="s">
        <v>11</v>
      </c>
      <c r="E215" s="4" t="str">
        <f>IF(Table13_1[[#This Row],[smoker]]="yes","smoker","non-smoker")</f>
        <v>non-smoker</v>
      </c>
      <c r="F215" s="4" t="s">
        <v>12</v>
      </c>
      <c r="G215" s="5">
        <v>34</v>
      </c>
      <c r="H215" s="5">
        <f>IF(Table13_1[[#This Row],[smoker]]="yes",1,0)</f>
        <v>0</v>
      </c>
      <c r="I215" s="4">
        <v>26.73</v>
      </c>
      <c r="J215" s="4">
        <v>1</v>
      </c>
      <c r="K215" s="12">
        <v>5002.7826999999997</v>
      </c>
      <c r="N215">
        <v>60</v>
      </c>
      <c r="O215">
        <v>9627.4406272096639</v>
      </c>
      <c r="P215">
        <v>-3637.9170272096635</v>
      </c>
    </row>
    <row r="216" spans="1:16" x14ac:dyDescent="0.25">
      <c r="A216" s="4" t="s">
        <v>7</v>
      </c>
      <c r="B216" s="4">
        <f>ROUND(Table13_1[[#This Row],[bmi]],1)</f>
        <v>30.9</v>
      </c>
      <c r="C216" s="4" t="str" cm="1">
        <f t="array" ref="C216">_xlfn.IFS(Table13_1[[#This Row],[Round BMI]]&lt;18.5,"Underweight",AND(Table13_1[[#This Row],[Round BMI]]&gt;=18.5,Table13_1[[#This Row],[Round BMI]] &lt;=24.9),"Healthy Weight",AND(Table13_1[[#This Row],[Round BMI]]&gt;=25,Table13_1[[#This Row],[Round BMI]]&lt;=29.9),"Overweight",Table13_1[[#This Row],[Round BMI]]&gt;=30,"Obese")</f>
        <v>Obese</v>
      </c>
      <c r="D216" s="4" t="s">
        <v>11</v>
      </c>
      <c r="E216" s="4" t="str">
        <f>IF(Table13_1[[#This Row],[smoker]]="yes","smoker","non-smoker")</f>
        <v>non-smoker</v>
      </c>
      <c r="F216" s="4" t="s">
        <v>9</v>
      </c>
      <c r="G216" s="5">
        <v>45</v>
      </c>
      <c r="H216" s="5">
        <f>IF(Table13_1[[#This Row],[smoker]]="yes",1,0)</f>
        <v>0</v>
      </c>
      <c r="I216" s="4">
        <v>30.9</v>
      </c>
      <c r="J216" s="4">
        <v>2</v>
      </c>
      <c r="K216" s="12">
        <v>8520.0259999999998</v>
      </c>
      <c r="N216">
        <v>61</v>
      </c>
      <c r="O216">
        <v>9211.1207653875972</v>
      </c>
      <c r="P216">
        <v>-604.90336538759766</v>
      </c>
    </row>
    <row r="217" spans="1:16" x14ac:dyDescent="0.25">
      <c r="A217" s="4" t="s">
        <v>7</v>
      </c>
      <c r="B217" s="4">
        <f>ROUND(Table13_1[[#This Row],[bmi]],1)</f>
        <v>37.1</v>
      </c>
      <c r="C217" s="4" t="str" cm="1">
        <f t="array" ref="C217">_xlfn.IFS(Table13_1[[#This Row],[Round BMI]]&lt;18.5,"Underweight",AND(Table13_1[[#This Row],[Round BMI]]&gt;=18.5,Table13_1[[#This Row],[Round BMI]] &lt;=24.9),"Healthy Weight",AND(Table13_1[[#This Row],[Round BMI]]&gt;=25,Table13_1[[#This Row],[Round BMI]]&lt;=29.9),"Overweight",Table13_1[[#This Row],[Round BMI]]&gt;=30,"Obese")</f>
        <v>Obese</v>
      </c>
      <c r="D217" s="4" t="s">
        <v>11</v>
      </c>
      <c r="E217" s="4" t="str">
        <f>IF(Table13_1[[#This Row],[smoker]]="yes","smoker","non-smoker")</f>
        <v>non-smoker</v>
      </c>
      <c r="F217" s="4" t="s">
        <v>9</v>
      </c>
      <c r="G217" s="5">
        <v>41</v>
      </c>
      <c r="H217" s="5">
        <f>IF(Table13_1[[#This Row],[smoker]]="yes",1,0)</f>
        <v>0</v>
      </c>
      <c r="I217" s="4">
        <v>37.1</v>
      </c>
      <c r="J217" s="4">
        <v>2</v>
      </c>
      <c r="K217" s="12">
        <v>7371.7719999999999</v>
      </c>
      <c r="N217">
        <v>62</v>
      </c>
      <c r="O217">
        <v>7070.9957868866513</v>
      </c>
      <c r="P217">
        <v>-2566.3333868866512</v>
      </c>
    </row>
    <row r="218" spans="1:16" x14ac:dyDescent="0.25">
      <c r="A218" s="4" t="s">
        <v>7</v>
      </c>
      <c r="B218" s="4">
        <f>ROUND(Table13_1[[#This Row],[bmi]],1)</f>
        <v>26.6</v>
      </c>
      <c r="C218" s="4" t="str" cm="1">
        <f t="array" ref="C218">_xlfn.IFS(Table13_1[[#This Row],[Round BMI]]&lt;18.5,"Underweight",AND(Table13_1[[#This Row],[Round BMI]]&gt;=18.5,Table13_1[[#This Row],[Round BMI]] &lt;=24.9),"Healthy Weight",AND(Table13_1[[#This Row],[Round BMI]]&gt;=25,Table13_1[[#This Row],[Round BMI]]&lt;=29.9),"Overweight",Table13_1[[#This Row],[Round BMI]]&gt;=30,"Obese")</f>
        <v>Overweight</v>
      </c>
      <c r="D218" s="4" t="s">
        <v>11</v>
      </c>
      <c r="E218" s="4" t="str">
        <f>IF(Table13_1[[#This Row],[smoker]]="yes","smoker","non-smoker")</f>
        <v>non-smoker</v>
      </c>
      <c r="F218" s="4" t="s">
        <v>13</v>
      </c>
      <c r="G218" s="5">
        <v>53</v>
      </c>
      <c r="H218" s="5">
        <f>IF(Table13_1[[#This Row],[smoker]]="yes",1,0)</f>
        <v>0</v>
      </c>
      <c r="I218" s="4">
        <v>26.6</v>
      </c>
      <c r="J218" s="4">
        <v>0</v>
      </c>
      <c r="K218" s="12">
        <v>10355.641</v>
      </c>
      <c r="N218">
        <v>63</v>
      </c>
      <c r="O218">
        <v>12822.831056675801</v>
      </c>
      <c r="P218">
        <v>17343.7871433242</v>
      </c>
    </row>
    <row r="219" spans="1:16" x14ac:dyDescent="0.25">
      <c r="A219" s="4" t="s">
        <v>10</v>
      </c>
      <c r="B219" s="4">
        <f>ROUND(Table13_1[[#This Row],[bmi]],1)</f>
        <v>23.1</v>
      </c>
      <c r="C219" s="4" t="str" cm="1">
        <f t="array" ref="C219">_xlfn.IFS(Table13_1[[#This Row],[Round BMI]]&lt;18.5,"Underweight",AND(Table13_1[[#This Row],[Round BMI]]&gt;=18.5,Table13_1[[#This Row],[Round BMI]] &lt;=24.9),"Healthy Weight",AND(Table13_1[[#This Row],[Round BMI]]&gt;=25,Table13_1[[#This Row],[Round BMI]]&lt;=29.9),"Overweight",Table13_1[[#This Row],[Round BMI]]&gt;=30,"Obese")</f>
        <v>Healthy Weight</v>
      </c>
      <c r="D219" s="4" t="s">
        <v>11</v>
      </c>
      <c r="E219" s="4" t="str">
        <f>IF(Table13_1[[#This Row],[smoker]]="yes","smoker","non-smoker")</f>
        <v>non-smoker</v>
      </c>
      <c r="F219" s="4" t="s">
        <v>12</v>
      </c>
      <c r="G219" s="5">
        <v>27</v>
      </c>
      <c r="H219" s="5">
        <f>IF(Table13_1[[#This Row],[smoker]]="yes",1,0)</f>
        <v>0</v>
      </c>
      <c r="I219" s="4">
        <v>23.1</v>
      </c>
      <c r="J219" s="4">
        <v>0</v>
      </c>
      <c r="K219" s="12">
        <v>2483.7359999999999</v>
      </c>
      <c r="N219">
        <v>64</v>
      </c>
      <c r="O219">
        <v>3937.7352752918837</v>
      </c>
      <c r="P219">
        <v>195.90632470811624</v>
      </c>
    </row>
    <row r="220" spans="1:16" x14ac:dyDescent="0.25">
      <c r="A220" s="4" t="s">
        <v>7</v>
      </c>
      <c r="B220" s="4">
        <f>ROUND(Table13_1[[#This Row],[bmi]],1)</f>
        <v>29.9</v>
      </c>
      <c r="C220" s="4" t="str" cm="1">
        <f t="array" ref="C220">_xlfn.IFS(Table13_1[[#This Row],[Round BMI]]&lt;18.5,"Underweight",AND(Table13_1[[#This Row],[Round BMI]]&gt;=18.5,Table13_1[[#This Row],[Round BMI]] &lt;=24.9),"Healthy Weight",AND(Table13_1[[#This Row],[Round BMI]]&gt;=25,Table13_1[[#This Row],[Round BMI]]&lt;=29.9),"Overweight",Table13_1[[#This Row],[Round BMI]]&gt;=30,"Obese")</f>
        <v>Overweight</v>
      </c>
      <c r="D220" s="4" t="s">
        <v>11</v>
      </c>
      <c r="E220" s="4" t="str">
        <f>IF(Table13_1[[#This Row],[smoker]]="yes","smoker","non-smoker")</f>
        <v>non-smoker</v>
      </c>
      <c r="F220" s="4" t="s">
        <v>12</v>
      </c>
      <c r="G220" s="5">
        <v>26</v>
      </c>
      <c r="H220" s="5">
        <f>IF(Table13_1[[#This Row],[smoker]]="yes",1,0)</f>
        <v>0</v>
      </c>
      <c r="I220" s="4">
        <v>29.92</v>
      </c>
      <c r="J220" s="4">
        <v>1</v>
      </c>
      <c r="K220" s="12">
        <v>3392.9767999999999</v>
      </c>
      <c r="N220">
        <v>65</v>
      </c>
      <c r="O220">
        <v>24081.529066131876</v>
      </c>
      <c r="P220">
        <v>-9369.7852661318757</v>
      </c>
    </row>
    <row r="221" spans="1:16" x14ac:dyDescent="0.25">
      <c r="A221" s="4" t="s">
        <v>7</v>
      </c>
      <c r="B221" s="4">
        <f>ROUND(Table13_1[[#This Row],[bmi]],1)</f>
        <v>23.2</v>
      </c>
      <c r="C221" s="4" t="str" cm="1">
        <f t="array" ref="C221">_xlfn.IFS(Table13_1[[#This Row],[Round BMI]]&lt;18.5,"Underweight",AND(Table13_1[[#This Row],[Round BMI]]&gt;=18.5,Table13_1[[#This Row],[Round BMI]] &lt;=24.9),"Healthy Weight",AND(Table13_1[[#This Row],[Round BMI]]&gt;=25,Table13_1[[#This Row],[Round BMI]]&lt;=29.9),"Overweight",Table13_1[[#This Row],[Round BMI]]&gt;=30,"Obese")</f>
        <v>Healthy Weight</v>
      </c>
      <c r="D221" s="4" t="s">
        <v>11</v>
      </c>
      <c r="E221" s="4" t="str">
        <f>IF(Table13_1[[#This Row],[smoker]]="yes","smoker","non-smoker")</f>
        <v>non-smoker</v>
      </c>
      <c r="F221" s="4" t="s">
        <v>12</v>
      </c>
      <c r="G221" s="5">
        <v>24</v>
      </c>
      <c r="H221" s="5">
        <f>IF(Table13_1[[#This Row],[smoker]]="yes",1,0)</f>
        <v>0</v>
      </c>
      <c r="I221" s="4">
        <v>23.21</v>
      </c>
      <c r="J221" s="4">
        <v>0</v>
      </c>
      <c r="K221" s="12">
        <v>25081.767800000001</v>
      </c>
      <c r="N221">
        <v>66</v>
      </c>
      <c r="O221">
        <v>2097.8768031970512</v>
      </c>
      <c r="P221">
        <v>-354.66280319705129</v>
      </c>
    </row>
    <row r="222" spans="1:16" x14ac:dyDescent="0.25">
      <c r="A222" s="4" t="s">
        <v>7</v>
      </c>
      <c r="B222" s="4">
        <f>ROUND(Table13_1[[#This Row],[bmi]],1)</f>
        <v>33.700000000000003</v>
      </c>
      <c r="C222" s="4" t="str" cm="1">
        <f t="array" ref="C222">_xlfn.IFS(Table13_1[[#This Row],[Round BMI]]&lt;18.5,"Underweight",AND(Table13_1[[#This Row],[Round BMI]]&gt;=18.5,Table13_1[[#This Row],[Round BMI]] &lt;=24.9),"Healthy Weight",AND(Table13_1[[#This Row],[Round BMI]]&gt;=25,Table13_1[[#This Row],[Round BMI]]&lt;=29.9),"Overweight",Table13_1[[#This Row],[Round BMI]]&gt;=30,"Obese")</f>
        <v>Obese</v>
      </c>
      <c r="D222" s="4" t="s">
        <v>11</v>
      </c>
      <c r="E222" s="4" t="str">
        <f>IF(Table13_1[[#This Row],[smoker]]="yes","smoker","non-smoker")</f>
        <v>non-smoker</v>
      </c>
      <c r="F222" s="4" t="s">
        <v>9</v>
      </c>
      <c r="G222" s="5">
        <v>34</v>
      </c>
      <c r="H222" s="5">
        <f>IF(Table13_1[[#This Row],[smoker]]="yes",1,0)</f>
        <v>0</v>
      </c>
      <c r="I222" s="4">
        <v>33.700000000000003</v>
      </c>
      <c r="J222" s="4">
        <v>1</v>
      </c>
      <c r="K222" s="12">
        <v>5012.4709999999995</v>
      </c>
      <c r="N222">
        <v>67</v>
      </c>
      <c r="O222">
        <v>17157.445051144015</v>
      </c>
      <c r="P222">
        <v>-2922.3730511440153</v>
      </c>
    </row>
    <row r="223" spans="1:16" x14ac:dyDescent="0.25">
      <c r="A223" s="4" t="s">
        <v>7</v>
      </c>
      <c r="B223" s="4">
        <f>ROUND(Table13_1[[#This Row],[bmi]],1)</f>
        <v>33.299999999999997</v>
      </c>
      <c r="C223" s="4" t="str" cm="1">
        <f t="array" ref="C223">_xlfn.IFS(Table13_1[[#This Row],[Round BMI]]&lt;18.5,"Underweight",AND(Table13_1[[#This Row],[Round BMI]]&gt;=18.5,Table13_1[[#This Row],[Round BMI]] &lt;=24.9),"Healthy Weight",AND(Table13_1[[#This Row],[Round BMI]]&gt;=25,Table13_1[[#This Row],[Round BMI]]&lt;=29.9),"Overweight",Table13_1[[#This Row],[Round BMI]]&gt;=30,"Obese")</f>
        <v>Obese</v>
      </c>
      <c r="D223" s="4" t="s">
        <v>11</v>
      </c>
      <c r="E223" s="4" t="str">
        <f>IF(Table13_1[[#This Row],[smoker]]="yes","smoker","non-smoker")</f>
        <v>non-smoker</v>
      </c>
      <c r="F223" s="4" t="s">
        <v>14</v>
      </c>
      <c r="G223" s="5">
        <v>53</v>
      </c>
      <c r="H223" s="5">
        <f>IF(Table13_1[[#This Row],[smoker]]="yes",1,0)</f>
        <v>0</v>
      </c>
      <c r="I223" s="4">
        <v>33.25</v>
      </c>
      <c r="J223" s="4">
        <v>0</v>
      </c>
      <c r="K223" s="12">
        <v>10564.8845</v>
      </c>
      <c r="N223">
        <v>68</v>
      </c>
      <c r="O223">
        <v>7154.232896335815</v>
      </c>
      <c r="P223">
        <v>-764.85509633581478</v>
      </c>
    </row>
    <row r="224" spans="1:16" x14ac:dyDescent="0.25">
      <c r="A224" s="4" t="s">
        <v>10</v>
      </c>
      <c r="B224" s="4">
        <f>ROUND(Table13_1[[#This Row],[bmi]],1)</f>
        <v>30.8</v>
      </c>
      <c r="C224" s="4" t="str" cm="1">
        <f t="array" ref="C224">_xlfn.IFS(Table13_1[[#This Row],[Round BMI]]&lt;18.5,"Underweight",AND(Table13_1[[#This Row],[Round BMI]]&gt;=18.5,Table13_1[[#This Row],[Round BMI]] &lt;=24.9),"Healthy Weight",AND(Table13_1[[#This Row],[Round BMI]]&gt;=25,Table13_1[[#This Row],[Round BMI]]&lt;=29.9),"Overweight",Table13_1[[#This Row],[Round BMI]]&gt;=30,"Obese")</f>
        <v>Obese</v>
      </c>
      <c r="D224" s="4" t="s">
        <v>11</v>
      </c>
      <c r="E224" s="4" t="str">
        <f>IF(Table13_1[[#This Row],[smoker]]="yes","smoker","non-smoker")</f>
        <v>non-smoker</v>
      </c>
      <c r="F224" s="4" t="s">
        <v>9</v>
      </c>
      <c r="G224" s="5">
        <v>32</v>
      </c>
      <c r="H224" s="5">
        <f>IF(Table13_1[[#This Row],[smoker]]="yes",1,0)</f>
        <v>0</v>
      </c>
      <c r="I224" s="4">
        <v>30.8</v>
      </c>
      <c r="J224" s="4">
        <v>3</v>
      </c>
      <c r="K224" s="12">
        <v>5253.5240000000003</v>
      </c>
      <c r="N224">
        <v>69</v>
      </c>
      <c r="O224">
        <v>9859.0131838469642</v>
      </c>
      <c r="P224">
        <v>-3938.9090838469647</v>
      </c>
    </row>
    <row r="225" spans="1:16" x14ac:dyDescent="0.25">
      <c r="A225" s="4" t="s">
        <v>10</v>
      </c>
      <c r="B225" s="4">
        <f>ROUND(Table13_1[[#This Row],[bmi]],1)</f>
        <v>34.799999999999997</v>
      </c>
      <c r="C225" s="4" t="str" cm="1">
        <f t="array" ref="C225">_xlfn.IFS(Table13_1[[#This Row],[Round BMI]]&lt;18.5,"Underweight",AND(Table13_1[[#This Row],[Round BMI]]&gt;=18.5,Table13_1[[#This Row],[Round BMI]] &lt;=24.9),"Healthy Weight",AND(Table13_1[[#This Row],[Round BMI]]&gt;=25,Table13_1[[#This Row],[Round BMI]]&lt;=29.9),"Overweight",Table13_1[[#This Row],[Round BMI]]&gt;=30,"Obese")</f>
        <v>Obese</v>
      </c>
      <c r="D225" s="4" t="s">
        <v>8</v>
      </c>
      <c r="E225" s="4" t="str">
        <f>IF(Table13_1[[#This Row],[smoker]]="yes","smoker","non-smoker")</f>
        <v>smoker</v>
      </c>
      <c r="F225" s="4" t="s">
        <v>9</v>
      </c>
      <c r="G225" s="5">
        <v>19</v>
      </c>
      <c r="H225" s="5">
        <f>IF(Table13_1[[#This Row],[smoker]]="yes",1,0)</f>
        <v>1</v>
      </c>
      <c r="I225" s="4">
        <v>34.799999999999997</v>
      </c>
      <c r="J225" s="4">
        <v>0</v>
      </c>
      <c r="K225" s="12">
        <v>34779.614999999998</v>
      </c>
      <c r="N225">
        <v>70</v>
      </c>
      <c r="O225">
        <v>28066.920259844483</v>
      </c>
      <c r="P225">
        <v>-10403.776059844484</v>
      </c>
    </row>
    <row r="226" spans="1:16" x14ac:dyDescent="0.25">
      <c r="A226" s="4" t="s">
        <v>10</v>
      </c>
      <c r="B226" s="4">
        <f>ROUND(Table13_1[[#This Row],[bmi]],1)</f>
        <v>24.6</v>
      </c>
      <c r="C226" s="4" t="str" cm="1">
        <f t="array" ref="C226">_xlfn.IFS(Table13_1[[#This Row],[Round BMI]]&lt;18.5,"Underweight",AND(Table13_1[[#This Row],[Round BMI]]&gt;=18.5,Table13_1[[#This Row],[Round BMI]] &lt;=24.9),"Healthy Weight",AND(Table13_1[[#This Row],[Round BMI]]&gt;=25,Table13_1[[#This Row],[Round BMI]]&lt;=29.9),"Overweight",Table13_1[[#This Row],[Round BMI]]&gt;=30,"Obese")</f>
        <v>Healthy Weight</v>
      </c>
      <c r="D226" s="4" t="s">
        <v>8</v>
      </c>
      <c r="E226" s="4" t="str">
        <f>IF(Table13_1[[#This Row],[smoker]]="yes","smoker","non-smoker")</f>
        <v>smoker</v>
      </c>
      <c r="F226" s="4" t="s">
        <v>12</v>
      </c>
      <c r="G226" s="5">
        <v>42</v>
      </c>
      <c r="H226" s="5">
        <f>IF(Table13_1[[#This Row],[smoker]]="yes",1,0)</f>
        <v>1</v>
      </c>
      <c r="I226" s="4">
        <v>24.64</v>
      </c>
      <c r="J226" s="4">
        <v>0</v>
      </c>
      <c r="K226" s="12">
        <v>19515.5416</v>
      </c>
      <c r="N226">
        <v>71</v>
      </c>
      <c r="O226">
        <v>26636.389386064391</v>
      </c>
      <c r="P226">
        <v>-10058.609886064391</v>
      </c>
    </row>
    <row r="227" spans="1:16" x14ac:dyDescent="0.25">
      <c r="A227" s="4" t="s">
        <v>10</v>
      </c>
      <c r="B227" s="4">
        <f>ROUND(Table13_1[[#This Row],[bmi]],1)</f>
        <v>33.9</v>
      </c>
      <c r="C227" s="4" t="str" cm="1">
        <f t="array" ref="C227">_xlfn.IFS(Table13_1[[#This Row],[Round BMI]]&lt;18.5,"Underweight",AND(Table13_1[[#This Row],[Round BMI]]&gt;=18.5,Table13_1[[#This Row],[Round BMI]] &lt;=24.9),"Healthy Weight",AND(Table13_1[[#This Row],[Round BMI]]&gt;=25,Table13_1[[#This Row],[Round BMI]]&lt;=29.9),"Overweight",Table13_1[[#This Row],[Round BMI]]&gt;=30,"Obese")</f>
        <v>Obese</v>
      </c>
      <c r="D227" s="4" t="s">
        <v>11</v>
      </c>
      <c r="E227" s="4" t="str">
        <f>IF(Table13_1[[#This Row],[smoker]]="yes","smoker","non-smoker")</f>
        <v>non-smoker</v>
      </c>
      <c r="F227" s="4" t="s">
        <v>12</v>
      </c>
      <c r="G227" s="5">
        <v>55</v>
      </c>
      <c r="H227" s="5">
        <f>IF(Table13_1[[#This Row],[smoker]]="yes",1,0)</f>
        <v>0</v>
      </c>
      <c r="I227" s="4">
        <v>33.880000000000003</v>
      </c>
      <c r="J227" s="4">
        <v>3</v>
      </c>
      <c r="K227" s="12">
        <v>11987.1682</v>
      </c>
      <c r="N227">
        <v>72</v>
      </c>
      <c r="O227">
        <v>7430.8419077539547</v>
      </c>
      <c r="P227">
        <v>-631.3839077539551</v>
      </c>
    </row>
    <row r="228" spans="1:16" x14ac:dyDescent="0.25">
      <c r="A228" s="4" t="s">
        <v>10</v>
      </c>
      <c r="B228" s="4">
        <f>ROUND(Table13_1[[#This Row],[bmi]],1)</f>
        <v>38.1</v>
      </c>
      <c r="C228" s="4" t="str" cm="1">
        <f t="array" ref="C228">_xlfn.IFS(Table13_1[[#This Row],[Round BMI]]&lt;18.5,"Underweight",AND(Table13_1[[#This Row],[Round BMI]]&gt;=18.5,Table13_1[[#This Row],[Round BMI]] &lt;=24.9),"Healthy Weight",AND(Table13_1[[#This Row],[Round BMI]]&gt;=25,Table13_1[[#This Row],[Round BMI]]&lt;=29.9),"Overweight",Table13_1[[#This Row],[Round BMI]]&gt;=30,"Obese")</f>
        <v>Obese</v>
      </c>
      <c r="D228" s="4" t="s">
        <v>11</v>
      </c>
      <c r="E228" s="4" t="str">
        <f>IF(Table13_1[[#This Row],[smoker]]="yes","smoker","non-smoker")</f>
        <v>non-smoker</v>
      </c>
      <c r="F228" s="4" t="s">
        <v>12</v>
      </c>
      <c r="G228" s="5">
        <v>28</v>
      </c>
      <c r="H228" s="5">
        <f>IF(Table13_1[[#This Row],[smoker]]="yes",1,0)</f>
        <v>0</v>
      </c>
      <c r="I228" s="4">
        <v>38.06</v>
      </c>
      <c r="J228" s="4">
        <v>0</v>
      </c>
      <c r="K228" s="12">
        <v>2689.4953999999998</v>
      </c>
      <c r="N228">
        <v>73</v>
      </c>
      <c r="O228">
        <v>12027.785876793654</v>
      </c>
      <c r="P228">
        <v>-286.05987679365353</v>
      </c>
    </row>
    <row r="229" spans="1:16" x14ac:dyDescent="0.25">
      <c r="A229" s="4" t="s">
        <v>7</v>
      </c>
      <c r="B229" s="4">
        <f>ROUND(Table13_1[[#This Row],[bmi]],1)</f>
        <v>41.9</v>
      </c>
      <c r="C229" s="4" t="str" cm="1">
        <f t="array" ref="C229">_xlfn.IFS(Table13_1[[#This Row],[Round BMI]]&lt;18.5,"Underweight",AND(Table13_1[[#This Row],[Round BMI]]&gt;=18.5,Table13_1[[#This Row],[Round BMI]] &lt;=24.9),"Healthy Weight",AND(Table13_1[[#This Row],[Round BMI]]&gt;=25,Table13_1[[#This Row],[Round BMI]]&lt;=29.9),"Overweight",Table13_1[[#This Row],[Round BMI]]&gt;=30,"Obese")</f>
        <v>Obese</v>
      </c>
      <c r="D229" s="4" t="s">
        <v>11</v>
      </c>
      <c r="E229" s="4" t="str">
        <f>IF(Table13_1[[#This Row],[smoker]]="yes","smoker","non-smoker")</f>
        <v>non-smoker</v>
      </c>
      <c r="F229" s="4" t="s">
        <v>12</v>
      </c>
      <c r="G229" s="5">
        <v>58</v>
      </c>
      <c r="H229" s="5">
        <f>IF(Table13_1[[#This Row],[smoker]]="yes",1,0)</f>
        <v>0</v>
      </c>
      <c r="I229" s="4">
        <v>41.91</v>
      </c>
      <c r="J229" s="4">
        <v>0</v>
      </c>
      <c r="K229" s="12">
        <v>24227.337200000002</v>
      </c>
      <c r="N229">
        <v>74</v>
      </c>
      <c r="O229">
        <v>13628.467767462927</v>
      </c>
      <c r="P229">
        <v>-1681.8418674629283</v>
      </c>
    </row>
    <row r="230" spans="1:16" x14ac:dyDescent="0.25">
      <c r="A230" s="4" t="s">
        <v>7</v>
      </c>
      <c r="B230" s="4">
        <f>ROUND(Table13_1[[#This Row],[bmi]],1)</f>
        <v>31.6</v>
      </c>
      <c r="C230" s="4" t="str" cm="1">
        <f t="array" ref="C230">_xlfn.IFS(Table13_1[[#This Row],[Round BMI]]&lt;18.5,"Underweight",AND(Table13_1[[#This Row],[Round BMI]]&gt;=18.5,Table13_1[[#This Row],[Round BMI]] &lt;=24.9),"Healthy Weight",AND(Table13_1[[#This Row],[Round BMI]]&gt;=25,Table13_1[[#This Row],[Round BMI]]&lt;=29.9),"Overweight",Table13_1[[#This Row],[Round BMI]]&gt;=30,"Obese")</f>
        <v>Obese</v>
      </c>
      <c r="D230" s="4" t="s">
        <v>11</v>
      </c>
      <c r="E230" s="4" t="str">
        <f>IF(Table13_1[[#This Row],[smoker]]="yes","smoker","non-smoker")</f>
        <v>non-smoker</v>
      </c>
      <c r="F230" s="4" t="s">
        <v>14</v>
      </c>
      <c r="G230" s="5">
        <v>41</v>
      </c>
      <c r="H230" s="5">
        <f>IF(Table13_1[[#This Row],[smoker]]="yes",1,0)</f>
        <v>0</v>
      </c>
      <c r="I230" s="4">
        <v>31.635000000000002</v>
      </c>
      <c r="J230" s="4">
        <v>1</v>
      </c>
      <c r="K230" s="12">
        <v>7358.1755999999996</v>
      </c>
      <c r="N230">
        <v>75</v>
      </c>
      <c r="O230">
        <v>9008.3420132857773</v>
      </c>
      <c r="P230">
        <v>-1281.488013285777</v>
      </c>
    </row>
    <row r="231" spans="1:16" x14ac:dyDescent="0.25">
      <c r="A231" s="4" t="s">
        <v>10</v>
      </c>
      <c r="B231" s="4">
        <f>ROUND(Table13_1[[#This Row],[bmi]],1)</f>
        <v>25.5</v>
      </c>
      <c r="C231" s="4" t="str" cm="1">
        <f t="array" ref="C231">_xlfn.IFS(Table13_1[[#This Row],[Round BMI]]&lt;18.5,"Underweight",AND(Table13_1[[#This Row],[Round BMI]]&gt;=18.5,Table13_1[[#This Row],[Round BMI]] &lt;=24.9),"Healthy Weight",AND(Table13_1[[#This Row],[Round BMI]]&gt;=25,Table13_1[[#This Row],[Round BMI]]&lt;=29.9),"Overweight",Table13_1[[#This Row],[Round BMI]]&gt;=30,"Obese")</f>
        <v>Overweight</v>
      </c>
      <c r="D231" s="4" t="s">
        <v>11</v>
      </c>
      <c r="E231" s="4" t="str">
        <f>IF(Table13_1[[#This Row],[smoker]]="yes","smoker","non-smoker")</f>
        <v>non-smoker</v>
      </c>
      <c r="F231" s="4" t="s">
        <v>14</v>
      </c>
      <c r="G231" s="5">
        <v>47</v>
      </c>
      <c r="H231" s="5">
        <f>IF(Table13_1[[#This Row],[smoker]]="yes",1,0)</f>
        <v>0</v>
      </c>
      <c r="I231" s="4">
        <v>25.46</v>
      </c>
      <c r="J231" s="4">
        <v>2</v>
      </c>
      <c r="K231" s="12">
        <v>9225.2564000000002</v>
      </c>
      <c r="N231">
        <v>76</v>
      </c>
      <c r="O231">
        <v>13540.818750269173</v>
      </c>
      <c r="P231">
        <v>-2184.1578502691718</v>
      </c>
    </row>
    <row r="232" spans="1:16" x14ac:dyDescent="0.25">
      <c r="A232" s="4" t="s">
        <v>7</v>
      </c>
      <c r="B232" s="4">
        <f>ROUND(Table13_1[[#This Row],[bmi]],1)</f>
        <v>36.200000000000003</v>
      </c>
      <c r="C232" s="4" t="str" cm="1">
        <f t="array" ref="C232">_xlfn.IFS(Table13_1[[#This Row],[Round BMI]]&lt;18.5,"Underweight",AND(Table13_1[[#This Row],[Round BMI]]&gt;=18.5,Table13_1[[#This Row],[Round BMI]] &lt;=24.9),"Healthy Weight",AND(Table13_1[[#This Row],[Round BMI]]&gt;=25,Table13_1[[#This Row],[Round BMI]]&lt;=29.9),"Overweight",Table13_1[[#This Row],[Round BMI]]&gt;=30,"Obese")</f>
        <v>Obese</v>
      </c>
      <c r="D232" s="4" t="s">
        <v>11</v>
      </c>
      <c r="E232" s="4" t="str">
        <f>IF(Table13_1[[#This Row],[smoker]]="yes","smoker","non-smoker")</f>
        <v>non-smoker</v>
      </c>
      <c r="F232" s="4" t="s">
        <v>13</v>
      </c>
      <c r="G232" s="5">
        <v>42</v>
      </c>
      <c r="H232" s="5">
        <f>IF(Table13_1[[#This Row],[smoker]]="yes",1,0)</f>
        <v>0</v>
      </c>
      <c r="I232" s="4">
        <v>36.195</v>
      </c>
      <c r="J232" s="4">
        <v>1</v>
      </c>
      <c r="K232" s="12">
        <v>7443.643</v>
      </c>
      <c r="N232">
        <v>77</v>
      </c>
      <c r="O232">
        <v>5371.95166000687</v>
      </c>
      <c r="P232">
        <v>-1424.5385600068698</v>
      </c>
    </row>
    <row r="233" spans="1:16" x14ac:dyDescent="0.25">
      <c r="A233" s="4" t="s">
        <v>7</v>
      </c>
      <c r="B233" s="4">
        <f>ROUND(Table13_1[[#This Row],[bmi]],1)</f>
        <v>27.8</v>
      </c>
      <c r="C233" s="4" t="str" cm="1">
        <f t="array" ref="C233">_xlfn.IFS(Table13_1[[#This Row],[Round BMI]]&lt;18.5,"Underweight",AND(Table13_1[[#This Row],[Round BMI]]&gt;=18.5,Table13_1[[#This Row],[Round BMI]] &lt;=24.9),"Healthy Weight",AND(Table13_1[[#This Row],[Round BMI]]&gt;=25,Table13_1[[#This Row],[Round BMI]]&lt;=29.9),"Overweight",Table13_1[[#This Row],[Round BMI]]&gt;=30,"Obese")</f>
        <v>Overweight</v>
      </c>
      <c r="D233" s="4" t="s">
        <v>11</v>
      </c>
      <c r="E233" s="4" t="str">
        <f>IF(Table13_1[[#This Row],[smoker]]="yes","smoker","non-smoker")</f>
        <v>non-smoker</v>
      </c>
      <c r="F233" s="4" t="s">
        <v>12</v>
      </c>
      <c r="G233" s="5">
        <v>59</v>
      </c>
      <c r="H233" s="5">
        <f>IF(Table13_1[[#This Row],[smoker]]="yes",1,0)</f>
        <v>0</v>
      </c>
      <c r="I233" s="4">
        <v>27.83</v>
      </c>
      <c r="J233" s="4">
        <v>3</v>
      </c>
      <c r="K233" s="12">
        <v>14001.286700000001</v>
      </c>
      <c r="N233">
        <v>78</v>
      </c>
      <c r="O233">
        <v>4747.4506186950039</v>
      </c>
      <c r="P233">
        <v>-3214.9809186950038</v>
      </c>
    </row>
    <row r="234" spans="1:16" x14ac:dyDescent="0.25">
      <c r="A234" s="4" t="s">
        <v>7</v>
      </c>
      <c r="B234" s="4">
        <f>ROUND(Table13_1[[#This Row],[bmi]],1)</f>
        <v>17.8</v>
      </c>
      <c r="C234" s="4" t="str" cm="1">
        <f t="array" ref="C234">_xlfn.IFS(Table13_1[[#This Row],[Round BMI]]&lt;18.5,"Underweight",AND(Table13_1[[#This Row],[Round BMI]]&gt;=18.5,Table13_1[[#This Row],[Round BMI]] &lt;=24.9),"Healthy Weight",AND(Table13_1[[#This Row],[Round BMI]]&gt;=25,Table13_1[[#This Row],[Round BMI]]&lt;=29.9),"Overweight",Table13_1[[#This Row],[Round BMI]]&gt;=30,"Obese")</f>
        <v>Underweight</v>
      </c>
      <c r="D234" s="4" t="s">
        <v>11</v>
      </c>
      <c r="E234" s="4" t="str">
        <f>IF(Table13_1[[#This Row],[smoker]]="yes","smoker","non-smoker")</f>
        <v>non-smoker</v>
      </c>
      <c r="F234" s="4" t="s">
        <v>9</v>
      </c>
      <c r="G234" s="5">
        <v>19</v>
      </c>
      <c r="H234" s="5">
        <f>IF(Table13_1[[#This Row],[smoker]]="yes",1,0)</f>
        <v>0</v>
      </c>
      <c r="I234" s="4">
        <v>17.8</v>
      </c>
      <c r="J234" s="4">
        <v>0</v>
      </c>
      <c r="K234" s="12">
        <v>1727.7850000000001</v>
      </c>
      <c r="N234">
        <v>79</v>
      </c>
      <c r="O234">
        <v>6381.2148731715415</v>
      </c>
      <c r="P234">
        <v>-3626.1938731715413</v>
      </c>
    </row>
    <row r="235" spans="1:16" x14ac:dyDescent="0.25">
      <c r="A235" s="4" t="s">
        <v>10</v>
      </c>
      <c r="B235" s="4">
        <f>ROUND(Table13_1[[#This Row],[bmi]],1)</f>
        <v>27.5</v>
      </c>
      <c r="C235" s="4" t="str" cm="1">
        <f t="array" ref="C235">_xlfn.IFS(Table13_1[[#This Row],[Round BMI]]&lt;18.5,"Underweight",AND(Table13_1[[#This Row],[Round BMI]]&gt;=18.5,Table13_1[[#This Row],[Round BMI]] &lt;=24.9),"Healthy Weight",AND(Table13_1[[#This Row],[Round BMI]]&gt;=25,Table13_1[[#This Row],[Round BMI]]&lt;=29.9),"Overweight",Table13_1[[#This Row],[Round BMI]]&gt;=30,"Obese")</f>
        <v>Overweight</v>
      </c>
      <c r="D235" s="4" t="s">
        <v>11</v>
      </c>
      <c r="E235" s="4" t="str">
        <f>IF(Table13_1[[#This Row],[smoker]]="yes","smoker","non-smoker")</f>
        <v>non-smoker</v>
      </c>
      <c r="F235" s="4" t="s">
        <v>9</v>
      </c>
      <c r="G235" s="5">
        <v>59</v>
      </c>
      <c r="H235" s="5">
        <f>IF(Table13_1[[#This Row],[smoker]]="yes",1,0)</f>
        <v>0</v>
      </c>
      <c r="I235" s="4">
        <v>27.5</v>
      </c>
      <c r="J235" s="4">
        <v>1</v>
      </c>
      <c r="K235" s="12">
        <v>12333.828</v>
      </c>
      <c r="N235">
        <v>80</v>
      </c>
      <c r="O235">
        <v>9078.8919170144127</v>
      </c>
      <c r="P235">
        <v>-2507.8675170144124</v>
      </c>
    </row>
    <row r="236" spans="1:16" x14ac:dyDescent="0.25">
      <c r="A236" s="4" t="s">
        <v>10</v>
      </c>
      <c r="B236" s="4">
        <f>ROUND(Table13_1[[#This Row],[bmi]],1)</f>
        <v>24.5</v>
      </c>
      <c r="C236" s="4" t="str" cm="1">
        <f t="array" ref="C236">_xlfn.IFS(Table13_1[[#This Row],[Round BMI]]&lt;18.5,"Underweight",AND(Table13_1[[#This Row],[Round BMI]]&gt;=18.5,Table13_1[[#This Row],[Round BMI]] &lt;=24.9),"Healthy Weight",AND(Table13_1[[#This Row],[Round BMI]]&gt;=25,Table13_1[[#This Row],[Round BMI]]&lt;=29.9),"Overweight",Table13_1[[#This Row],[Round BMI]]&gt;=30,"Obese")</f>
        <v>Healthy Weight</v>
      </c>
      <c r="D236" s="4" t="s">
        <v>11</v>
      </c>
      <c r="E236" s="4" t="str">
        <f>IF(Table13_1[[#This Row],[smoker]]="yes","smoker","non-smoker")</f>
        <v>non-smoker</v>
      </c>
      <c r="F236" s="4" t="s">
        <v>13</v>
      </c>
      <c r="G236" s="5">
        <v>39</v>
      </c>
      <c r="H236" s="5">
        <f>IF(Table13_1[[#This Row],[smoker]]="yes",1,0)</f>
        <v>0</v>
      </c>
      <c r="I236" s="4">
        <v>24.51</v>
      </c>
      <c r="J236" s="4">
        <v>2</v>
      </c>
      <c r="K236" s="12">
        <v>6710.1918999999998</v>
      </c>
      <c r="N236">
        <v>81</v>
      </c>
      <c r="O236">
        <v>5017.0426299821047</v>
      </c>
      <c r="P236">
        <v>-575.82942998210456</v>
      </c>
    </row>
    <row r="237" spans="1:16" x14ac:dyDescent="0.25">
      <c r="A237" s="4" t="s">
        <v>7</v>
      </c>
      <c r="B237" s="4">
        <f>ROUND(Table13_1[[#This Row],[bmi]],1)</f>
        <v>22.2</v>
      </c>
      <c r="C237" s="4" t="str" cm="1">
        <f t="array" ref="C237">_xlfn.IFS(Table13_1[[#This Row],[Round BMI]]&lt;18.5,"Underweight",AND(Table13_1[[#This Row],[Round BMI]]&gt;=18.5,Table13_1[[#This Row],[Round BMI]] &lt;=24.9),"Healthy Weight",AND(Table13_1[[#This Row],[Round BMI]]&gt;=25,Table13_1[[#This Row],[Round BMI]]&lt;=29.9),"Overweight",Table13_1[[#This Row],[Round BMI]]&gt;=30,"Obese")</f>
        <v>Healthy Weight</v>
      </c>
      <c r="D237" s="4" t="s">
        <v>8</v>
      </c>
      <c r="E237" s="4" t="str">
        <f>IF(Table13_1[[#This Row],[smoker]]="yes","smoker","non-smoker")</f>
        <v>smoker</v>
      </c>
      <c r="F237" s="4" t="s">
        <v>12</v>
      </c>
      <c r="G237" s="5">
        <v>40</v>
      </c>
      <c r="H237" s="5">
        <f>IF(Table13_1[[#This Row],[smoker]]="yes",1,0)</f>
        <v>1</v>
      </c>
      <c r="I237" s="4">
        <v>22.22</v>
      </c>
      <c r="J237" s="4">
        <v>2</v>
      </c>
      <c r="K237" s="12">
        <v>19444.265800000001</v>
      </c>
      <c r="N237">
        <v>82</v>
      </c>
      <c r="O237">
        <v>11822.539409451087</v>
      </c>
      <c r="P237">
        <v>-3887.248209451087</v>
      </c>
    </row>
    <row r="238" spans="1:16" x14ac:dyDescent="0.25">
      <c r="A238" s="4" t="s">
        <v>7</v>
      </c>
      <c r="B238" s="4">
        <f>ROUND(Table13_1[[#This Row],[bmi]],1)</f>
        <v>26.7</v>
      </c>
      <c r="C238" s="4" t="str" cm="1">
        <f t="array" ref="C238">_xlfn.IFS(Table13_1[[#This Row],[Round BMI]]&lt;18.5,"Underweight",AND(Table13_1[[#This Row],[Round BMI]]&gt;=18.5,Table13_1[[#This Row],[Round BMI]] &lt;=24.9),"Healthy Weight",AND(Table13_1[[#This Row],[Round BMI]]&gt;=25,Table13_1[[#This Row],[Round BMI]]&lt;=29.9),"Overweight",Table13_1[[#This Row],[Round BMI]]&gt;=30,"Obese")</f>
        <v>Overweight</v>
      </c>
      <c r="D238" s="4" t="s">
        <v>11</v>
      </c>
      <c r="E238" s="4" t="str">
        <f>IF(Table13_1[[#This Row],[smoker]]="yes","smoker","non-smoker")</f>
        <v>non-smoker</v>
      </c>
      <c r="F238" s="4" t="s">
        <v>12</v>
      </c>
      <c r="G238" s="5">
        <v>18</v>
      </c>
      <c r="H238" s="5">
        <f>IF(Table13_1[[#This Row],[smoker]]="yes",1,0)</f>
        <v>0</v>
      </c>
      <c r="I238" s="4">
        <v>26.73</v>
      </c>
      <c r="J238" s="4">
        <v>0</v>
      </c>
      <c r="K238" s="12">
        <v>1615.7666999999999</v>
      </c>
      <c r="N238">
        <v>83</v>
      </c>
      <c r="O238">
        <v>29962.871719524839</v>
      </c>
      <c r="P238">
        <v>7202.2920804751629</v>
      </c>
    </row>
    <row r="239" spans="1:16" x14ac:dyDescent="0.25">
      <c r="A239" s="4" t="s">
        <v>10</v>
      </c>
      <c r="B239" s="4">
        <f>ROUND(Table13_1[[#This Row],[bmi]],1)</f>
        <v>38.4</v>
      </c>
      <c r="C239" s="4" t="str" cm="1">
        <f t="array" ref="C239">_xlfn.IFS(Table13_1[[#This Row],[Round BMI]]&lt;18.5,"Underweight",AND(Table13_1[[#This Row],[Round BMI]]&gt;=18.5,Table13_1[[#This Row],[Round BMI]] &lt;=24.9),"Healthy Weight",AND(Table13_1[[#This Row],[Round BMI]]&gt;=25,Table13_1[[#This Row],[Round BMI]]&lt;=29.9),"Overweight",Table13_1[[#This Row],[Round BMI]]&gt;=30,"Obese")</f>
        <v>Obese</v>
      </c>
      <c r="D239" s="4" t="s">
        <v>11</v>
      </c>
      <c r="E239" s="4" t="str">
        <f>IF(Table13_1[[#This Row],[smoker]]="yes","smoker","non-smoker")</f>
        <v>non-smoker</v>
      </c>
      <c r="F239" s="4" t="s">
        <v>12</v>
      </c>
      <c r="G239" s="5">
        <v>31</v>
      </c>
      <c r="H239" s="5">
        <f>IF(Table13_1[[#This Row],[smoker]]="yes",1,0)</f>
        <v>0</v>
      </c>
      <c r="I239" s="4">
        <v>38.39</v>
      </c>
      <c r="J239" s="4">
        <v>2</v>
      </c>
      <c r="K239" s="12">
        <v>4463.2051000000001</v>
      </c>
      <c r="N239">
        <v>84</v>
      </c>
      <c r="O239">
        <v>15437.949574992819</v>
      </c>
      <c r="P239">
        <v>-4404.2878749928186</v>
      </c>
    </row>
    <row r="240" spans="1:16" x14ac:dyDescent="0.25">
      <c r="A240" s="4" t="s">
        <v>10</v>
      </c>
      <c r="B240" s="4">
        <f>ROUND(Table13_1[[#This Row],[bmi]],1)</f>
        <v>29.1</v>
      </c>
      <c r="C240" s="4" t="str" cm="1">
        <f t="array" ref="C240">_xlfn.IFS(Table13_1[[#This Row],[Round BMI]]&lt;18.5,"Underweight",AND(Table13_1[[#This Row],[Round BMI]]&gt;=18.5,Table13_1[[#This Row],[Round BMI]] &lt;=24.9),"Healthy Weight",AND(Table13_1[[#This Row],[Round BMI]]&gt;=25,Table13_1[[#This Row],[Round BMI]]&lt;=29.9),"Overweight",Table13_1[[#This Row],[Round BMI]]&gt;=30,"Obese")</f>
        <v>Overweight</v>
      </c>
      <c r="D240" s="4" t="s">
        <v>8</v>
      </c>
      <c r="E240" s="4" t="str">
        <f>IF(Table13_1[[#This Row],[smoker]]="yes","smoker","non-smoker")</f>
        <v>smoker</v>
      </c>
      <c r="F240" s="4" t="s">
        <v>13</v>
      </c>
      <c r="G240" s="5">
        <v>19</v>
      </c>
      <c r="H240" s="5">
        <f>IF(Table13_1[[#This Row],[smoker]]="yes",1,0)</f>
        <v>1</v>
      </c>
      <c r="I240" s="4">
        <v>29.07</v>
      </c>
      <c r="J240" s="4">
        <v>0</v>
      </c>
      <c r="K240" s="12">
        <v>17352.6803</v>
      </c>
      <c r="N240">
        <v>85</v>
      </c>
      <c r="O240">
        <v>33396.495689013776</v>
      </c>
      <c r="P240">
        <v>6440.0233109862238</v>
      </c>
    </row>
    <row r="241" spans="1:16" x14ac:dyDescent="0.25">
      <c r="A241" s="4" t="s">
        <v>10</v>
      </c>
      <c r="B241" s="4">
        <f>ROUND(Table13_1[[#This Row],[bmi]],1)</f>
        <v>38.1</v>
      </c>
      <c r="C241" s="4" t="str" cm="1">
        <f t="array" ref="C241">_xlfn.IFS(Table13_1[[#This Row],[Round BMI]]&lt;18.5,"Underweight",AND(Table13_1[[#This Row],[Round BMI]]&gt;=18.5,Table13_1[[#This Row],[Round BMI]] &lt;=24.9),"Healthy Weight",AND(Table13_1[[#This Row],[Round BMI]]&gt;=25,Table13_1[[#This Row],[Round BMI]]&lt;=29.9),"Overweight",Table13_1[[#This Row],[Round BMI]]&gt;=30,"Obese")</f>
        <v>Obese</v>
      </c>
      <c r="D241" s="4" t="s">
        <v>11</v>
      </c>
      <c r="E241" s="4" t="str">
        <f>IF(Table13_1[[#This Row],[smoker]]="yes","smoker","non-smoker")</f>
        <v>non-smoker</v>
      </c>
      <c r="F241" s="4" t="s">
        <v>12</v>
      </c>
      <c r="G241" s="5">
        <v>44</v>
      </c>
      <c r="H241" s="5">
        <f>IF(Table13_1[[#This Row],[smoker]]="yes",1,0)</f>
        <v>0</v>
      </c>
      <c r="I241" s="4">
        <v>38.06</v>
      </c>
      <c r="J241" s="4">
        <v>1</v>
      </c>
      <c r="K241" s="12">
        <v>7152.6714000000002</v>
      </c>
      <c r="N241">
        <v>86</v>
      </c>
      <c r="O241">
        <v>31627.650796831997</v>
      </c>
      <c r="P241">
        <v>-10529.096796831996</v>
      </c>
    </row>
    <row r="242" spans="1:16" x14ac:dyDescent="0.25">
      <c r="A242" s="4" t="s">
        <v>7</v>
      </c>
      <c r="B242" s="4">
        <f>ROUND(Table13_1[[#This Row],[bmi]],1)</f>
        <v>36.700000000000003</v>
      </c>
      <c r="C242" s="4" t="str" cm="1">
        <f t="array" ref="C242">_xlfn.IFS(Table13_1[[#This Row],[Round BMI]]&lt;18.5,"Underweight",AND(Table13_1[[#This Row],[Round BMI]]&gt;=18.5,Table13_1[[#This Row],[Round BMI]] &lt;=24.9),"Healthy Weight",AND(Table13_1[[#This Row],[Round BMI]]&gt;=25,Table13_1[[#This Row],[Round BMI]]&lt;=29.9),"Overweight",Table13_1[[#This Row],[Round BMI]]&gt;=30,"Obese")</f>
        <v>Obese</v>
      </c>
      <c r="D242" s="4" t="s">
        <v>8</v>
      </c>
      <c r="E242" s="4" t="str">
        <f>IF(Table13_1[[#This Row],[smoker]]="yes","smoker","non-smoker")</f>
        <v>smoker</v>
      </c>
      <c r="F242" s="4" t="s">
        <v>14</v>
      </c>
      <c r="G242" s="5">
        <v>23</v>
      </c>
      <c r="H242" s="5">
        <f>IF(Table13_1[[#This Row],[smoker]]="yes",1,0)</f>
        <v>1</v>
      </c>
      <c r="I242" s="4">
        <v>36.67</v>
      </c>
      <c r="J242" s="4">
        <v>2</v>
      </c>
      <c r="K242" s="12">
        <v>38511.628299999997</v>
      </c>
      <c r="N242">
        <v>87</v>
      </c>
      <c r="O242">
        <v>36434.942098187239</v>
      </c>
      <c r="P242">
        <v>7143.9973018127639</v>
      </c>
    </row>
    <row r="243" spans="1:16" x14ac:dyDescent="0.25">
      <c r="A243" s="4" t="s">
        <v>7</v>
      </c>
      <c r="B243" s="4">
        <f>ROUND(Table13_1[[#This Row],[bmi]],1)</f>
        <v>22.1</v>
      </c>
      <c r="C243" s="4" t="str" cm="1">
        <f t="array" ref="C243">_xlfn.IFS(Table13_1[[#This Row],[Round BMI]]&lt;18.5,"Underweight",AND(Table13_1[[#This Row],[Round BMI]]&gt;=18.5,Table13_1[[#This Row],[Round BMI]] &lt;=24.9),"Healthy Weight",AND(Table13_1[[#This Row],[Round BMI]]&gt;=25,Table13_1[[#This Row],[Round BMI]]&lt;=29.9),"Overweight",Table13_1[[#This Row],[Round BMI]]&gt;=30,"Obese")</f>
        <v>Healthy Weight</v>
      </c>
      <c r="D243" s="4" t="s">
        <v>11</v>
      </c>
      <c r="E243" s="4" t="str">
        <f>IF(Table13_1[[#This Row],[smoker]]="yes","smoker","non-smoker")</f>
        <v>non-smoker</v>
      </c>
      <c r="F243" s="4" t="s">
        <v>14</v>
      </c>
      <c r="G243" s="5">
        <v>33</v>
      </c>
      <c r="H243" s="5">
        <f>IF(Table13_1[[#This Row],[smoker]]="yes",1,0)</f>
        <v>0</v>
      </c>
      <c r="I243" s="4">
        <v>22.135000000000002</v>
      </c>
      <c r="J243" s="4">
        <v>1</v>
      </c>
      <c r="K243" s="12">
        <v>5354.0745999999999</v>
      </c>
      <c r="N243">
        <v>88</v>
      </c>
      <c r="O243">
        <v>11091.161189590161</v>
      </c>
      <c r="P243">
        <v>-17.985189590161099</v>
      </c>
    </row>
    <row r="244" spans="1:16" x14ac:dyDescent="0.25">
      <c r="A244" s="4" t="s">
        <v>7</v>
      </c>
      <c r="B244" s="4">
        <f>ROUND(Table13_1[[#This Row],[bmi]],1)</f>
        <v>26.8</v>
      </c>
      <c r="C244" s="4" t="str" cm="1">
        <f t="array" ref="C244">_xlfn.IFS(Table13_1[[#This Row],[Round BMI]]&lt;18.5,"Underweight",AND(Table13_1[[#This Row],[Round BMI]]&gt;=18.5,Table13_1[[#This Row],[Round BMI]] &lt;=24.9),"Healthy Weight",AND(Table13_1[[#This Row],[Round BMI]]&gt;=25,Table13_1[[#This Row],[Round BMI]]&lt;=29.9),"Overweight",Table13_1[[#This Row],[Round BMI]]&gt;=30,"Obese")</f>
        <v>Overweight</v>
      </c>
      <c r="D244" s="4" t="s">
        <v>11</v>
      </c>
      <c r="E244" s="4" t="str">
        <f>IF(Table13_1[[#This Row],[smoker]]="yes","smoker","non-smoker")</f>
        <v>non-smoker</v>
      </c>
      <c r="F244" s="4" t="s">
        <v>9</v>
      </c>
      <c r="G244" s="5">
        <v>55</v>
      </c>
      <c r="H244" s="5">
        <f>IF(Table13_1[[#This Row],[smoker]]="yes",1,0)</f>
        <v>0</v>
      </c>
      <c r="I244" s="4">
        <v>26.8</v>
      </c>
      <c r="J244" s="4">
        <v>1</v>
      </c>
      <c r="K244" s="12">
        <v>35160.134599999998</v>
      </c>
      <c r="N244">
        <v>89</v>
      </c>
      <c r="O244">
        <v>8686.4658738208545</v>
      </c>
      <c r="P244">
        <v>-659.79927382085498</v>
      </c>
    </row>
    <row r="245" spans="1:16" x14ac:dyDescent="0.25">
      <c r="A245" s="4" t="s">
        <v>10</v>
      </c>
      <c r="B245" s="4">
        <f>ROUND(Table13_1[[#This Row],[bmi]],1)</f>
        <v>35.299999999999997</v>
      </c>
      <c r="C245" s="4" t="str" cm="1">
        <f t="array" ref="C245">_xlfn.IFS(Table13_1[[#This Row],[Round BMI]]&lt;18.5,"Underweight",AND(Table13_1[[#This Row],[Round BMI]]&gt;=18.5,Table13_1[[#This Row],[Round BMI]] &lt;=24.9),"Healthy Weight",AND(Table13_1[[#This Row],[Round BMI]]&gt;=25,Table13_1[[#This Row],[Round BMI]]&lt;=29.9),"Overweight",Table13_1[[#This Row],[Round BMI]]&gt;=30,"Obese")</f>
        <v>Obese</v>
      </c>
      <c r="D245" s="4" t="s">
        <v>11</v>
      </c>
      <c r="E245" s="4" t="str">
        <f>IF(Table13_1[[#This Row],[smoker]]="yes","smoker","non-smoker")</f>
        <v>non-smoker</v>
      </c>
      <c r="F245" s="4" t="s">
        <v>9</v>
      </c>
      <c r="G245" s="5">
        <v>40</v>
      </c>
      <c r="H245" s="5">
        <f>IF(Table13_1[[#This Row],[smoker]]="yes",1,0)</f>
        <v>0</v>
      </c>
      <c r="I245" s="4">
        <v>35.299999999999997</v>
      </c>
      <c r="J245" s="4">
        <v>3</v>
      </c>
      <c r="K245" s="12">
        <v>7196.8670000000002</v>
      </c>
      <c r="N245">
        <v>90</v>
      </c>
      <c r="O245">
        <v>10762.504373634738</v>
      </c>
      <c r="P245">
        <v>320.07282636526179</v>
      </c>
    </row>
    <row r="246" spans="1:16" x14ac:dyDescent="0.25">
      <c r="A246" s="4" t="s">
        <v>7</v>
      </c>
      <c r="B246" s="4">
        <f>ROUND(Table13_1[[#This Row],[bmi]],1)</f>
        <v>27.7</v>
      </c>
      <c r="C246" s="4" t="str" cm="1">
        <f t="array" ref="C246">_xlfn.IFS(Table13_1[[#This Row],[Round BMI]]&lt;18.5,"Underweight",AND(Table13_1[[#This Row],[Round BMI]]&gt;=18.5,Table13_1[[#This Row],[Round BMI]] &lt;=24.9),"Healthy Weight",AND(Table13_1[[#This Row],[Round BMI]]&gt;=25,Table13_1[[#This Row],[Round BMI]]&lt;=29.9),"Overweight",Table13_1[[#This Row],[Round BMI]]&gt;=30,"Obese")</f>
        <v>Overweight</v>
      </c>
      <c r="D246" s="4" t="s">
        <v>8</v>
      </c>
      <c r="E246" s="4" t="str">
        <f>IF(Table13_1[[#This Row],[smoker]]="yes","smoker","non-smoker")</f>
        <v>smoker</v>
      </c>
      <c r="F246" s="4" t="s">
        <v>14</v>
      </c>
      <c r="G246" s="5">
        <v>63</v>
      </c>
      <c r="H246" s="5">
        <f>IF(Table13_1[[#This Row],[smoker]]="yes",1,0)</f>
        <v>1</v>
      </c>
      <c r="I246" s="4">
        <v>27.74</v>
      </c>
      <c r="J246" s="4">
        <v>0</v>
      </c>
      <c r="K246" s="12">
        <v>29523.1656</v>
      </c>
      <c r="N246">
        <v>91</v>
      </c>
      <c r="O246">
        <v>6021.9821739462059</v>
      </c>
      <c r="P246">
        <v>-3995.008073946206</v>
      </c>
    </row>
    <row r="247" spans="1:16" x14ac:dyDescent="0.25">
      <c r="A247" s="4" t="s">
        <v>10</v>
      </c>
      <c r="B247" s="4">
        <f>ROUND(Table13_1[[#This Row],[bmi]],1)</f>
        <v>30</v>
      </c>
      <c r="C247" s="4" t="str" cm="1">
        <f t="array" ref="C247">_xlfn.IFS(Table13_1[[#This Row],[Round BMI]]&lt;18.5,"Underweight",AND(Table13_1[[#This Row],[Round BMI]]&gt;=18.5,Table13_1[[#This Row],[Round BMI]] &lt;=24.9),"Healthy Weight",AND(Table13_1[[#This Row],[Round BMI]]&gt;=25,Table13_1[[#This Row],[Round BMI]]&lt;=29.9),"Overweight",Table13_1[[#This Row],[Round BMI]]&gt;=30,"Obese")</f>
        <v>Obese</v>
      </c>
      <c r="D247" s="4" t="s">
        <v>11</v>
      </c>
      <c r="E247" s="4" t="str">
        <f>IF(Table13_1[[#This Row],[smoker]]="yes","smoker","non-smoker")</f>
        <v>non-smoker</v>
      </c>
      <c r="F247" s="4" t="s">
        <v>13</v>
      </c>
      <c r="G247" s="5">
        <v>54</v>
      </c>
      <c r="H247" s="5">
        <f>IF(Table13_1[[#This Row],[smoker]]="yes",1,0)</f>
        <v>0</v>
      </c>
      <c r="I247" s="4">
        <v>30.02</v>
      </c>
      <c r="J247" s="4">
        <v>0</v>
      </c>
      <c r="K247" s="12">
        <v>24476.478500000001</v>
      </c>
      <c r="N247">
        <v>92</v>
      </c>
      <c r="O247">
        <v>10017.062359311802</v>
      </c>
      <c r="P247">
        <v>925.06964068819798</v>
      </c>
    </row>
    <row r="248" spans="1:16" x14ac:dyDescent="0.25">
      <c r="A248" s="4" t="s">
        <v>7</v>
      </c>
      <c r="B248" s="4">
        <f>ROUND(Table13_1[[#This Row],[bmi]],1)</f>
        <v>38.1</v>
      </c>
      <c r="C248" s="4" t="str" cm="1">
        <f t="array" ref="C248">_xlfn.IFS(Table13_1[[#This Row],[Round BMI]]&lt;18.5,"Underweight",AND(Table13_1[[#This Row],[Round BMI]]&gt;=18.5,Table13_1[[#This Row],[Round BMI]] &lt;=24.9),"Healthy Weight",AND(Table13_1[[#This Row],[Round BMI]]&gt;=25,Table13_1[[#This Row],[Round BMI]]&lt;=29.9),"Overweight",Table13_1[[#This Row],[Round BMI]]&gt;=30,"Obese")</f>
        <v>Obese</v>
      </c>
      <c r="D248" s="4" t="s">
        <v>11</v>
      </c>
      <c r="E248" s="4" t="str">
        <f>IF(Table13_1[[#This Row],[smoker]]="yes","smoker","non-smoker")</f>
        <v>non-smoker</v>
      </c>
      <c r="F248" s="4" t="s">
        <v>12</v>
      </c>
      <c r="G248" s="5">
        <v>60</v>
      </c>
      <c r="H248" s="5">
        <f>IF(Table13_1[[#This Row],[smoker]]="yes",1,0)</f>
        <v>0</v>
      </c>
      <c r="I248" s="4">
        <v>38.06</v>
      </c>
      <c r="J248" s="4">
        <v>0</v>
      </c>
      <c r="K248" s="12">
        <v>12648.7034</v>
      </c>
      <c r="N248">
        <v>93</v>
      </c>
      <c r="O248">
        <v>37943.085693706613</v>
      </c>
      <c r="P248">
        <v>-7758.1489937066144</v>
      </c>
    </row>
    <row r="249" spans="1:16" x14ac:dyDescent="0.25">
      <c r="A249" s="4" t="s">
        <v>10</v>
      </c>
      <c r="B249" s="4">
        <f>ROUND(Table13_1[[#This Row],[bmi]],1)</f>
        <v>35.9</v>
      </c>
      <c r="C249" s="4" t="str" cm="1">
        <f t="array" ref="C249">_xlfn.IFS(Table13_1[[#This Row],[Round BMI]]&lt;18.5,"Underweight",AND(Table13_1[[#This Row],[Round BMI]]&gt;=18.5,Table13_1[[#This Row],[Round BMI]] &lt;=24.9),"Healthy Weight",AND(Table13_1[[#This Row],[Round BMI]]&gt;=25,Table13_1[[#This Row],[Round BMI]]&lt;=29.9),"Overweight",Table13_1[[#This Row],[Round BMI]]&gt;=30,"Obese")</f>
        <v>Obese</v>
      </c>
      <c r="D249" s="4" t="s">
        <v>11</v>
      </c>
      <c r="E249" s="4" t="str">
        <f>IF(Table13_1[[#This Row],[smoker]]="yes","smoker","non-smoker")</f>
        <v>non-smoker</v>
      </c>
      <c r="F249" s="4" t="s">
        <v>12</v>
      </c>
      <c r="G249" s="5">
        <v>24</v>
      </c>
      <c r="H249" s="5">
        <f>IF(Table13_1[[#This Row],[smoker]]="yes",1,0)</f>
        <v>0</v>
      </c>
      <c r="I249" s="4">
        <v>35.86</v>
      </c>
      <c r="J249" s="4">
        <v>0</v>
      </c>
      <c r="K249" s="12">
        <v>1986.9333999999999</v>
      </c>
      <c r="N249">
        <v>94</v>
      </c>
      <c r="O249">
        <v>9059.7412862523124</v>
      </c>
      <c r="P249">
        <v>-3330.7359862523126</v>
      </c>
    </row>
    <row r="250" spans="1:16" x14ac:dyDescent="0.25">
      <c r="A250" s="4" t="s">
        <v>10</v>
      </c>
      <c r="B250" s="4">
        <f>ROUND(Table13_1[[#This Row],[bmi]],1)</f>
        <v>20.9</v>
      </c>
      <c r="C250" s="4" t="str" cm="1">
        <f t="array" ref="C250">_xlfn.IFS(Table13_1[[#This Row],[Round BMI]]&lt;18.5,"Underweight",AND(Table13_1[[#This Row],[Round BMI]]&gt;=18.5,Table13_1[[#This Row],[Round BMI]] &lt;=24.9),"Healthy Weight",AND(Table13_1[[#This Row],[Round BMI]]&gt;=25,Table13_1[[#This Row],[Round BMI]]&lt;=29.9),"Overweight",Table13_1[[#This Row],[Round BMI]]&gt;=30,"Obese")</f>
        <v>Healthy Weight</v>
      </c>
      <c r="D250" s="4" t="s">
        <v>11</v>
      </c>
      <c r="E250" s="4" t="str">
        <f>IF(Table13_1[[#This Row],[smoker]]="yes","smoker","non-smoker")</f>
        <v>non-smoker</v>
      </c>
      <c r="F250" s="4" t="s">
        <v>9</v>
      </c>
      <c r="G250" s="5">
        <v>19</v>
      </c>
      <c r="H250" s="5">
        <f>IF(Table13_1[[#This Row],[smoker]]="yes",1,0)</f>
        <v>0</v>
      </c>
      <c r="I250" s="4">
        <v>20.9</v>
      </c>
      <c r="J250" s="4">
        <v>1</v>
      </c>
      <c r="K250" s="12">
        <v>1832.0940000000001</v>
      </c>
      <c r="N250">
        <v>95</v>
      </c>
      <c r="O250">
        <v>39231.95247698915</v>
      </c>
      <c r="P250">
        <v>8059.1025230108498</v>
      </c>
    </row>
    <row r="251" spans="1:16" x14ac:dyDescent="0.25">
      <c r="A251" s="4" t="s">
        <v>10</v>
      </c>
      <c r="B251" s="4">
        <f>ROUND(Table13_1[[#This Row],[bmi]],1)</f>
        <v>29</v>
      </c>
      <c r="C251" s="4" t="str" cm="1">
        <f t="array" ref="C251">_xlfn.IFS(Table13_1[[#This Row],[Round BMI]]&lt;18.5,"Underweight",AND(Table13_1[[#This Row],[Round BMI]]&gt;=18.5,Table13_1[[#This Row],[Round BMI]] &lt;=24.9),"Healthy Weight",AND(Table13_1[[#This Row],[Round BMI]]&gt;=25,Table13_1[[#This Row],[Round BMI]]&lt;=29.9),"Overweight",Table13_1[[#This Row],[Round BMI]]&gt;=30,"Obese")</f>
        <v>Overweight</v>
      </c>
      <c r="D251" s="4" t="s">
        <v>11</v>
      </c>
      <c r="E251" s="4" t="str">
        <f>IF(Table13_1[[#This Row],[smoker]]="yes","smoker","non-smoker")</f>
        <v>non-smoker</v>
      </c>
      <c r="F251" s="4" t="s">
        <v>14</v>
      </c>
      <c r="G251" s="5">
        <v>29</v>
      </c>
      <c r="H251" s="5">
        <f>IF(Table13_1[[#This Row],[smoker]]="yes",1,0)</f>
        <v>0</v>
      </c>
      <c r="I251" s="4">
        <v>28.975000000000001</v>
      </c>
      <c r="J251" s="4">
        <v>1</v>
      </c>
      <c r="K251" s="12">
        <v>4040.5581999999999</v>
      </c>
      <c r="N251">
        <v>96</v>
      </c>
      <c r="O251">
        <v>7698.5689174914514</v>
      </c>
      <c r="P251">
        <v>-3931.6851174914514</v>
      </c>
    </row>
    <row r="252" spans="1:16" x14ac:dyDescent="0.25">
      <c r="A252" s="4" t="s">
        <v>10</v>
      </c>
      <c r="B252" s="4">
        <f>ROUND(Table13_1[[#This Row],[bmi]],1)</f>
        <v>17.3</v>
      </c>
      <c r="C252" s="4" t="str" cm="1">
        <f t="array" ref="C252">_xlfn.IFS(Table13_1[[#This Row],[Round BMI]]&lt;18.5,"Underweight",AND(Table13_1[[#This Row],[Round BMI]]&gt;=18.5,Table13_1[[#This Row],[Round BMI]] &lt;=24.9),"Healthy Weight",AND(Table13_1[[#This Row],[Round BMI]]&gt;=25,Table13_1[[#This Row],[Round BMI]]&lt;=29.9),"Overweight",Table13_1[[#This Row],[Round BMI]]&gt;=30,"Obese")</f>
        <v>Underweight</v>
      </c>
      <c r="D252" s="4" t="s">
        <v>8</v>
      </c>
      <c r="E252" s="4" t="str">
        <f>IF(Table13_1[[#This Row],[smoker]]="yes","smoker","non-smoker")</f>
        <v>smoker</v>
      </c>
      <c r="F252" s="4" t="s">
        <v>14</v>
      </c>
      <c r="G252" s="5">
        <v>18</v>
      </c>
      <c r="H252" s="5">
        <f>IF(Table13_1[[#This Row],[smoker]]="yes",1,0)</f>
        <v>1</v>
      </c>
      <c r="I252" s="4">
        <v>17.29</v>
      </c>
      <c r="J252" s="4">
        <v>2</v>
      </c>
      <c r="K252" s="12">
        <v>12829.455099999999</v>
      </c>
      <c r="N252">
        <v>97</v>
      </c>
      <c r="O252">
        <v>13154.634171795284</v>
      </c>
      <c r="P252">
        <v>-1049.314171795284</v>
      </c>
    </row>
    <row r="253" spans="1:16" x14ac:dyDescent="0.25">
      <c r="A253" s="4" t="s">
        <v>7</v>
      </c>
      <c r="B253" s="4">
        <f>ROUND(Table13_1[[#This Row],[bmi]],1)</f>
        <v>32.200000000000003</v>
      </c>
      <c r="C253" s="4" t="str" cm="1">
        <f t="array" ref="C253">_xlfn.IFS(Table13_1[[#This Row],[Round BMI]]&lt;18.5,"Underweight",AND(Table13_1[[#This Row],[Round BMI]]&gt;=18.5,Table13_1[[#This Row],[Round BMI]] &lt;=24.9),"Healthy Weight",AND(Table13_1[[#This Row],[Round BMI]]&gt;=25,Table13_1[[#This Row],[Round BMI]]&lt;=29.9),"Overweight",Table13_1[[#This Row],[Round BMI]]&gt;=30,"Obese")</f>
        <v>Obese</v>
      </c>
      <c r="D253" s="4" t="s">
        <v>8</v>
      </c>
      <c r="E253" s="4" t="str">
        <f>IF(Table13_1[[#This Row],[smoker]]="yes","smoker","non-smoker")</f>
        <v>smoker</v>
      </c>
      <c r="F253" s="4" t="s">
        <v>9</v>
      </c>
      <c r="G253" s="5">
        <v>63</v>
      </c>
      <c r="H253" s="5">
        <f>IF(Table13_1[[#This Row],[smoker]]="yes",1,0)</f>
        <v>1</v>
      </c>
      <c r="I253" s="4">
        <v>32.200000000000003</v>
      </c>
      <c r="J253" s="4">
        <v>2</v>
      </c>
      <c r="K253" s="12">
        <v>47305.305</v>
      </c>
      <c r="N253">
        <v>98</v>
      </c>
      <c r="O253">
        <v>14399.425225740441</v>
      </c>
      <c r="P253">
        <v>-4173.1410257404405</v>
      </c>
    </row>
    <row r="254" spans="1:16" x14ac:dyDescent="0.25">
      <c r="A254" s="4" t="s">
        <v>10</v>
      </c>
      <c r="B254" s="4">
        <f>ROUND(Table13_1[[#This Row],[bmi]],1)</f>
        <v>34.200000000000003</v>
      </c>
      <c r="C254" s="4" t="str" cm="1">
        <f t="array" ref="C254">_xlfn.IFS(Table13_1[[#This Row],[Round BMI]]&lt;18.5,"Underweight",AND(Table13_1[[#This Row],[Round BMI]]&gt;=18.5,Table13_1[[#This Row],[Round BMI]] &lt;=24.9),"Healthy Weight",AND(Table13_1[[#This Row],[Round BMI]]&gt;=25,Table13_1[[#This Row],[Round BMI]]&lt;=29.9),"Overweight",Table13_1[[#This Row],[Round BMI]]&gt;=30,"Obese")</f>
        <v>Obese</v>
      </c>
      <c r="D254" s="4" t="s">
        <v>8</v>
      </c>
      <c r="E254" s="4" t="str">
        <f>IF(Table13_1[[#This Row],[smoker]]="yes","smoker","non-smoker")</f>
        <v>smoker</v>
      </c>
      <c r="F254" s="4" t="s">
        <v>12</v>
      </c>
      <c r="G254" s="5">
        <v>54</v>
      </c>
      <c r="H254" s="5">
        <f>IF(Table13_1[[#This Row],[smoker]]="yes",1,0)</f>
        <v>1</v>
      </c>
      <c r="I254" s="4">
        <v>34.21</v>
      </c>
      <c r="J254" s="4">
        <v>2</v>
      </c>
      <c r="K254" s="12">
        <v>44260.749900000003</v>
      </c>
      <c r="N254">
        <v>99</v>
      </c>
      <c r="O254">
        <v>32569.138365006893</v>
      </c>
      <c r="P254">
        <v>-10156.489865006894</v>
      </c>
    </row>
    <row r="255" spans="1:16" x14ac:dyDescent="0.25">
      <c r="A255" s="4" t="s">
        <v>10</v>
      </c>
      <c r="B255" s="4">
        <f>ROUND(Table13_1[[#This Row],[bmi]],1)</f>
        <v>30.3</v>
      </c>
      <c r="C255" s="4" t="str" cm="1">
        <f t="array" ref="C255">_xlfn.IFS(Table13_1[[#This Row],[Round BMI]]&lt;18.5,"Underweight",AND(Table13_1[[#This Row],[Round BMI]]&gt;=18.5,Table13_1[[#This Row],[Round BMI]] &lt;=24.9),"Healthy Weight",AND(Table13_1[[#This Row],[Round BMI]]&gt;=25,Table13_1[[#This Row],[Round BMI]]&lt;=29.9),"Overweight",Table13_1[[#This Row],[Round BMI]]&gt;=30,"Obese")</f>
        <v>Obese</v>
      </c>
      <c r="D255" s="4" t="s">
        <v>11</v>
      </c>
      <c r="E255" s="4" t="str">
        <f>IF(Table13_1[[#This Row],[smoker]]="yes","smoker","non-smoker")</f>
        <v>non-smoker</v>
      </c>
      <c r="F255" s="4" t="s">
        <v>9</v>
      </c>
      <c r="G255" s="5">
        <v>27</v>
      </c>
      <c r="H255" s="5">
        <f>IF(Table13_1[[#This Row],[smoker]]="yes",1,0)</f>
        <v>0</v>
      </c>
      <c r="I255" s="4">
        <v>30.3</v>
      </c>
      <c r="J255" s="4">
        <v>3</v>
      </c>
      <c r="K255" s="12">
        <v>4260.7439999999997</v>
      </c>
      <c r="N255">
        <v>100</v>
      </c>
      <c r="O255">
        <v>27718.6438212137</v>
      </c>
      <c r="P255">
        <v>-11897.944821213699</v>
      </c>
    </row>
    <row r="256" spans="1:16" x14ac:dyDescent="0.25">
      <c r="A256" s="4" t="s">
        <v>10</v>
      </c>
      <c r="B256" s="4">
        <f>ROUND(Table13_1[[#This Row],[bmi]],1)</f>
        <v>31.8</v>
      </c>
      <c r="C256" s="4" t="str" cm="1">
        <f t="array" ref="C256">_xlfn.IFS(Table13_1[[#This Row],[Round BMI]]&lt;18.5,"Underweight",AND(Table13_1[[#This Row],[Round BMI]]&gt;=18.5,Table13_1[[#This Row],[Round BMI]] &lt;=24.9),"Healthy Weight",AND(Table13_1[[#This Row],[Round BMI]]&gt;=25,Table13_1[[#This Row],[Round BMI]]&lt;=29.9),"Overweight",Table13_1[[#This Row],[Round BMI]]&gt;=30,"Obese")</f>
        <v>Obese</v>
      </c>
      <c r="D256" s="4" t="s">
        <v>8</v>
      </c>
      <c r="E256" s="4" t="str">
        <f>IF(Table13_1[[#This Row],[smoker]]="yes","smoker","non-smoker")</f>
        <v>smoker</v>
      </c>
      <c r="F256" s="4" t="s">
        <v>14</v>
      </c>
      <c r="G256" s="5">
        <v>50</v>
      </c>
      <c r="H256" s="5">
        <f>IF(Table13_1[[#This Row],[smoker]]="yes",1,0)</f>
        <v>1</v>
      </c>
      <c r="I256" s="4">
        <v>31.824999999999999</v>
      </c>
      <c r="J256" s="4">
        <v>0</v>
      </c>
      <c r="K256" s="12">
        <v>41097.161800000002</v>
      </c>
      <c r="N256">
        <v>101</v>
      </c>
      <c r="O256">
        <v>8639.564752136157</v>
      </c>
      <c r="P256">
        <v>-2453.4377521361566</v>
      </c>
    </row>
    <row r="257" spans="1:16" x14ac:dyDescent="0.25">
      <c r="A257" s="4" t="s">
        <v>7</v>
      </c>
      <c r="B257" s="4">
        <f>ROUND(Table13_1[[#This Row],[bmi]],1)</f>
        <v>25.4</v>
      </c>
      <c r="C257" s="4" t="str" cm="1">
        <f t="array" ref="C257">_xlfn.IFS(Table13_1[[#This Row],[Round BMI]]&lt;18.5,"Underweight",AND(Table13_1[[#This Row],[Round BMI]]&gt;=18.5,Table13_1[[#This Row],[Round BMI]] &lt;=24.9),"Healthy Weight",AND(Table13_1[[#This Row],[Round BMI]]&gt;=25,Table13_1[[#This Row],[Round BMI]]&lt;=29.9),"Overweight",Table13_1[[#This Row],[Round BMI]]&gt;=30,"Obese")</f>
        <v>Overweight</v>
      </c>
      <c r="D257" s="4" t="s">
        <v>11</v>
      </c>
      <c r="E257" s="4" t="str">
        <f>IF(Table13_1[[#This Row],[smoker]]="yes","smoker","non-smoker")</f>
        <v>non-smoker</v>
      </c>
      <c r="F257" s="4" t="s">
        <v>14</v>
      </c>
      <c r="G257" s="5">
        <v>55</v>
      </c>
      <c r="H257" s="5">
        <f>IF(Table13_1[[#This Row],[smoker]]="yes",1,0)</f>
        <v>0</v>
      </c>
      <c r="I257" s="4">
        <v>25.364999999999998</v>
      </c>
      <c r="J257" s="4">
        <v>3</v>
      </c>
      <c r="K257" s="12">
        <v>13047.332399999999</v>
      </c>
      <c r="N257">
        <v>102</v>
      </c>
      <c r="O257">
        <v>3827.0525580571966</v>
      </c>
      <c r="P257">
        <v>-181.96315805719678</v>
      </c>
    </row>
    <row r="258" spans="1:16" x14ac:dyDescent="0.25">
      <c r="A258" s="4" t="s">
        <v>10</v>
      </c>
      <c r="B258" s="4">
        <f>ROUND(Table13_1[[#This Row],[bmi]],1)</f>
        <v>33.6</v>
      </c>
      <c r="C258" s="4" t="str" cm="1">
        <f t="array" ref="C258">_xlfn.IFS(Table13_1[[#This Row],[Round BMI]]&lt;18.5,"Underweight",AND(Table13_1[[#This Row],[Round BMI]]&gt;=18.5,Table13_1[[#This Row],[Round BMI]] &lt;=24.9),"Healthy Weight",AND(Table13_1[[#This Row],[Round BMI]]&gt;=25,Table13_1[[#This Row],[Round BMI]]&lt;=29.9),"Overweight",Table13_1[[#This Row],[Round BMI]]&gt;=30,"Obese")</f>
        <v>Obese</v>
      </c>
      <c r="D258" s="4" t="s">
        <v>8</v>
      </c>
      <c r="E258" s="4" t="str">
        <f>IF(Table13_1[[#This Row],[smoker]]="yes","smoker","non-smoker")</f>
        <v>smoker</v>
      </c>
      <c r="F258" s="4" t="s">
        <v>13</v>
      </c>
      <c r="G258" s="5">
        <v>56</v>
      </c>
      <c r="H258" s="5">
        <f>IF(Table13_1[[#This Row],[smoker]]="yes",1,0)</f>
        <v>1</v>
      </c>
      <c r="I258" s="4">
        <v>33.630000000000003</v>
      </c>
      <c r="J258" s="4">
        <v>0</v>
      </c>
      <c r="K258" s="12">
        <v>43921.183700000001</v>
      </c>
      <c r="N258">
        <v>103</v>
      </c>
      <c r="O258">
        <v>2231.076750318769</v>
      </c>
      <c r="P258">
        <v>19113.769949681227</v>
      </c>
    </row>
    <row r="259" spans="1:16" x14ac:dyDescent="0.25">
      <c r="A259" s="4" t="s">
        <v>7</v>
      </c>
      <c r="B259" s="4">
        <f>ROUND(Table13_1[[#This Row],[bmi]],1)</f>
        <v>40.200000000000003</v>
      </c>
      <c r="C259" s="4" t="str" cm="1">
        <f t="array" ref="C259">_xlfn.IFS(Table13_1[[#This Row],[Round BMI]]&lt;18.5,"Underweight",AND(Table13_1[[#This Row],[Round BMI]]&gt;=18.5,Table13_1[[#This Row],[Round BMI]] &lt;=24.9),"Healthy Weight",AND(Table13_1[[#This Row],[Round BMI]]&gt;=25,Table13_1[[#This Row],[Round BMI]]&lt;=29.9),"Overweight",Table13_1[[#This Row],[Round BMI]]&gt;=30,"Obese")</f>
        <v>Obese</v>
      </c>
      <c r="D259" s="4" t="s">
        <v>11</v>
      </c>
      <c r="E259" s="4" t="str">
        <f>IF(Table13_1[[#This Row],[smoker]]="yes","smoker","non-smoker")</f>
        <v>non-smoker</v>
      </c>
      <c r="F259" s="4" t="s">
        <v>12</v>
      </c>
      <c r="G259" s="5">
        <v>38</v>
      </c>
      <c r="H259" s="5">
        <f>IF(Table13_1[[#This Row],[smoker]]="yes",1,0)</f>
        <v>0</v>
      </c>
      <c r="I259" s="4">
        <v>40.15</v>
      </c>
      <c r="J259" s="4">
        <v>0</v>
      </c>
      <c r="K259" s="12">
        <v>5400.9804999999997</v>
      </c>
      <c r="N259">
        <v>104</v>
      </c>
      <c r="O259">
        <v>38487.751334623033</v>
      </c>
      <c r="P259">
        <v>-7545.559534623033</v>
      </c>
    </row>
    <row r="260" spans="1:16" x14ac:dyDescent="0.25">
      <c r="A260" s="4" t="s">
        <v>10</v>
      </c>
      <c r="B260" s="4">
        <f>ROUND(Table13_1[[#This Row],[bmi]],1)</f>
        <v>24.4</v>
      </c>
      <c r="C260" s="4" t="str" cm="1">
        <f t="array" ref="C260">_xlfn.IFS(Table13_1[[#This Row],[Round BMI]]&lt;18.5,"Underweight",AND(Table13_1[[#This Row],[Round BMI]]&gt;=18.5,Table13_1[[#This Row],[Round BMI]] &lt;=24.9),"Healthy Weight",AND(Table13_1[[#This Row],[Round BMI]]&gt;=25,Table13_1[[#This Row],[Round BMI]]&lt;=29.9),"Overweight",Table13_1[[#This Row],[Round BMI]]&gt;=30,"Obese")</f>
        <v>Healthy Weight</v>
      </c>
      <c r="D260" s="4" t="s">
        <v>11</v>
      </c>
      <c r="E260" s="4" t="str">
        <f>IF(Table13_1[[#This Row],[smoker]]="yes","smoker","non-smoker")</f>
        <v>non-smoker</v>
      </c>
      <c r="F260" s="4" t="s">
        <v>13</v>
      </c>
      <c r="G260" s="5">
        <v>51</v>
      </c>
      <c r="H260" s="5">
        <f>IF(Table13_1[[#This Row],[smoker]]="yes",1,0)</f>
        <v>0</v>
      </c>
      <c r="I260" s="4">
        <v>24.414999999999999</v>
      </c>
      <c r="J260" s="4">
        <v>4</v>
      </c>
      <c r="K260" s="12">
        <v>11520.0998</v>
      </c>
      <c r="N260">
        <v>105</v>
      </c>
      <c r="O260">
        <v>5988.5297647205161</v>
      </c>
      <c r="P260">
        <v>-984.67676472051608</v>
      </c>
    </row>
    <row r="261" spans="1:16" x14ac:dyDescent="0.25">
      <c r="A261" s="4" t="s">
        <v>10</v>
      </c>
      <c r="B261" s="4">
        <f>ROUND(Table13_1[[#This Row],[bmi]],1)</f>
        <v>31.9</v>
      </c>
      <c r="C261" s="4" t="str" cm="1">
        <f t="array" ref="C261">_xlfn.IFS(Table13_1[[#This Row],[Round BMI]]&lt;18.5,"Underweight",AND(Table13_1[[#This Row],[Round BMI]]&gt;=18.5,Table13_1[[#This Row],[Round BMI]] &lt;=24.9),"Healthy Weight",AND(Table13_1[[#This Row],[Round BMI]]&gt;=25,Table13_1[[#This Row],[Round BMI]]&lt;=29.9),"Overweight",Table13_1[[#This Row],[Round BMI]]&gt;=30,"Obese")</f>
        <v>Obese</v>
      </c>
      <c r="D261" s="4" t="s">
        <v>8</v>
      </c>
      <c r="E261" s="4" t="str">
        <f>IF(Table13_1[[#This Row],[smoker]]="yes","smoker","non-smoker")</f>
        <v>smoker</v>
      </c>
      <c r="F261" s="4" t="s">
        <v>13</v>
      </c>
      <c r="G261" s="5">
        <v>19</v>
      </c>
      <c r="H261" s="5">
        <f>IF(Table13_1[[#This Row],[smoker]]="yes",1,0)</f>
        <v>1</v>
      </c>
      <c r="I261" s="4">
        <v>31.92</v>
      </c>
      <c r="J261" s="4">
        <v>0</v>
      </c>
      <c r="K261" s="12">
        <v>33750.291799999999</v>
      </c>
      <c r="N261">
        <v>106</v>
      </c>
      <c r="O261">
        <v>26359.008494602695</v>
      </c>
      <c r="P261">
        <v>-8798.6286946026958</v>
      </c>
    </row>
    <row r="262" spans="1:16" x14ac:dyDescent="0.25">
      <c r="A262" s="4" t="s">
        <v>7</v>
      </c>
      <c r="B262" s="4">
        <f>ROUND(Table13_1[[#This Row],[bmi]],1)</f>
        <v>25.2</v>
      </c>
      <c r="C262" s="4" t="str" cm="1">
        <f t="array" ref="C262">_xlfn.IFS(Table13_1[[#This Row],[Round BMI]]&lt;18.5,"Underweight",AND(Table13_1[[#This Row],[Round BMI]]&gt;=18.5,Table13_1[[#This Row],[Round BMI]] &lt;=24.9),"Healthy Weight",AND(Table13_1[[#This Row],[Round BMI]]&gt;=25,Table13_1[[#This Row],[Round BMI]]&lt;=29.9),"Overweight",Table13_1[[#This Row],[Round BMI]]&gt;=30,"Obese")</f>
        <v>Overweight</v>
      </c>
      <c r="D262" s="4" t="s">
        <v>11</v>
      </c>
      <c r="E262" s="4" t="str">
        <f>IF(Table13_1[[#This Row],[smoker]]="yes","smoker","non-smoker")</f>
        <v>non-smoker</v>
      </c>
      <c r="F262" s="4" t="s">
        <v>9</v>
      </c>
      <c r="G262" s="5">
        <v>58</v>
      </c>
      <c r="H262" s="5">
        <f>IF(Table13_1[[#This Row],[smoker]]="yes",1,0)</f>
        <v>0</v>
      </c>
      <c r="I262" s="4">
        <v>25.2</v>
      </c>
      <c r="J262" s="4">
        <v>0</v>
      </c>
      <c r="K262" s="12">
        <v>11837.16</v>
      </c>
      <c r="N262">
        <v>107</v>
      </c>
      <c r="O262">
        <v>2410.4534173222696</v>
      </c>
      <c r="P262">
        <v>-78.934417322269837</v>
      </c>
    </row>
    <row r="263" spans="1:16" x14ac:dyDescent="0.25">
      <c r="A263" s="4" t="s">
        <v>7</v>
      </c>
      <c r="B263" s="4">
        <f>ROUND(Table13_1[[#This Row],[bmi]],1)</f>
        <v>26.8</v>
      </c>
      <c r="C263" s="4" t="str" cm="1">
        <f t="array" ref="C263">_xlfn.IFS(Table13_1[[#This Row],[Round BMI]]&lt;18.5,"Underweight",AND(Table13_1[[#This Row],[Round BMI]]&gt;=18.5,Table13_1[[#This Row],[Round BMI]] &lt;=24.9),"Healthy Weight",AND(Table13_1[[#This Row],[Round BMI]]&gt;=25,Table13_1[[#This Row],[Round BMI]]&lt;=29.9),"Overweight",Table13_1[[#This Row],[Round BMI]]&gt;=30,"Obese")</f>
        <v>Overweight</v>
      </c>
      <c r="D263" s="4" t="s">
        <v>8</v>
      </c>
      <c r="E263" s="4" t="str">
        <f>IF(Table13_1[[#This Row],[smoker]]="yes","smoker","non-smoker")</f>
        <v>smoker</v>
      </c>
      <c r="F263" s="4" t="s">
        <v>12</v>
      </c>
      <c r="G263" s="5">
        <v>20</v>
      </c>
      <c r="H263" s="5">
        <f>IF(Table13_1[[#This Row],[smoker]]="yes",1,0)</f>
        <v>1</v>
      </c>
      <c r="I263" s="4">
        <v>26.84</v>
      </c>
      <c r="J263" s="4">
        <v>1</v>
      </c>
      <c r="K263" s="12">
        <v>17085.267599999999</v>
      </c>
      <c r="N263">
        <v>108</v>
      </c>
      <c r="O263">
        <v>5485.4845062125851</v>
      </c>
      <c r="P263">
        <v>-1608.180306212585</v>
      </c>
    </row>
    <row r="264" spans="1:16" x14ac:dyDescent="0.25">
      <c r="A264" s="4" t="s">
        <v>10</v>
      </c>
      <c r="B264" s="4">
        <f>ROUND(Table13_1[[#This Row],[bmi]],1)</f>
        <v>24.3</v>
      </c>
      <c r="C264" s="4" t="str" cm="1">
        <f t="array" ref="C264">_xlfn.IFS(Table13_1[[#This Row],[Round BMI]]&lt;18.5,"Underweight",AND(Table13_1[[#This Row],[Round BMI]]&gt;=18.5,Table13_1[[#This Row],[Round BMI]] &lt;=24.9),"Healthy Weight",AND(Table13_1[[#This Row],[Round BMI]]&gt;=25,Table13_1[[#This Row],[Round BMI]]&lt;=29.9),"Overweight",Table13_1[[#This Row],[Round BMI]]&gt;=30,"Obese")</f>
        <v>Healthy Weight</v>
      </c>
      <c r="D264" s="4" t="s">
        <v>8</v>
      </c>
      <c r="E264" s="4" t="str">
        <f>IF(Table13_1[[#This Row],[smoker]]="yes","smoker","non-smoker")</f>
        <v>smoker</v>
      </c>
      <c r="F264" s="4" t="s">
        <v>14</v>
      </c>
      <c r="G264" s="5">
        <v>52</v>
      </c>
      <c r="H264" s="5">
        <f>IF(Table13_1[[#This Row],[smoker]]="yes",1,0)</f>
        <v>1</v>
      </c>
      <c r="I264" s="4">
        <v>24.32</v>
      </c>
      <c r="J264" s="4">
        <v>3</v>
      </c>
      <c r="K264" s="12">
        <v>24869.836800000001</v>
      </c>
      <c r="N264">
        <v>109</v>
      </c>
      <c r="O264">
        <v>4367.3945297730479</v>
      </c>
      <c r="P264">
        <v>-1500.2749297730479</v>
      </c>
    </row>
    <row r="265" spans="1:16" x14ac:dyDescent="0.25">
      <c r="A265" s="4" t="s">
        <v>10</v>
      </c>
      <c r="B265" s="4">
        <f>ROUND(Table13_1[[#This Row],[bmi]],1)</f>
        <v>37</v>
      </c>
      <c r="C265" s="4" t="str" cm="1">
        <f t="array" ref="C265">_xlfn.IFS(Table13_1[[#This Row],[Round BMI]]&lt;18.5,"Underweight",AND(Table13_1[[#This Row],[Round BMI]]&gt;=18.5,Table13_1[[#This Row],[Round BMI]] &lt;=24.9),"Healthy Weight",AND(Table13_1[[#This Row],[Round BMI]]&gt;=25,Table13_1[[#This Row],[Round BMI]]&lt;=29.9),"Overweight",Table13_1[[#This Row],[Round BMI]]&gt;=30,"Obese")</f>
        <v>Obese</v>
      </c>
      <c r="D265" s="4" t="s">
        <v>8</v>
      </c>
      <c r="E265" s="4" t="str">
        <f>IF(Table13_1[[#This Row],[smoker]]="yes","smoker","non-smoker")</f>
        <v>smoker</v>
      </c>
      <c r="F265" s="4" t="s">
        <v>13</v>
      </c>
      <c r="G265" s="5">
        <v>19</v>
      </c>
      <c r="H265" s="5">
        <f>IF(Table13_1[[#This Row],[smoker]]="yes",1,0)</f>
        <v>1</v>
      </c>
      <c r="I265" s="4">
        <v>36.954999999999998</v>
      </c>
      <c r="J265" s="4">
        <v>0</v>
      </c>
      <c r="K265" s="12">
        <v>36219.405400000003</v>
      </c>
      <c r="N265">
        <v>110</v>
      </c>
      <c r="O265">
        <v>39246.915155335344</v>
      </c>
      <c r="P265">
        <v>7808.6169446646527</v>
      </c>
    </row>
    <row r="266" spans="1:16" x14ac:dyDescent="0.25">
      <c r="A266" s="4" t="s">
        <v>7</v>
      </c>
      <c r="B266" s="4">
        <f>ROUND(Table13_1[[#This Row],[bmi]],1)</f>
        <v>38.1</v>
      </c>
      <c r="C266" s="4" t="str" cm="1">
        <f t="array" ref="C266">_xlfn.IFS(Table13_1[[#This Row],[Round BMI]]&lt;18.5,"Underweight",AND(Table13_1[[#This Row],[Round BMI]]&gt;=18.5,Table13_1[[#This Row],[Round BMI]] &lt;=24.9),"Healthy Weight",AND(Table13_1[[#This Row],[Round BMI]]&gt;=25,Table13_1[[#This Row],[Round BMI]]&lt;=29.9),"Overweight",Table13_1[[#This Row],[Round BMI]]&gt;=30,"Obese")</f>
        <v>Obese</v>
      </c>
      <c r="D266" s="4" t="s">
        <v>11</v>
      </c>
      <c r="E266" s="4" t="str">
        <f>IF(Table13_1[[#This Row],[smoker]]="yes","smoker","non-smoker")</f>
        <v>non-smoker</v>
      </c>
      <c r="F266" s="4" t="s">
        <v>12</v>
      </c>
      <c r="G266" s="5">
        <v>53</v>
      </c>
      <c r="H266" s="5">
        <f>IF(Table13_1[[#This Row],[smoker]]="yes",1,0)</f>
        <v>0</v>
      </c>
      <c r="I266" s="4">
        <v>38.06</v>
      </c>
      <c r="J266" s="4">
        <v>3</v>
      </c>
      <c r="K266" s="12">
        <v>20462.9977</v>
      </c>
      <c r="N266">
        <v>111</v>
      </c>
      <c r="O266">
        <v>13118.469010744269</v>
      </c>
      <c r="P266">
        <v>-2293.21531074427</v>
      </c>
    </row>
    <row r="267" spans="1:16" x14ac:dyDescent="0.25">
      <c r="A267" s="4" t="s">
        <v>10</v>
      </c>
      <c r="B267" s="4">
        <f>ROUND(Table13_1[[#This Row],[bmi]],1)</f>
        <v>42.4</v>
      </c>
      <c r="C267" s="4" t="str" cm="1">
        <f t="array" ref="C267">_xlfn.IFS(Table13_1[[#This Row],[Round BMI]]&lt;18.5,"Underweight",AND(Table13_1[[#This Row],[Round BMI]]&gt;=18.5,Table13_1[[#This Row],[Round BMI]] &lt;=24.9),"Healthy Weight",AND(Table13_1[[#This Row],[Round BMI]]&gt;=25,Table13_1[[#This Row],[Round BMI]]&lt;=29.9),"Overweight",Table13_1[[#This Row],[Round BMI]]&gt;=30,"Obese")</f>
        <v>Obese</v>
      </c>
      <c r="D267" s="4" t="s">
        <v>8</v>
      </c>
      <c r="E267" s="4" t="str">
        <f>IF(Table13_1[[#This Row],[smoker]]="yes","smoker","non-smoker")</f>
        <v>smoker</v>
      </c>
      <c r="F267" s="4" t="s">
        <v>12</v>
      </c>
      <c r="G267" s="5">
        <v>46</v>
      </c>
      <c r="H267" s="5">
        <f>IF(Table13_1[[#This Row],[smoker]]="yes",1,0)</f>
        <v>1</v>
      </c>
      <c r="I267" s="4">
        <v>42.35</v>
      </c>
      <c r="J267" s="4">
        <v>3</v>
      </c>
      <c r="K267" s="12">
        <v>46151.124499999998</v>
      </c>
      <c r="N267">
        <v>112</v>
      </c>
      <c r="O267">
        <v>12584.944820454482</v>
      </c>
      <c r="P267">
        <v>-703.58682045448222</v>
      </c>
    </row>
    <row r="268" spans="1:16" x14ac:dyDescent="0.25">
      <c r="A268" s="4" t="s">
        <v>10</v>
      </c>
      <c r="B268" s="4">
        <f>ROUND(Table13_1[[#This Row],[bmi]],1)</f>
        <v>19.8</v>
      </c>
      <c r="C268" s="4" t="str" cm="1">
        <f t="array" ref="C268">_xlfn.IFS(Table13_1[[#This Row],[Round BMI]]&lt;18.5,"Underweight",AND(Table13_1[[#This Row],[Round BMI]]&gt;=18.5,Table13_1[[#This Row],[Round BMI]] &lt;=24.9),"Healthy Weight",AND(Table13_1[[#This Row],[Round BMI]]&gt;=25,Table13_1[[#This Row],[Round BMI]]&lt;=29.9),"Overweight",Table13_1[[#This Row],[Round BMI]]&gt;=30,"Obese")</f>
        <v>Healthy Weight</v>
      </c>
      <c r="D268" s="4" t="s">
        <v>8</v>
      </c>
      <c r="E268" s="4" t="str">
        <f>IF(Table13_1[[#This Row],[smoker]]="yes","smoker","non-smoker")</f>
        <v>smoker</v>
      </c>
      <c r="F268" s="4" t="s">
        <v>12</v>
      </c>
      <c r="G268" s="5">
        <v>40</v>
      </c>
      <c r="H268" s="5">
        <f>IF(Table13_1[[#This Row],[smoker]]="yes",1,0)</f>
        <v>1</v>
      </c>
      <c r="I268" s="4">
        <v>19.8</v>
      </c>
      <c r="J268" s="4">
        <v>1</v>
      </c>
      <c r="K268" s="12">
        <v>17179.522000000001</v>
      </c>
      <c r="N268">
        <v>113</v>
      </c>
      <c r="O268">
        <v>7350.6856005417631</v>
      </c>
      <c r="P268">
        <v>-2703.926600541763</v>
      </c>
    </row>
    <row r="269" spans="1:16" x14ac:dyDescent="0.25">
      <c r="A269" s="4" t="s">
        <v>7</v>
      </c>
      <c r="B269" s="4">
        <f>ROUND(Table13_1[[#This Row],[bmi]],1)</f>
        <v>32.4</v>
      </c>
      <c r="C269" s="4" t="str" cm="1">
        <f t="array" ref="C269">_xlfn.IFS(Table13_1[[#This Row],[Round BMI]]&lt;18.5,"Underweight",AND(Table13_1[[#This Row],[Round BMI]]&gt;=18.5,Table13_1[[#This Row],[Round BMI]] &lt;=24.9),"Healthy Weight",AND(Table13_1[[#This Row],[Round BMI]]&gt;=25,Table13_1[[#This Row],[Round BMI]]&lt;=29.9),"Overweight",Table13_1[[#This Row],[Round BMI]]&gt;=30,"Obese")</f>
        <v>Obese</v>
      </c>
      <c r="D269" s="4" t="s">
        <v>11</v>
      </c>
      <c r="E269" s="4" t="str">
        <f>IF(Table13_1[[#This Row],[smoker]]="yes","smoker","non-smoker")</f>
        <v>non-smoker</v>
      </c>
      <c r="F269" s="4" t="s">
        <v>14</v>
      </c>
      <c r="G269" s="5">
        <v>59</v>
      </c>
      <c r="H269" s="5">
        <f>IF(Table13_1[[#This Row],[smoker]]="yes",1,0)</f>
        <v>0</v>
      </c>
      <c r="I269" s="4">
        <v>32.395000000000003</v>
      </c>
      <c r="J269" s="4">
        <v>3</v>
      </c>
      <c r="K269" s="12">
        <v>14590.632</v>
      </c>
      <c r="N269">
        <v>114</v>
      </c>
      <c r="O269">
        <v>4808.6023852348335</v>
      </c>
      <c r="P269">
        <v>-2403.8685852348335</v>
      </c>
    </row>
    <row r="270" spans="1:16" x14ac:dyDescent="0.25">
      <c r="A270" s="4" t="s">
        <v>10</v>
      </c>
      <c r="B270" s="4">
        <f>ROUND(Table13_1[[#This Row],[bmi]],1)</f>
        <v>30.2</v>
      </c>
      <c r="C270" s="4" t="str" cm="1">
        <f t="array" ref="C270">_xlfn.IFS(Table13_1[[#This Row],[Round BMI]]&lt;18.5,"Underweight",AND(Table13_1[[#This Row],[Round BMI]]&gt;=18.5,Table13_1[[#This Row],[Round BMI]] &lt;=24.9),"Healthy Weight",AND(Table13_1[[#This Row],[Round BMI]]&gt;=25,Table13_1[[#This Row],[Round BMI]]&lt;=29.9),"Overweight",Table13_1[[#This Row],[Round BMI]]&gt;=30,"Obese")</f>
        <v>Obese</v>
      </c>
      <c r="D270" s="4" t="s">
        <v>11</v>
      </c>
      <c r="E270" s="4" t="str">
        <f>IF(Table13_1[[#This Row],[smoker]]="yes","smoker","non-smoker")</f>
        <v>non-smoker</v>
      </c>
      <c r="F270" s="4" t="s">
        <v>9</v>
      </c>
      <c r="G270" s="5">
        <v>45</v>
      </c>
      <c r="H270" s="5">
        <f>IF(Table13_1[[#This Row],[smoker]]="yes",1,0)</f>
        <v>0</v>
      </c>
      <c r="I270" s="4">
        <v>30.2</v>
      </c>
      <c r="J270" s="4">
        <v>1</v>
      </c>
      <c r="K270" s="12">
        <v>7441.0529999999999</v>
      </c>
      <c r="N270">
        <v>115</v>
      </c>
      <c r="O270">
        <v>13091.136378126475</v>
      </c>
      <c r="P270">
        <v>-1602.8193781264763</v>
      </c>
    </row>
    <row r="271" spans="1:16" x14ac:dyDescent="0.25">
      <c r="A271" s="4" t="s">
        <v>10</v>
      </c>
      <c r="B271" s="4">
        <f>ROUND(Table13_1[[#This Row],[bmi]],1)</f>
        <v>25.8</v>
      </c>
      <c r="C271" s="4" t="str" cm="1">
        <f t="array" ref="C271">_xlfn.IFS(Table13_1[[#This Row],[Round BMI]]&lt;18.5,"Underweight",AND(Table13_1[[#This Row],[Round BMI]]&gt;=18.5,Table13_1[[#This Row],[Round BMI]] &lt;=24.9),"Healthy Weight",AND(Table13_1[[#This Row],[Round BMI]]&gt;=25,Table13_1[[#This Row],[Round BMI]]&lt;=29.9),"Overweight",Table13_1[[#This Row],[Round BMI]]&gt;=30,"Obese")</f>
        <v>Overweight</v>
      </c>
      <c r="D271" s="4" t="s">
        <v>11</v>
      </c>
      <c r="E271" s="4" t="str">
        <f>IF(Table13_1[[#This Row],[smoker]]="yes","smoker","non-smoker")</f>
        <v>non-smoker</v>
      </c>
      <c r="F271" s="4" t="s">
        <v>14</v>
      </c>
      <c r="G271" s="5">
        <v>49</v>
      </c>
      <c r="H271" s="5">
        <f>IF(Table13_1[[#This Row],[smoker]]="yes",1,0)</f>
        <v>0</v>
      </c>
      <c r="I271" s="4">
        <v>25.84</v>
      </c>
      <c r="J271" s="4">
        <v>1</v>
      </c>
      <c r="K271" s="12">
        <v>9282.4806000000008</v>
      </c>
      <c r="N271">
        <v>116</v>
      </c>
      <c r="O271">
        <v>12571.541925875075</v>
      </c>
      <c r="P271">
        <v>17688.453674124925</v>
      </c>
    </row>
    <row r="272" spans="1:16" x14ac:dyDescent="0.25">
      <c r="A272" s="4" t="s">
        <v>10</v>
      </c>
      <c r="B272" s="4">
        <f>ROUND(Table13_1[[#This Row],[bmi]],1)</f>
        <v>29.4</v>
      </c>
      <c r="C272" s="4" t="str" cm="1">
        <f t="array" ref="C272">_xlfn.IFS(Table13_1[[#This Row],[Round BMI]]&lt;18.5,"Underweight",AND(Table13_1[[#This Row],[Round BMI]]&gt;=18.5,Table13_1[[#This Row],[Round BMI]] &lt;=24.9),"Healthy Weight",AND(Table13_1[[#This Row],[Round BMI]]&gt;=25,Table13_1[[#This Row],[Round BMI]]&lt;=29.9),"Overweight",Table13_1[[#This Row],[Round BMI]]&gt;=30,"Obese")</f>
        <v>Overweight</v>
      </c>
      <c r="D272" s="4" t="s">
        <v>11</v>
      </c>
      <c r="E272" s="4" t="str">
        <f>IF(Table13_1[[#This Row],[smoker]]="yes","smoker","non-smoker")</f>
        <v>non-smoker</v>
      </c>
      <c r="F272" s="4" t="s">
        <v>12</v>
      </c>
      <c r="G272" s="5">
        <v>18</v>
      </c>
      <c r="H272" s="5">
        <f>IF(Table13_1[[#This Row],[smoker]]="yes",1,0)</f>
        <v>0</v>
      </c>
      <c r="I272" s="4">
        <v>29.37</v>
      </c>
      <c r="J272" s="4">
        <v>1</v>
      </c>
      <c r="K272" s="12">
        <v>1719.4363000000001</v>
      </c>
      <c r="N272">
        <v>117</v>
      </c>
      <c r="O272">
        <v>18642.53187035978</v>
      </c>
      <c r="P272">
        <v>-7261.2064703597807</v>
      </c>
    </row>
    <row r="273" spans="1:16" x14ac:dyDescent="0.25">
      <c r="A273" s="4" t="s">
        <v>10</v>
      </c>
      <c r="B273" s="4">
        <f>ROUND(Table13_1[[#This Row],[bmi]],1)</f>
        <v>34.200000000000003</v>
      </c>
      <c r="C273" s="4" t="str" cm="1">
        <f t="array" ref="C273">_xlfn.IFS(Table13_1[[#This Row],[Round BMI]]&lt;18.5,"Underweight",AND(Table13_1[[#This Row],[Round BMI]]&gt;=18.5,Table13_1[[#This Row],[Round BMI]] &lt;=24.9),"Healthy Weight",AND(Table13_1[[#This Row],[Round BMI]]&gt;=25,Table13_1[[#This Row],[Round BMI]]&lt;=29.9),"Overweight",Table13_1[[#This Row],[Round BMI]]&gt;=30,"Obese")</f>
        <v>Obese</v>
      </c>
      <c r="D273" s="4" t="s">
        <v>8</v>
      </c>
      <c r="E273" s="4" t="str">
        <f>IF(Table13_1[[#This Row],[smoker]]="yes","smoker","non-smoker")</f>
        <v>smoker</v>
      </c>
      <c r="F273" s="4" t="s">
        <v>9</v>
      </c>
      <c r="G273" s="5">
        <v>50</v>
      </c>
      <c r="H273" s="5">
        <f>IF(Table13_1[[#This Row],[smoker]]="yes",1,0)</f>
        <v>1</v>
      </c>
      <c r="I273" s="4">
        <v>34.200000000000003</v>
      </c>
      <c r="J273" s="4">
        <v>2</v>
      </c>
      <c r="K273" s="12">
        <v>42856.838000000003</v>
      </c>
      <c r="N273">
        <v>118</v>
      </c>
      <c r="O273">
        <v>28652.296691334395</v>
      </c>
      <c r="P273">
        <v>-9544.5170913343936</v>
      </c>
    </row>
    <row r="274" spans="1:16" x14ac:dyDescent="0.25">
      <c r="A274" s="4" t="s">
        <v>10</v>
      </c>
      <c r="B274" s="4">
        <f>ROUND(Table13_1[[#This Row],[bmi]],1)</f>
        <v>37.1</v>
      </c>
      <c r="C274" s="4" t="str" cm="1">
        <f t="array" ref="C274">_xlfn.IFS(Table13_1[[#This Row],[Round BMI]]&lt;18.5,"Underweight",AND(Table13_1[[#This Row],[Round BMI]]&gt;=18.5,Table13_1[[#This Row],[Round BMI]] &lt;=24.9),"Healthy Weight",AND(Table13_1[[#This Row],[Round BMI]]&gt;=25,Table13_1[[#This Row],[Round BMI]]&lt;=29.9),"Overweight",Table13_1[[#This Row],[Round BMI]]&gt;=30,"Obese")</f>
        <v>Obese</v>
      </c>
      <c r="D274" s="4" t="s">
        <v>11</v>
      </c>
      <c r="E274" s="4" t="str">
        <f>IF(Table13_1[[#This Row],[smoker]]="yes","smoker","non-smoker")</f>
        <v>non-smoker</v>
      </c>
      <c r="F274" s="4" t="s">
        <v>13</v>
      </c>
      <c r="G274" s="5">
        <v>41</v>
      </c>
      <c r="H274" s="5">
        <f>IF(Table13_1[[#This Row],[smoker]]="yes",1,0)</f>
        <v>0</v>
      </c>
      <c r="I274" s="4">
        <v>37.049999999999997</v>
      </c>
      <c r="J274" s="4">
        <v>2</v>
      </c>
      <c r="K274" s="12">
        <v>7265.7025000000003</v>
      </c>
      <c r="N274">
        <v>119</v>
      </c>
      <c r="O274">
        <v>9276.5590961924336</v>
      </c>
      <c r="P274">
        <v>-675.22979619243415</v>
      </c>
    </row>
    <row r="275" spans="1:16" x14ac:dyDescent="0.25">
      <c r="A275" s="4" t="s">
        <v>10</v>
      </c>
      <c r="B275" s="4">
        <f>ROUND(Table13_1[[#This Row],[bmi]],1)</f>
        <v>27.5</v>
      </c>
      <c r="C275" s="4" t="str" cm="1">
        <f t="array" ref="C275">_xlfn.IFS(Table13_1[[#This Row],[Round BMI]]&lt;18.5,"Underweight",AND(Table13_1[[#This Row],[Round BMI]]&gt;=18.5,Table13_1[[#This Row],[Round BMI]] &lt;=24.9),"Healthy Weight",AND(Table13_1[[#This Row],[Round BMI]]&gt;=25,Table13_1[[#This Row],[Round BMI]]&lt;=29.9),"Overweight",Table13_1[[#This Row],[Round BMI]]&gt;=30,"Obese")</f>
        <v>Overweight</v>
      </c>
      <c r="D275" s="4" t="s">
        <v>11</v>
      </c>
      <c r="E275" s="4" t="str">
        <f>IF(Table13_1[[#This Row],[smoker]]="yes","smoker","non-smoker")</f>
        <v>non-smoker</v>
      </c>
      <c r="F275" s="4" t="s">
        <v>14</v>
      </c>
      <c r="G275" s="5">
        <v>50</v>
      </c>
      <c r="H275" s="5">
        <f>IF(Table13_1[[#This Row],[smoker]]="yes",1,0)</f>
        <v>0</v>
      </c>
      <c r="I275" s="4">
        <v>27.454999999999998</v>
      </c>
      <c r="J275" s="4">
        <v>1</v>
      </c>
      <c r="K275" s="12">
        <v>9617.6623999999993</v>
      </c>
      <c r="N275">
        <v>120</v>
      </c>
      <c r="O275">
        <v>5906.3343085232009</v>
      </c>
      <c r="P275">
        <v>780.0969914767993</v>
      </c>
    </row>
    <row r="276" spans="1:16" x14ac:dyDescent="0.25">
      <c r="A276" s="4" t="s">
        <v>10</v>
      </c>
      <c r="B276" s="4">
        <f>ROUND(Table13_1[[#This Row],[bmi]],1)</f>
        <v>27.6</v>
      </c>
      <c r="C276" s="4" t="str" cm="1">
        <f t="array" ref="C276">_xlfn.IFS(Table13_1[[#This Row],[Round BMI]]&lt;18.5,"Underweight",AND(Table13_1[[#This Row],[Round BMI]]&gt;=18.5,Table13_1[[#This Row],[Round BMI]] &lt;=24.9),"Healthy Weight",AND(Table13_1[[#This Row],[Round BMI]]&gt;=25,Table13_1[[#This Row],[Round BMI]]&lt;=29.9),"Overweight",Table13_1[[#This Row],[Round BMI]]&gt;=30,"Obese")</f>
        <v>Overweight</v>
      </c>
      <c r="D276" s="4" t="s">
        <v>11</v>
      </c>
      <c r="E276" s="4" t="str">
        <f>IF(Table13_1[[#This Row],[smoker]]="yes","smoker","non-smoker")</f>
        <v>non-smoker</v>
      </c>
      <c r="F276" s="4" t="s">
        <v>13</v>
      </c>
      <c r="G276" s="5">
        <v>25</v>
      </c>
      <c r="H276" s="5">
        <f>IF(Table13_1[[#This Row],[smoker]]="yes",1,0)</f>
        <v>0</v>
      </c>
      <c r="I276" s="4">
        <v>27.55</v>
      </c>
      <c r="J276" s="4">
        <v>0</v>
      </c>
      <c r="K276" s="12">
        <v>2523.1695</v>
      </c>
      <c r="N276">
        <v>121</v>
      </c>
      <c r="O276">
        <v>12130.300620845541</v>
      </c>
      <c r="P276">
        <v>-4389.9636208455404</v>
      </c>
    </row>
    <row r="277" spans="1:16" x14ac:dyDescent="0.25">
      <c r="A277" s="4" t="s">
        <v>7</v>
      </c>
      <c r="B277" s="4">
        <f>ROUND(Table13_1[[#This Row],[bmi]],1)</f>
        <v>26.6</v>
      </c>
      <c r="C277" s="4" t="str" cm="1">
        <f t="array" ref="C277">_xlfn.IFS(Table13_1[[#This Row],[Round BMI]]&lt;18.5,"Underweight",AND(Table13_1[[#This Row],[Round BMI]]&gt;=18.5,Table13_1[[#This Row],[Round BMI]] &lt;=24.9),"Healthy Weight",AND(Table13_1[[#This Row],[Round BMI]]&gt;=25,Table13_1[[#This Row],[Round BMI]]&lt;=29.9),"Overweight",Table13_1[[#This Row],[Round BMI]]&gt;=30,"Obese")</f>
        <v>Overweight</v>
      </c>
      <c r="D277" s="4" t="s">
        <v>11</v>
      </c>
      <c r="E277" s="4" t="str">
        <f>IF(Table13_1[[#This Row],[smoker]]="yes","smoker","non-smoker")</f>
        <v>non-smoker</v>
      </c>
      <c r="F277" s="4" t="s">
        <v>14</v>
      </c>
      <c r="G277" s="5">
        <v>47</v>
      </c>
      <c r="H277" s="5">
        <f>IF(Table13_1[[#This Row],[smoker]]="yes",1,0)</f>
        <v>0</v>
      </c>
      <c r="I277" s="4">
        <v>26.6</v>
      </c>
      <c r="J277" s="4">
        <v>2</v>
      </c>
      <c r="K277" s="12">
        <v>9715.8410000000003</v>
      </c>
      <c r="N277">
        <v>122</v>
      </c>
      <c r="O277">
        <v>182.49257123445204</v>
      </c>
      <c r="P277">
        <v>1523.1319287655479</v>
      </c>
    </row>
    <row r="278" spans="1:16" x14ac:dyDescent="0.25">
      <c r="A278" s="4" t="s">
        <v>10</v>
      </c>
      <c r="B278" s="4">
        <f>ROUND(Table13_1[[#This Row],[bmi]],1)</f>
        <v>20.6</v>
      </c>
      <c r="C278" s="4" t="str" cm="1">
        <f t="array" ref="C278">_xlfn.IFS(Table13_1[[#This Row],[Round BMI]]&lt;18.5,"Underweight",AND(Table13_1[[#This Row],[Round BMI]]&gt;=18.5,Table13_1[[#This Row],[Round BMI]] &lt;=24.9),"Healthy Weight",AND(Table13_1[[#This Row],[Round BMI]]&gt;=25,Table13_1[[#This Row],[Round BMI]]&lt;=29.9),"Overweight",Table13_1[[#This Row],[Round BMI]]&gt;=30,"Obese")</f>
        <v>Healthy Weight</v>
      </c>
      <c r="D278" s="4" t="s">
        <v>11</v>
      </c>
      <c r="E278" s="4" t="str">
        <f>IF(Table13_1[[#This Row],[smoker]]="yes","smoker","non-smoker")</f>
        <v>non-smoker</v>
      </c>
      <c r="F278" s="4" t="s">
        <v>13</v>
      </c>
      <c r="G278" s="5">
        <v>19</v>
      </c>
      <c r="H278" s="5">
        <f>IF(Table13_1[[#This Row],[smoker]]="yes",1,0)</f>
        <v>0</v>
      </c>
      <c r="I278" s="4">
        <v>20.614999999999998</v>
      </c>
      <c r="J278" s="4">
        <v>2</v>
      </c>
      <c r="K278" s="12">
        <v>2803.6977999999999</v>
      </c>
      <c r="N278">
        <v>123</v>
      </c>
      <c r="O278">
        <v>2379.8651657404989</v>
      </c>
      <c r="P278">
        <v>-122.38996574049906</v>
      </c>
    </row>
    <row r="279" spans="1:16" x14ac:dyDescent="0.25">
      <c r="A279" s="4" t="s">
        <v>7</v>
      </c>
      <c r="B279" s="4">
        <f>ROUND(Table13_1[[#This Row],[bmi]],1)</f>
        <v>24.3</v>
      </c>
      <c r="C279" s="4" t="str" cm="1">
        <f t="array" ref="C279">_xlfn.IFS(Table13_1[[#This Row],[Round BMI]]&lt;18.5,"Underweight",AND(Table13_1[[#This Row],[Round BMI]]&gt;=18.5,Table13_1[[#This Row],[Round BMI]] &lt;=24.9),"Healthy Weight",AND(Table13_1[[#This Row],[Round BMI]]&gt;=25,Table13_1[[#This Row],[Round BMI]]&lt;=29.9),"Overweight",Table13_1[[#This Row],[Round BMI]]&gt;=30,"Obese")</f>
        <v>Healthy Weight</v>
      </c>
      <c r="D279" s="4" t="s">
        <v>11</v>
      </c>
      <c r="E279" s="4" t="str">
        <f>IF(Table13_1[[#This Row],[smoker]]="yes","smoker","non-smoker")</f>
        <v>non-smoker</v>
      </c>
      <c r="F279" s="4" t="s">
        <v>9</v>
      </c>
      <c r="G279" s="5">
        <v>22</v>
      </c>
      <c r="H279" s="5">
        <f>IF(Table13_1[[#This Row],[smoker]]="yes",1,0)</f>
        <v>0</v>
      </c>
      <c r="I279" s="4">
        <v>24.3</v>
      </c>
      <c r="J279" s="4">
        <v>0</v>
      </c>
      <c r="K279" s="12">
        <v>2150.4690000000001</v>
      </c>
      <c r="N279">
        <v>124</v>
      </c>
      <c r="O279">
        <v>33617.552584978272</v>
      </c>
      <c r="P279">
        <v>5938.9419150217291</v>
      </c>
    </row>
    <row r="280" spans="1:16" x14ac:dyDescent="0.25">
      <c r="A280" s="4" t="s">
        <v>10</v>
      </c>
      <c r="B280" s="4">
        <f>ROUND(Table13_1[[#This Row],[bmi]],1)</f>
        <v>31.8</v>
      </c>
      <c r="C280" s="4" t="str" cm="1">
        <f t="array" ref="C280">_xlfn.IFS(Table13_1[[#This Row],[Round BMI]]&lt;18.5,"Underweight",AND(Table13_1[[#This Row],[Round BMI]]&gt;=18.5,Table13_1[[#This Row],[Round BMI]] &lt;=24.9),"Healthy Weight",AND(Table13_1[[#This Row],[Round BMI]]&gt;=25,Table13_1[[#This Row],[Round BMI]]&lt;=29.9),"Overweight",Table13_1[[#This Row],[Round BMI]]&gt;=30,"Obese")</f>
        <v>Obese</v>
      </c>
      <c r="D280" s="4" t="s">
        <v>11</v>
      </c>
      <c r="E280" s="4" t="str">
        <f>IF(Table13_1[[#This Row],[smoker]]="yes","smoker","non-smoker")</f>
        <v>non-smoker</v>
      </c>
      <c r="F280" s="4" t="s">
        <v>12</v>
      </c>
      <c r="G280" s="5">
        <v>59</v>
      </c>
      <c r="H280" s="5">
        <f>IF(Table13_1[[#This Row],[smoker]]="yes",1,0)</f>
        <v>0</v>
      </c>
      <c r="I280" s="4">
        <v>31.79</v>
      </c>
      <c r="J280" s="4">
        <v>2</v>
      </c>
      <c r="K280" s="12">
        <v>12928.7911</v>
      </c>
      <c r="N280">
        <v>125</v>
      </c>
      <c r="O280">
        <v>12352.254740333168</v>
      </c>
      <c r="P280">
        <v>-2237.2459403331686</v>
      </c>
    </row>
    <row r="281" spans="1:16" x14ac:dyDescent="0.25">
      <c r="A281" s="4" t="s">
        <v>7</v>
      </c>
      <c r="B281" s="4">
        <f>ROUND(Table13_1[[#This Row],[bmi]],1)</f>
        <v>21.6</v>
      </c>
      <c r="C281" s="4" t="str" cm="1">
        <f t="array" ref="C281">_xlfn.IFS(Table13_1[[#This Row],[Round BMI]]&lt;18.5,"Underweight",AND(Table13_1[[#This Row],[Round BMI]]&gt;=18.5,Table13_1[[#This Row],[Round BMI]] &lt;=24.9),"Healthy Weight",AND(Table13_1[[#This Row],[Round BMI]]&gt;=25,Table13_1[[#This Row],[Round BMI]]&lt;=29.9),"Overweight",Table13_1[[#This Row],[Round BMI]]&gt;=30,"Obese")</f>
        <v>Healthy Weight</v>
      </c>
      <c r="D281" s="4" t="s">
        <v>11</v>
      </c>
      <c r="E281" s="4" t="str">
        <f>IF(Table13_1[[#This Row],[smoker]]="yes","smoker","non-smoker")</f>
        <v>non-smoker</v>
      </c>
      <c r="F281" s="4" t="s">
        <v>12</v>
      </c>
      <c r="G281" s="5">
        <v>51</v>
      </c>
      <c r="H281" s="5">
        <f>IF(Table13_1[[#This Row],[smoker]]="yes",1,0)</f>
        <v>0</v>
      </c>
      <c r="I281" s="4">
        <v>21.56</v>
      </c>
      <c r="J281" s="4">
        <v>1</v>
      </c>
      <c r="K281" s="12">
        <v>9855.1314000000002</v>
      </c>
      <c r="N281">
        <v>126</v>
      </c>
      <c r="O281">
        <v>3865.8104431828033</v>
      </c>
      <c r="P281">
        <v>-480.41124318280345</v>
      </c>
    </row>
    <row r="282" spans="1:16" x14ac:dyDescent="0.25">
      <c r="A282" s="4" t="s">
        <v>7</v>
      </c>
      <c r="B282" s="4">
        <f>ROUND(Table13_1[[#This Row],[bmi]],1)</f>
        <v>28.1</v>
      </c>
      <c r="C282" s="4" t="str" cm="1">
        <f t="array" ref="C282">_xlfn.IFS(Table13_1[[#This Row],[Round BMI]]&lt;18.5,"Underweight",AND(Table13_1[[#This Row],[Round BMI]]&gt;=18.5,Table13_1[[#This Row],[Round BMI]] &lt;=24.9),"Healthy Weight",AND(Table13_1[[#This Row],[Round BMI]]&gt;=25,Table13_1[[#This Row],[Round BMI]]&lt;=29.9),"Overweight",Table13_1[[#This Row],[Round BMI]]&gt;=30,"Obese")</f>
        <v>Overweight</v>
      </c>
      <c r="D282" s="4" t="s">
        <v>8</v>
      </c>
      <c r="E282" s="4" t="str">
        <f>IF(Table13_1[[#This Row],[smoker]]="yes","smoker","non-smoker")</f>
        <v>smoker</v>
      </c>
      <c r="F282" s="4" t="s">
        <v>14</v>
      </c>
      <c r="G282" s="5">
        <v>40</v>
      </c>
      <c r="H282" s="5">
        <f>IF(Table13_1[[#This Row],[smoker]]="yes",1,0)</f>
        <v>1</v>
      </c>
      <c r="I282" s="4">
        <v>28.12</v>
      </c>
      <c r="J282" s="4">
        <v>1</v>
      </c>
      <c r="K282" s="12">
        <v>22331.566800000001</v>
      </c>
      <c r="N282">
        <v>127</v>
      </c>
      <c r="O282">
        <v>25716.165807507845</v>
      </c>
      <c r="P282">
        <v>-8635.0858075078431</v>
      </c>
    </row>
    <row r="283" spans="1:16" x14ac:dyDescent="0.25">
      <c r="A283" s="4" t="s">
        <v>10</v>
      </c>
      <c r="B283" s="4">
        <f>ROUND(Table13_1[[#This Row],[bmi]],1)</f>
        <v>40.6</v>
      </c>
      <c r="C283" s="4" t="str" cm="1">
        <f t="array" ref="C283">_xlfn.IFS(Table13_1[[#This Row],[Round BMI]]&lt;18.5,"Underweight",AND(Table13_1[[#This Row],[Round BMI]]&gt;=18.5,Table13_1[[#This Row],[Round BMI]] &lt;=24.9),"Healthy Weight",AND(Table13_1[[#This Row],[Round BMI]]&gt;=25,Table13_1[[#This Row],[Round BMI]]&lt;=29.9),"Overweight",Table13_1[[#This Row],[Round BMI]]&gt;=30,"Obese")</f>
        <v>Obese</v>
      </c>
      <c r="D283" s="4" t="s">
        <v>8</v>
      </c>
      <c r="E283" s="4" t="str">
        <f>IF(Table13_1[[#This Row],[smoker]]="yes","smoker","non-smoker")</f>
        <v>smoker</v>
      </c>
      <c r="F283" s="4" t="s">
        <v>14</v>
      </c>
      <c r="G283" s="5">
        <v>54</v>
      </c>
      <c r="H283" s="5">
        <f>IF(Table13_1[[#This Row],[smoker]]="yes",1,0)</f>
        <v>1</v>
      </c>
      <c r="I283" s="4">
        <v>40.564999999999998</v>
      </c>
      <c r="J283" s="4">
        <v>3</v>
      </c>
      <c r="K283" s="12">
        <v>48549.178399999997</v>
      </c>
      <c r="N283">
        <v>128</v>
      </c>
      <c r="O283">
        <v>13342.647469249105</v>
      </c>
      <c r="P283">
        <v>-3708.1094692491042</v>
      </c>
    </row>
    <row r="284" spans="1:16" x14ac:dyDescent="0.25">
      <c r="A284" s="4" t="s">
        <v>10</v>
      </c>
      <c r="B284" s="4">
        <f>ROUND(Table13_1[[#This Row],[bmi]],1)</f>
        <v>27.6</v>
      </c>
      <c r="C284" s="4" t="str" cm="1">
        <f t="array" ref="C284">_xlfn.IFS(Table13_1[[#This Row],[Round BMI]]&lt;18.5,"Underweight",AND(Table13_1[[#This Row],[Round BMI]]&gt;=18.5,Table13_1[[#This Row],[Round BMI]] &lt;=24.9),"Healthy Weight",AND(Table13_1[[#This Row],[Round BMI]]&gt;=25,Table13_1[[#This Row],[Round BMI]]&lt;=29.9),"Overweight",Table13_1[[#This Row],[Round BMI]]&gt;=30,"Obese")</f>
        <v>Overweight</v>
      </c>
      <c r="D284" s="4" t="s">
        <v>11</v>
      </c>
      <c r="E284" s="4" t="str">
        <f>IF(Table13_1[[#This Row],[smoker]]="yes","smoker","non-smoker")</f>
        <v>non-smoker</v>
      </c>
      <c r="F284" s="4" t="s">
        <v>14</v>
      </c>
      <c r="G284" s="5">
        <v>30</v>
      </c>
      <c r="H284" s="5">
        <f>IF(Table13_1[[#This Row],[smoker]]="yes",1,0)</f>
        <v>0</v>
      </c>
      <c r="I284" s="4">
        <v>27.645</v>
      </c>
      <c r="J284" s="4">
        <v>1</v>
      </c>
      <c r="K284" s="12">
        <v>4237.1265999999996</v>
      </c>
      <c r="N284">
        <v>129</v>
      </c>
      <c r="O284">
        <v>26624.509504961949</v>
      </c>
      <c r="P284">
        <v>6109.6767950380527</v>
      </c>
    </row>
    <row r="285" spans="1:16" x14ac:dyDescent="0.25">
      <c r="A285" s="4" t="s">
        <v>7</v>
      </c>
      <c r="B285" s="4">
        <f>ROUND(Table13_1[[#This Row],[bmi]],1)</f>
        <v>32.4</v>
      </c>
      <c r="C285" s="4" t="str" cm="1">
        <f t="array" ref="C285">_xlfn.IFS(Table13_1[[#This Row],[Round BMI]]&lt;18.5,"Underweight",AND(Table13_1[[#This Row],[Round BMI]]&gt;=18.5,Table13_1[[#This Row],[Round BMI]] &lt;=24.9),"Healthy Weight",AND(Table13_1[[#This Row],[Round BMI]]&gt;=25,Table13_1[[#This Row],[Round BMI]]&lt;=29.9),"Overweight",Table13_1[[#This Row],[Round BMI]]&gt;=30,"Obese")</f>
        <v>Obese</v>
      </c>
      <c r="D285" s="4" t="s">
        <v>11</v>
      </c>
      <c r="E285" s="4" t="str">
        <f>IF(Table13_1[[#This Row],[smoker]]="yes","smoker","non-smoker")</f>
        <v>non-smoker</v>
      </c>
      <c r="F285" s="4" t="s">
        <v>14</v>
      </c>
      <c r="G285" s="5">
        <v>55</v>
      </c>
      <c r="H285" s="5">
        <f>IF(Table13_1[[#This Row],[smoker]]="yes",1,0)</f>
        <v>0</v>
      </c>
      <c r="I285" s="4">
        <v>32.395000000000003</v>
      </c>
      <c r="J285" s="4">
        <v>1</v>
      </c>
      <c r="K285" s="12">
        <v>11879.103999999999</v>
      </c>
      <c r="N285">
        <v>130</v>
      </c>
      <c r="O285">
        <v>9810.7602100444947</v>
      </c>
      <c r="P285">
        <v>-3728.3552100444949</v>
      </c>
    </row>
    <row r="286" spans="1:16" x14ac:dyDescent="0.25">
      <c r="A286" s="4" t="s">
        <v>7</v>
      </c>
      <c r="B286" s="4">
        <f>ROUND(Table13_1[[#This Row],[bmi]],1)</f>
        <v>31.2</v>
      </c>
      <c r="C286" s="4" t="str" cm="1">
        <f t="array" ref="C286">_xlfn.IFS(Table13_1[[#This Row],[Round BMI]]&lt;18.5,"Underweight",AND(Table13_1[[#This Row],[Round BMI]]&gt;=18.5,Table13_1[[#This Row],[Round BMI]] &lt;=24.9),"Healthy Weight",AND(Table13_1[[#This Row],[Round BMI]]&gt;=25,Table13_1[[#This Row],[Round BMI]]&lt;=29.9),"Overweight",Table13_1[[#This Row],[Round BMI]]&gt;=30,"Obese")</f>
        <v>Obese</v>
      </c>
      <c r="D286" s="4" t="s">
        <v>11</v>
      </c>
      <c r="E286" s="4" t="str">
        <f>IF(Table13_1[[#This Row],[smoker]]="yes","smoker","non-smoker")</f>
        <v>non-smoker</v>
      </c>
      <c r="F286" s="4" t="s">
        <v>9</v>
      </c>
      <c r="G286" s="5">
        <v>52</v>
      </c>
      <c r="H286" s="5">
        <f>IF(Table13_1[[#This Row],[smoker]]="yes",1,0)</f>
        <v>0</v>
      </c>
      <c r="I286" s="4">
        <v>31.2</v>
      </c>
      <c r="J286" s="4">
        <v>0</v>
      </c>
      <c r="K286" s="12">
        <v>9625.92</v>
      </c>
      <c r="N286">
        <v>131</v>
      </c>
      <c r="O286">
        <v>11641.022986606586</v>
      </c>
      <c r="P286">
        <v>1174.4220133934141</v>
      </c>
    </row>
    <row r="287" spans="1:16" x14ac:dyDescent="0.25">
      <c r="A287" s="4" t="s">
        <v>10</v>
      </c>
      <c r="B287" s="4">
        <f>ROUND(Table13_1[[#This Row],[bmi]],1)</f>
        <v>26.6</v>
      </c>
      <c r="C287" s="4" t="str" cm="1">
        <f t="array" ref="C287">_xlfn.IFS(Table13_1[[#This Row],[Round BMI]]&lt;18.5,"Underweight",AND(Table13_1[[#This Row],[Round BMI]]&gt;=18.5,Table13_1[[#This Row],[Round BMI]] &lt;=24.9),"Healthy Weight",AND(Table13_1[[#This Row],[Round BMI]]&gt;=25,Table13_1[[#This Row],[Round BMI]]&lt;=29.9),"Overweight",Table13_1[[#This Row],[Round BMI]]&gt;=30,"Obese")</f>
        <v>Overweight</v>
      </c>
      <c r="D287" s="4" t="s">
        <v>11</v>
      </c>
      <c r="E287" s="4" t="str">
        <f>IF(Table13_1[[#This Row],[smoker]]="yes","smoker","non-smoker")</f>
        <v>non-smoker</v>
      </c>
      <c r="F287" s="4" t="s">
        <v>12</v>
      </c>
      <c r="G287" s="5">
        <v>46</v>
      </c>
      <c r="H287" s="5">
        <f>IF(Table13_1[[#This Row],[smoker]]="yes",1,0)</f>
        <v>0</v>
      </c>
      <c r="I287" s="4">
        <v>26.62</v>
      </c>
      <c r="J287" s="4">
        <v>1</v>
      </c>
      <c r="K287" s="12">
        <v>7742.1098000000002</v>
      </c>
      <c r="N287">
        <v>132</v>
      </c>
      <c r="O287">
        <v>10719.655487581284</v>
      </c>
      <c r="P287">
        <v>2896.703112418716</v>
      </c>
    </row>
    <row r="288" spans="1:16" x14ac:dyDescent="0.25">
      <c r="A288" s="4" t="s">
        <v>7</v>
      </c>
      <c r="B288" s="4">
        <f>ROUND(Table13_1[[#This Row],[bmi]],1)</f>
        <v>48.1</v>
      </c>
      <c r="C288" s="4" t="str" cm="1">
        <f t="array" ref="C288">_xlfn.IFS(Table13_1[[#This Row],[Round BMI]]&lt;18.5,"Underweight",AND(Table13_1[[#This Row],[Round BMI]]&gt;=18.5,Table13_1[[#This Row],[Round BMI]] &lt;=24.9),"Healthy Weight",AND(Table13_1[[#This Row],[Round BMI]]&gt;=25,Table13_1[[#This Row],[Round BMI]]&lt;=29.9),"Overweight",Table13_1[[#This Row],[Round BMI]]&gt;=30,"Obese")</f>
        <v>Obese</v>
      </c>
      <c r="D288" s="4" t="s">
        <v>11</v>
      </c>
      <c r="E288" s="4" t="str">
        <f>IF(Table13_1[[#This Row],[smoker]]="yes","smoker","non-smoker")</f>
        <v>non-smoker</v>
      </c>
      <c r="F288" s="4" t="s">
        <v>14</v>
      </c>
      <c r="G288" s="5">
        <v>46</v>
      </c>
      <c r="H288" s="5">
        <f>IF(Table13_1[[#This Row],[smoker]]="yes",1,0)</f>
        <v>0</v>
      </c>
      <c r="I288" s="4">
        <v>48.07</v>
      </c>
      <c r="J288" s="4">
        <v>2</v>
      </c>
      <c r="K288" s="12">
        <v>9432.9253000000008</v>
      </c>
      <c r="N288">
        <v>133</v>
      </c>
      <c r="O288">
        <v>14064.724503409288</v>
      </c>
      <c r="P288">
        <v>-2901.1565034092891</v>
      </c>
    </row>
    <row r="289" spans="1:16" x14ac:dyDescent="0.25">
      <c r="A289" s="4" t="s">
        <v>7</v>
      </c>
      <c r="B289" s="4">
        <f>ROUND(Table13_1[[#This Row],[bmi]],1)</f>
        <v>26.2</v>
      </c>
      <c r="C289" s="4" t="str" cm="1">
        <f t="array" ref="C289">_xlfn.IFS(Table13_1[[#This Row],[Round BMI]]&lt;18.5,"Underweight",AND(Table13_1[[#This Row],[Round BMI]]&gt;=18.5,Table13_1[[#This Row],[Round BMI]] &lt;=24.9),"Healthy Weight",AND(Table13_1[[#This Row],[Round BMI]]&gt;=25,Table13_1[[#This Row],[Round BMI]]&lt;=29.9),"Overweight",Table13_1[[#This Row],[Round BMI]]&gt;=30,"Obese")</f>
        <v>Overweight</v>
      </c>
      <c r="D289" s="4" t="s">
        <v>11</v>
      </c>
      <c r="E289" s="4" t="str">
        <f>IF(Table13_1[[#This Row],[smoker]]="yes","smoker","non-smoker")</f>
        <v>non-smoker</v>
      </c>
      <c r="F289" s="4" t="s">
        <v>13</v>
      </c>
      <c r="G289" s="5">
        <v>63</v>
      </c>
      <c r="H289" s="5">
        <f>IF(Table13_1[[#This Row],[smoker]]="yes",1,0)</f>
        <v>0</v>
      </c>
      <c r="I289" s="4">
        <v>26.22</v>
      </c>
      <c r="J289" s="4">
        <v>0</v>
      </c>
      <c r="K289" s="12">
        <v>14256.192800000001</v>
      </c>
      <c r="N289">
        <v>134</v>
      </c>
      <c r="O289">
        <v>1021.2838606931955</v>
      </c>
      <c r="P289">
        <v>611.28053930680449</v>
      </c>
    </row>
    <row r="290" spans="1:16" x14ac:dyDescent="0.25">
      <c r="A290" s="4" t="s">
        <v>7</v>
      </c>
      <c r="B290" s="4">
        <f>ROUND(Table13_1[[#This Row],[bmi]],1)</f>
        <v>36.799999999999997</v>
      </c>
      <c r="C290" s="4" t="str" cm="1">
        <f t="array" ref="C290">_xlfn.IFS(Table13_1[[#This Row],[Round BMI]]&lt;18.5,"Underweight",AND(Table13_1[[#This Row],[Round BMI]]&gt;=18.5,Table13_1[[#This Row],[Round BMI]] &lt;=24.9),"Healthy Weight",AND(Table13_1[[#This Row],[Round BMI]]&gt;=25,Table13_1[[#This Row],[Round BMI]]&lt;=29.9),"Overweight",Table13_1[[#This Row],[Round BMI]]&gt;=30,"Obese")</f>
        <v>Obese</v>
      </c>
      <c r="D290" s="4" t="s">
        <v>8</v>
      </c>
      <c r="E290" s="4" t="str">
        <f>IF(Table13_1[[#This Row],[smoker]]="yes","smoker","non-smoker")</f>
        <v>smoker</v>
      </c>
      <c r="F290" s="4" t="s">
        <v>14</v>
      </c>
      <c r="G290" s="5">
        <v>59</v>
      </c>
      <c r="H290" s="5">
        <f>IF(Table13_1[[#This Row],[smoker]]="yes",1,0)</f>
        <v>1</v>
      </c>
      <c r="I290" s="4">
        <v>36.765000000000001</v>
      </c>
      <c r="J290" s="4">
        <v>1</v>
      </c>
      <c r="K290" s="12">
        <v>47896.791400000002</v>
      </c>
      <c r="N290">
        <v>135</v>
      </c>
      <c r="O290">
        <v>2318.7133992006675</v>
      </c>
      <c r="P290">
        <v>138.49780079933271</v>
      </c>
    </row>
    <row r="291" spans="1:16" x14ac:dyDescent="0.25">
      <c r="A291" s="4" t="s">
        <v>10</v>
      </c>
      <c r="B291" s="4">
        <f>ROUND(Table13_1[[#This Row],[bmi]],1)</f>
        <v>26.4</v>
      </c>
      <c r="C291" s="4" t="str" cm="1">
        <f t="array" ref="C291">_xlfn.IFS(Table13_1[[#This Row],[Round BMI]]&lt;18.5,"Underweight",AND(Table13_1[[#This Row],[Round BMI]]&gt;=18.5,Table13_1[[#This Row],[Round BMI]] &lt;=24.9),"Healthy Weight",AND(Table13_1[[#This Row],[Round BMI]]&gt;=25,Table13_1[[#This Row],[Round BMI]]&lt;=29.9),"Overweight",Table13_1[[#This Row],[Round BMI]]&gt;=30,"Obese")</f>
        <v>Overweight</v>
      </c>
      <c r="D291" s="4" t="s">
        <v>11</v>
      </c>
      <c r="E291" s="4" t="str">
        <f>IF(Table13_1[[#This Row],[smoker]]="yes","smoker","non-smoker")</f>
        <v>non-smoker</v>
      </c>
      <c r="F291" s="4" t="s">
        <v>12</v>
      </c>
      <c r="G291" s="5">
        <v>52</v>
      </c>
      <c r="H291" s="5">
        <f>IF(Table13_1[[#This Row],[smoker]]="yes",1,0)</f>
        <v>0</v>
      </c>
      <c r="I291" s="4">
        <v>26.4</v>
      </c>
      <c r="J291" s="4">
        <v>3</v>
      </c>
      <c r="K291" s="12">
        <v>25992.821</v>
      </c>
      <c r="N291">
        <v>136</v>
      </c>
      <c r="O291">
        <v>2597.8516327730895</v>
      </c>
      <c r="P291">
        <v>-442.17013277308934</v>
      </c>
    </row>
    <row r="292" spans="1:16" x14ac:dyDescent="0.25">
      <c r="A292" s="4" t="s">
        <v>7</v>
      </c>
      <c r="B292" s="4">
        <f>ROUND(Table13_1[[#This Row],[bmi]],1)</f>
        <v>33.4</v>
      </c>
      <c r="C292" s="4" t="str" cm="1">
        <f t="array" ref="C292">_xlfn.IFS(Table13_1[[#This Row],[Round BMI]]&lt;18.5,"Underweight",AND(Table13_1[[#This Row],[Round BMI]]&gt;=18.5,Table13_1[[#This Row],[Round BMI]] &lt;=24.9),"Healthy Weight",AND(Table13_1[[#This Row],[Round BMI]]&gt;=25,Table13_1[[#This Row],[Round BMI]]&lt;=29.9),"Overweight",Table13_1[[#This Row],[Round BMI]]&gt;=30,"Obese")</f>
        <v>Obese</v>
      </c>
      <c r="D292" s="4" t="s">
        <v>11</v>
      </c>
      <c r="E292" s="4" t="str">
        <f>IF(Table13_1[[#This Row],[smoker]]="yes","smoker","non-smoker")</f>
        <v>non-smoker</v>
      </c>
      <c r="F292" s="4" t="s">
        <v>9</v>
      </c>
      <c r="G292" s="5">
        <v>28</v>
      </c>
      <c r="H292" s="5">
        <f>IF(Table13_1[[#This Row],[smoker]]="yes",1,0)</f>
        <v>0</v>
      </c>
      <c r="I292" s="4">
        <v>33.4</v>
      </c>
      <c r="J292" s="4">
        <v>0</v>
      </c>
      <c r="K292" s="12">
        <v>3172.018</v>
      </c>
      <c r="N292">
        <v>137</v>
      </c>
      <c r="O292">
        <v>3771.5040979713567</v>
      </c>
      <c r="P292">
        <v>-2510.0620979713567</v>
      </c>
    </row>
    <row r="293" spans="1:16" x14ac:dyDescent="0.25">
      <c r="A293" s="4" t="s">
        <v>10</v>
      </c>
      <c r="B293" s="4">
        <f>ROUND(Table13_1[[#This Row],[bmi]],1)</f>
        <v>29.6</v>
      </c>
      <c r="C293" s="4" t="str" cm="1">
        <f t="array" ref="C293">_xlfn.IFS(Table13_1[[#This Row],[Round BMI]]&lt;18.5,"Underweight",AND(Table13_1[[#This Row],[Round BMI]]&gt;=18.5,Table13_1[[#This Row],[Round BMI]] &lt;=24.9),"Healthy Weight",AND(Table13_1[[#This Row],[Round BMI]]&gt;=25,Table13_1[[#This Row],[Round BMI]]&lt;=29.9),"Overweight",Table13_1[[#This Row],[Round BMI]]&gt;=30,"Obese")</f>
        <v>Overweight</v>
      </c>
      <c r="D293" s="4" t="s">
        <v>11</v>
      </c>
      <c r="E293" s="4" t="str">
        <f>IF(Table13_1[[#This Row],[smoker]]="yes","smoker","non-smoker")</f>
        <v>non-smoker</v>
      </c>
      <c r="F293" s="4" t="s">
        <v>14</v>
      </c>
      <c r="G293" s="5">
        <v>29</v>
      </c>
      <c r="H293" s="5">
        <f>IF(Table13_1[[#This Row],[smoker]]="yes",1,0)</f>
        <v>0</v>
      </c>
      <c r="I293" s="4">
        <v>29.64</v>
      </c>
      <c r="J293" s="4">
        <v>1</v>
      </c>
      <c r="K293" s="12">
        <v>20277.807499999999</v>
      </c>
      <c r="N293">
        <v>138</v>
      </c>
      <c r="O293">
        <v>1672.5288496046032</v>
      </c>
      <c r="P293">
        <v>373.15635039539666</v>
      </c>
    </row>
    <row r="294" spans="1:16" x14ac:dyDescent="0.25">
      <c r="A294" s="4" t="s">
        <v>10</v>
      </c>
      <c r="B294" s="4">
        <f>ROUND(Table13_1[[#This Row],[bmi]],1)</f>
        <v>45.5</v>
      </c>
      <c r="C294" s="4" t="str" cm="1">
        <f t="array" ref="C294">_xlfn.IFS(Table13_1[[#This Row],[Round BMI]]&lt;18.5,"Underweight",AND(Table13_1[[#This Row],[Round BMI]]&gt;=18.5,Table13_1[[#This Row],[Round BMI]] &lt;=24.9),"Healthy Weight",AND(Table13_1[[#This Row],[Round BMI]]&gt;=25,Table13_1[[#This Row],[Round BMI]]&lt;=29.9),"Overweight",Table13_1[[#This Row],[Round BMI]]&gt;=30,"Obese")</f>
        <v>Obese</v>
      </c>
      <c r="D294" s="4" t="s">
        <v>8</v>
      </c>
      <c r="E294" s="4" t="str">
        <f>IF(Table13_1[[#This Row],[smoker]]="yes","smoker","non-smoker")</f>
        <v>smoker</v>
      </c>
      <c r="F294" s="4" t="s">
        <v>12</v>
      </c>
      <c r="G294" s="5">
        <v>25</v>
      </c>
      <c r="H294" s="5">
        <f>IF(Table13_1[[#This Row],[smoker]]="yes",1,0)</f>
        <v>1</v>
      </c>
      <c r="I294" s="4">
        <v>45.54</v>
      </c>
      <c r="J294" s="4">
        <v>2</v>
      </c>
      <c r="K294" s="12">
        <v>42112.2356</v>
      </c>
      <c r="N294">
        <v>139</v>
      </c>
      <c r="O294">
        <v>13508.670714920616</v>
      </c>
      <c r="P294">
        <v>13814.063185079383</v>
      </c>
    </row>
    <row r="295" spans="1:16" x14ac:dyDescent="0.25">
      <c r="A295" s="4" t="s">
        <v>7</v>
      </c>
      <c r="B295" s="4">
        <f>ROUND(Table13_1[[#This Row],[bmi]],1)</f>
        <v>28.8</v>
      </c>
      <c r="C295" s="4" t="str" cm="1">
        <f t="array" ref="C295">_xlfn.IFS(Table13_1[[#This Row],[Round BMI]]&lt;18.5,"Underweight",AND(Table13_1[[#This Row],[Round BMI]]&gt;=18.5,Table13_1[[#This Row],[Round BMI]] &lt;=24.9),"Healthy Weight",AND(Table13_1[[#This Row],[Round BMI]]&gt;=25,Table13_1[[#This Row],[Round BMI]]&lt;=29.9),"Overweight",Table13_1[[#This Row],[Round BMI]]&gt;=30,"Obese")</f>
        <v>Overweight</v>
      </c>
      <c r="D295" s="4" t="s">
        <v>11</v>
      </c>
      <c r="E295" s="4" t="str">
        <f>IF(Table13_1[[#This Row],[smoker]]="yes","smoker","non-smoker")</f>
        <v>non-smoker</v>
      </c>
      <c r="F295" s="4" t="s">
        <v>12</v>
      </c>
      <c r="G295" s="5">
        <v>22</v>
      </c>
      <c r="H295" s="5">
        <f>IF(Table13_1[[#This Row],[smoker]]="yes",1,0)</f>
        <v>0</v>
      </c>
      <c r="I295" s="4">
        <v>28.82</v>
      </c>
      <c r="J295" s="4">
        <v>0</v>
      </c>
      <c r="K295" s="12">
        <v>2156.7518</v>
      </c>
      <c r="N295">
        <v>140</v>
      </c>
      <c r="O295">
        <v>5156.5702853607281</v>
      </c>
      <c r="P295">
        <v>-2989.8382853607282</v>
      </c>
    </row>
    <row r="296" spans="1:16" x14ac:dyDescent="0.25">
      <c r="A296" s="4" t="s">
        <v>10</v>
      </c>
      <c r="B296" s="4">
        <f>ROUND(Table13_1[[#This Row],[bmi]],1)</f>
        <v>26.8</v>
      </c>
      <c r="C296" s="4" t="str" cm="1">
        <f t="array" ref="C296">_xlfn.IFS(Table13_1[[#This Row],[Round BMI]]&lt;18.5,"Underweight",AND(Table13_1[[#This Row],[Round BMI]]&gt;=18.5,Table13_1[[#This Row],[Round BMI]] &lt;=24.9),"Healthy Weight",AND(Table13_1[[#This Row],[Round BMI]]&gt;=25,Table13_1[[#This Row],[Round BMI]]&lt;=29.9),"Overweight",Table13_1[[#This Row],[Round BMI]]&gt;=30,"Obese")</f>
        <v>Overweight</v>
      </c>
      <c r="D296" s="4" t="s">
        <v>11</v>
      </c>
      <c r="E296" s="4" t="str">
        <f>IF(Table13_1[[#This Row],[smoker]]="yes","smoker","non-smoker")</f>
        <v>non-smoker</v>
      </c>
      <c r="F296" s="4" t="s">
        <v>9</v>
      </c>
      <c r="G296" s="5">
        <v>25</v>
      </c>
      <c r="H296" s="5">
        <f>IF(Table13_1[[#This Row],[smoker]]="yes",1,0)</f>
        <v>0</v>
      </c>
      <c r="I296" s="4">
        <v>26.8</v>
      </c>
      <c r="J296" s="4">
        <v>3</v>
      </c>
      <c r="K296" s="12">
        <v>3906.127</v>
      </c>
      <c r="N296">
        <v>141</v>
      </c>
      <c r="O296">
        <v>4827.0269538329812</v>
      </c>
      <c r="P296">
        <v>22548.877846167019</v>
      </c>
    </row>
    <row r="297" spans="1:16" x14ac:dyDescent="0.25">
      <c r="A297" s="4" t="s">
        <v>10</v>
      </c>
      <c r="B297" s="4">
        <f>ROUND(Table13_1[[#This Row],[bmi]],1)</f>
        <v>23</v>
      </c>
      <c r="C297" s="4" t="str" cm="1">
        <f t="array" ref="C297">_xlfn.IFS(Table13_1[[#This Row],[Round BMI]]&lt;18.5,"Underweight",AND(Table13_1[[#This Row],[Round BMI]]&gt;=18.5,Table13_1[[#This Row],[Round BMI]] &lt;=24.9),"Healthy Weight",AND(Table13_1[[#This Row],[Round BMI]]&gt;=25,Table13_1[[#This Row],[Round BMI]]&lt;=29.9),"Overweight",Table13_1[[#This Row],[Round BMI]]&gt;=30,"Obese")</f>
        <v>Healthy Weight</v>
      </c>
      <c r="D297" s="4" t="s">
        <v>11</v>
      </c>
      <c r="E297" s="4" t="str">
        <f>IF(Table13_1[[#This Row],[smoker]]="yes","smoker","non-smoker")</f>
        <v>non-smoker</v>
      </c>
      <c r="F297" s="4" t="s">
        <v>14</v>
      </c>
      <c r="G297" s="5">
        <v>18</v>
      </c>
      <c r="H297" s="5">
        <f>IF(Table13_1[[#This Row],[smoker]]="yes",1,0)</f>
        <v>0</v>
      </c>
      <c r="I297" s="4">
        <v>22.99</v>
      </c>
      <c r="J297" s="4">
        <v>0</v>
      </c>
      <c r="K297" s="12">
        <v>1704.5681</v>
      </c>
      <c r="N297">
        <v>142</v>
      </c>
      <c r="O297">
        <v>5531.7722062553194</v>
      </c>
      <c r="P297">
        <v>-2041.2231062553192</v>
      </c>
    </row>
    <row r="298" spans="1:16" x14ac:dyDescent="0.25">
      <c r="A298" s="4" t="s">
        <v>10</v>
      </c>
      <c r="B298" s="4">
        <f>ROUND(Table13_1[[#This Row],[bmi]],1)</f>
        <v>27.7</v>
      </c>
      <c r="C298" s="4" t="str" cm="1">
        <f t="array" ref="C298">_xlfn.IFS(Table13_1[[#This Row],[Round BMI]]&lt;18.5,"Underweight",AND(Table13_1[[#This Row],[Round BMI]]&gt;=18.5,Table13_1[[#This Row],[Round BMI]] &lt;=24.9),"Healthy Weight",AND(Table13_1[[#This Row],[Round BMI]]&gt;=25,Table13_1[[#This Row],[Round BMI]]&lt;=29.9),"Overweight",Table13_1[[#This Row],[Round BMI]]&gt;=30,"Obese")</f>
        <v>Overweight</v>
      </c>
      <c r="D298" s="4" t="s">
        <v>8</v>
      </c>
      <c r="E298" s="4" t="str">
        <f>IF(Table13_1[[#This Row],[smoker]]="yes","smoker","non-smoker")</f>
        <v>smoker</v>
      </c>
      <c r="F298" s="4" t="s">
        <v>9</v>
      </c>
      <c r="G298" s="5">
        <v>19</v>
      </c>
      <c r="H298" s="5">
        <f>IF(Table13_1[[#This Row],[smoker]]="yes",1,0)</f>
        <v>1</v>
      </c>
      <c r="I298" s="4">
        <v>27.7</v>
      </c>
      <c r="J298" s="4">
        <v>0</v>
      </c>
      <c r="K298" s="12">
        <v>16297.846</v>
      </c>
      <c r="N298">
        <v>143</v>
      </c>
      <c r="O298">
        <v>29565.358840031196</v>
      </c>
      <c r="P298">
        <v>-10592.863840031197</v>
      </c>
    </row>
    <row r="299" spans="1:16" x14ac:dyDescent="0.25">
      <c r="A299" s="4" t="s">
        <v>10</v>
      </c>
      <c r="B299" s="4">
        <f>ROUND(Table13_1[[#This Row],[bmi]],1)</f>
        <v>25.4</v>
      </c>
      <c r="C299" s="4" t="str" cm="1">
        <f t="array" ref="C299">_xlfn.IFS(Table13_1[[#This Row],[Round BMI]]&lt;18.5,"Underweight",AND(Table13_1[[#This Row],[Round BMI]]&gt;=18.5,Table13_1[[#This Row],[Round BMI]] &lt;=24.9),"Healthy Weight",AND(Table13_1[[#This Row],[Round BMI]]&gt;=25,Table13_1[[#This Row],[Round BMI]]&lt;=29.9),"Overweight",Table13_1[[#This Row],[Round BMI]]&gt;=30,"Obese")</f>
        <v>Overweight</v>
      </c>
      <c r="D299" s="4" t="s">
        <v>8</v>
      </c>
      <c r="E299" s="4" t="str">
        <f>IF(Table13_1[[#This Row],[smoker]]="yes","smoker","non-smoker")</f>
        <v>smoker</v>
      </c>
      <c r="F299" s="4" t="s">
        <v>12</v>
      </c>
      <c r="G299" s="5">
        <v>47</v>
      </c>
      <c r="H299" s="5">
        <f>IF(Table13_1[[#This Row],[smoker]]="yes",1,0)</f>
        <v>1</v>
      </c>
      <c r="I299" s="4">
        <v>25.41</v>
      </c>
      <c r="J299" s="4">
        <v>1</v>
      </c>
      <c r="K299" s="12">
        <v>21978.676899999999</v>
      </c>
      <c r="N299">
        <v>144</v>
      </c>
      <c r="O299">
        <v>5892.1224289646698</v>
      </c>
      <c r="P299">
        <v>12265.75357103533</v>
      </c>
    </row>
    <row r="300" spans="1:16" x14ac:dyDescent="0.25">
      <c r="A300" s="4" t="s">
        <v>10</v>
      </c>
      <c r="B300" s="4">
        <f>ROUND(Table13_1[[#This Row],[bmi]],1)</f>
        <v>34.4</v>
      </c>
      <c r="C300" s="4" t="str" cm="1">
        <f t="array" ref="C300">_xlfn.IFS(Table13_1[[#This Row],[Round BMI]]&lt;18.5,"Underweight",AND(Table13_1[[#This Row],[Round BMI]]&gt;=18.5,Table13_1[[#This Row],[Round BMI]] &lt;=24.9),"Healthy Weight",AND(Table13_1[[#This Row],[Round BMI]]&gt;=25,Table13_1[[#This Row],[Round BMI]]&lt;=29.9),"Overweight",Table13_1[[#This Row],[Round BMI]]&gt;=30,"Obese")</f>
        <v>Obese</v>
      </c>
      <c r="D300" s="4" t="s">
        <v>8</v>
      </c>
      <c r="E300" s="4" t="str">
        <f>IF(Table13_1[[#This Row],[smoker]]="yes","smoker","non-smoker")</f>
        <v>smoker</v>
      </c>
      <c r="F300" s="4" t="s">
        <v>13</v>
      </c>
      <c r="G300" s="5">
        <v>31</v>
      </c>
      <c r="H300" s="5">
        <f>IF(Table13_1[[#This Row],[smoker]]="yes",1,0)</f>
        <v>1</v>
      </c>
      <c r="I300" s="4">
        <v>34.39</v>
      </c>
      <c r="J300" s="4">
        <v>3</v>
      </c>
      <c r="K300" s="12">
        <v>38746.355100000001</v>
      </c>
      <c r="N300">
        <v>145</v>
      </c>
      <c r="O300">
        <v>30098.539381887305</v>
      </c>
      <c r="P300">
        <v>-9352.5502818873065</v>
      </c>
    </row>
    <row r="301" spans="1:16" x14ac:dyDescent="0.25">
      <c r="A301" s="4" t="s">
        <v>7</v>
      </c>
      <c r="B301" s="4">
        <f>ROUND(Table13_1[[#This Row],[bmi]],1)</f>
        <v>28.9</v>
      </c>
      <c r="C301" s="4" t="str" cm="1">
        <f t="array" ref="C301">_xlfn.IFS(Table13_1[[#This Row],[Round BMI]]&lt;18.5,"Underweight",AND(Table13_1[[#This Row],[Round BMI]]&gt;=18.5,Table13_1[[#This Row],[Round BMI]] &lt;=24.9),"Healthy Weight",AND(Table13_1[[#This Row],[Round BMI]]&gt;=25,Table13_1[[#This Row],[Round BMI]]&lt;=29.9),"Overweight",Table13_1[[#This Row],[Round BMI]]&gt;=30,"Obese")</f>
        <v>Overweight</v>
      </c>
      <c r="D301" s="4" t="s">
        <v>11</v>
      </c>
      <c r="E301" s="4" t="str">
        <f>IF(Table13_1[[#This Row],[smoker]]="yes","smoker","non-smoker")</f>
        <v>non-smoker</v>
      </c>
      <c r="F301" s="4" t="s">
        <v>13</v>
      </c>
      <c r="G301" s="5">
        <v>48</v>
      </c>
      <c r="H301" s="5">
        <f>IF(Table13_1[[#This Row],[smoker]]="yes",1,0)</f>
        <v>0</v>
      </c>
      <c r="I301" s="4">
        <v>28.88</v>
      </c>
      <c r="J301" s="4">
        <v>1</v>
      </c>
      <c r="K301" s="12">
        <v>9249.4951999999994</v>
      </c>
      <c r="N301">
        <v>146</v>
      </c>
      <c r="O301">
        <v>9292.863253351321</v>
      </c>
      <c r="P301">
        <v>-4154.6065533513211</v>
      </c>
    </row>
    <row r="302" spans="1:16" x14ac:dyDescent="0.25">
      <c r="A302" s="4" t="s">
        <v>10</v>
      </c>
      <c r="B302" s="4">
        <f>ROUND(Table13_1[[#This Row],[bmi]],1)</f>
        <v>27.6</v>
      </c>
      <c r="C302" s="4" t="str" cm="1">
        <f t="array" ref="C302">_xlfn.IFS(Table13_1[[#This Row],[Round BMI]]&lt;18.5,"Underweight",AND(Table13_1[[#This Row],[Round BMI]]&gt;=18.5,Table13_1[[#This Row],[Round BMI]] &lt;=24.9),"Healthy Weight",AND(Table13_1[[#This Row],[Round BMI]]&gt;=25,Table13_1[[#This Row],[Round BMI]]&lt;=29.9),"Overweight",Table13_1[[#This Row],[Round BMI]]&gt;=30,"Obese")</f>
        <v>Overweight</v>
      </c>
      <c r="D302" s="4" t="s">
        <v>11</v>
      </c>
      <c r="E302" s="4" t="str">
        <f>IF(Table13_1[[#This Row],[smoker]]="yes","smoker","non-smoker")</f>
        <v>non-smoker</v>
      </c>
      <c r="F302" s="4" t="s">
        <v>14</v>
      </c>
      <c r="G302" s="5">
        <v>36</v>
      </c>
      <c r="H302" s="5">
        <f>IF(Table13_1[[#This Row],[smoker]]="yes",1,0)</f>
        <v>0</v>
      </c>
      <c r="I302" s="4">
        <v>27.55</v>
      </c>
      <c r="J302" s="4">
        <v>3</v>
      </c>
      <c r="K302" s="12">
        <v>6746.7425000000003</v>
      </c>
      <c r="N302">
        <v>147</v>
      </c>
      <c r="O302">
        <v>34805.073281301389</v>
      </c>
      <c r="P302">
        <v>5915.4777186986103</v>
      </c>
    </row>
    <row r="303" spans="1:16" x14ac:dyDescent="0.25">
      <c r="A303" s="4" t="s">
        <v>7</v>
      </c>
      <c r="B303" s="4">
        <f>ROUND(Table13_1[[#This Row],[bmi]],1)</f>
        <v>22.6</v>
      </c>
      <c r="C303" s="4" t="str" cm="1">
        <f t="array" ref="C303">_xlfn.IFS(Table13_1[[#This Row],[Round BMI]]&lt;18.5,"Underweight",AND(Table13_1[[#This Row],[Round BMI]]&gt;=18.5,Table13_1[[#This Row],[Round BMI]] &lt;=24.9),"Healthy Weight",AND(Table13_1[[#This Row],[Round BMI]]&gt;=25,Table13_1[[#This Row],[Round BMI]]&lt;=29.9),"Overweight",Table13_1[[#This Row],[Round BMI]]&gt;=30,"Obese")</f>
        <v>Healthy Weight</v>
      </c>
      <c r="D303" s="4" t="s">
        <v>8</v>
      </c>
      <c r="E303" s="4" t="str">
        <f>IF(Table13_1[[#This Row],[smoker]]="yes","smoker","non-smoker")</f>
        <v>smoker</v>
      </c>
      <c r="F303" s="4" t="s">
        <v>14</v>
      </c>
      <c r="G303" s="5">
        <v>53</v>
      </c>
      <c r="H303" s="5">
        <f>IF(Table13_1[[#This Row],[smoker]]="yes",1,0)</f>
        <v>1</v>
      </c>
      <c r="I303" s="4">
        <v>22.61</v>
      </c>
      <c r="J303" s="4">
        <v>3</v>
      </c>
      <c r="K303" s="12">
        <v>24873.384900000001</v>
      </c>
      <c r="N303">
        <v>148</v>
      </c>
      <c r="O303">
        <v>13664.511240402171</v>
      </c>
      <c r="P303">
        <v>-3786.9035404021706</v>
      </c>
    </row>
    <row r="304" spans="1:16" x14ac:dyDescent="0.25">
      <c r="A304" s="4" t="s">
        <v>7</v>
      </c>
      <c r="B304" s="4">
        <f>ROUND(Table13_1[[#This Row],[bmi]],1)</f>
        <v>37.5</v>
      </c>
      <c r="C304" s="4" t="str" cm="1">
        <f t="array" ref="C304">_xlfn.IFS(Table13_1[[#This Row],[Round BMI]]&lt;18.5,"Underweight",AND(Table13_1[[#This Row],[Round BMI]]&gt;=18.5,Table13_1[[#This Row],[Round BMI]] &lt;=24.9),"Healthy Weight",AND(Table13_1[[#This Row],[Round BMI]]&gt;=25,Table13_1[[#This Row],[Round BMI]]&lt;=29.9),"Overweight",Table13_1[[#This Row],[Round BMI]]&gt;=30,"Obese")</f>
        <v>Obese</v>
      </c>
      <c r="D304" s="4" t="s">
        <v>11</v>
      </c>
      <c r="E304" s="4" t="str">
        <f>IF(Table13_1[[#This Row],[smoker]]="yes","smoker","non-smoker")</f>
        <v>non-smoker</v>
      </c>
      <c r="F304" s="4" t="s">
        <v>12</v>
      </c>
      <c r="G304" s="5">
        <v>56</v>
      </c>
      <c r="H304" s="5">
        <f>IF(Table13_1[[#This Row],[smoker]]="yes",1,0)</f>
        <v>0</v>
      </c>
      <c r="I304" s="4">
        <v>37.51</v>
      </c>
      <c r="J304" s="4">
        <v>2</v>
      </c>
      <c r="K304" s="12">
        <v>12265.5069</v>
      </c>
      <c r="N304">
        <v>149</v>
      </c>
      <c r="O304">
        <v>14083.654834210522</v>
      </c>
      <c r="P304">
        <v>-3123.9601342105216</v>
      </c>
    </row>
    <row r="305" spans="1:16" x14ac:dyDescent="0.25">
      <c r="A305" s="4" t="s">
        <v>7</v>
      </c>
      <c r="B305" s="4">
        <f>ROUND(Table13_1[[#This Row],[bmi]],1)</f>
        <v>33</v>
      </c>
      <c r="C305" s="4" t="str" cm="1">
        <f t="array" ref="C305">_xlfn.IFS(Table13_1[[#This Row],[Round BMI]]&lt;18.5,"Underweight",AND(Table13_1[[#This Row],[Round BMI]]&gt;=18.5,Table13_1[[#This Row],[Round BMI]] &lt;=24.9),"Healthy Weight",AND(Table13_1[[#This Row],[Round BMI]]&gt;=25,Table13_1[[#This Row],[Round BMI]]&lt;=29.9),"Overweight",Table13_1[[#This Row],[Round BMI]]&gt;=30,"Obese")</f>
        <v>Obese</v>
      </c>
      <c r="D305" s="4" t="s">
        <v>11</v>
      </c>
      <c r="E305" s="4" t="str">
        <f>IF(Table13_1[[#This Row],[smoker]]="yes","smoker","non-smoker")</f>
        <v>non-smoker</v>
      </c>
      <c r="F305" s="4" t="s">
        <v>12</v>
      </c>
      <c r="G305" s="5">
        <v>28</v>
      </c>
      <c r="H305" s="5">
        <f>IF(Table13_1[[#This Row],[smoker]]="yes",1,0)</f>
        <v>0</v>
      </c>
      <c r="I305" s="4">
        <v>33</v>
      </c>
      <c r="J305" s="4">
        <v>2</v>
      </c>
      <c r="K305" s="12">
        <v>4349.4620000000004</v>
      </c>
      <c r="N305">
        <v>150</v>
      </c>
      <c r="O305">
        <v>2410.4534173222696</v>
      </c>
      <c r="P305">
        <v>-567.93441732226961</v>
      </c>
    </row>
    <row r="306" spans="1:16" x14ac:dyDescent="0.25">
      <c r="A306" s="4" t="s">
        <v>7</v>
      </c>
      <c r="B306" s="4">
        <f>ROUND(Table13_1[[#This Row],[bmi]],1)</f>
        <v>38</v>
      </c>
      <c r="C306" s="4" t="str" cm="1">
        <f t="array" ref="C306">_xlfn.IFS(Table13_1[[#This Row],[Round BMI]]&lt;18.5,"Underweight",AND(Table13_1[[#This Row],[Round BMI]]&gt;=18.5,Table13_1[[#This Row],[Round BMI]] &lt;=24.9),"Healthy Weight",AND(Table13_1[[#This Row],[Round BMI]]&gt;=25,Table13_1[[#This Row],[Round BMI]]&lt;=29.9),"Overweight",Table13_1[[#This Row],[Round BMI]]&gt;=30,"Obese")</f>
        <v>Obese</v>
      </c>
      <c r="D306" s="4" t="s">
        <v>11</v>
      </c>
      <c r="E306" s="4" t="str">
        <f>IF(Table13_1[[#This Row],[smoker]]="yes","smoker","non-smoker")</f>
        <v>non-smoker</v>
      </c>
      <c r="F306" s="4" t="s">
        <v>9</v>
      </c>
      <c r="G306" s="5">
        <v>57</v>
      </c>
      <c r="H306" s="5">
        <f>IF(Table13_1[[#This Row],[smoker]]="yes",1,0)</f>
        <v>0</v>
      </c>
      <c r="I306" s="4">
        <v>38</v>
      </c>
      <c r="J306" s="4">
        <v>2</v>
      </c>
      <c r="K306" s="12">
        <v>12646.207</v>
      </c>
      <c r="N306">
        <v>151</v>
      </c>
      <c r="O306">
        <v>5161.740044475986</v>
      </c>
      <c r="P306">
        <v>-36.524344475986254</v>
      </c>
    </row>
    <row r="307" spans="1:16" x14ac:dyDescent="0.25">
      <c r="A307" s="4" t="s">
        <v>10</v>
      </c>
      <c r="B307" s="4">
        <f>ROUND(Table13_1[[#This Row],[bmi]],1)</f>
        <v>33.299999999999997</v>
      </c>
      <c r="C307" s="4" t="str" cm="1">
        <f t="array" ref="C307">_xlfn.IFS(Table13_1[[#This Row],[Round BMI]]&lt;18.5,"Underweight",AND(Table13_1[[#This Row],[Round BMI]]&gt;=18.5,Table13_1[[#This Row],[Round BMI]] &lt;=24.9),"Healthy Weight",AND(Table13_1[[#This Row],[Round BMI]]&gt;=25,Table13_1[[#This Row],[Round BMI]]&lt;=29.9),"Overweight",Table13_1[[#This Row],[Round BMI]]&gt;=30,"Obese")</f>
        <v>Obese</v>
      </c>
      <c r="D307" s="4" t="s">
        <v>11</v>
      </c>
      <c r="E307" s="4" t="str">
        <f>IF(Table13_1[[#This Row],[smoker]]="yes","smoker","non-smoker")</f>
        <v>non-smoker</v>
      </c>
      <c r="F307" s="4" t="s">
        <v>13</v>
      </c>
      <c r="G307" s="5">
        <v>29</v>
      </c>
      <c r="H307" s="5">
        <f>IF(Table13_1[[#This Row],[smoker]]="yes",1,0)</f>
        <v>0</v>
      </c>
      <c r="I307" s="4">
        <v>33.344999999999999</v>
      </c>
      <c r="J307" s="4">
        <v>2</v>
      </c>
      <c r="K307" s="12">
        <v>19442.353500000001</v>
      </c>
      <c r="N307">
        <v>152</v>
      </c>
      <c r="O307">
        <v>9832.9936380503459</v>
      </c>
      <c r="P307">
        <v>-2043.3586380503457</v>
      </c>
    </row>
    <row r="308" spans="1:16" x14ac:dyDescent="0.25">
      <c r="A308" s="4" t="s">
        <v>7</v>
      </c>
      <c r="B308" s="4">
        <f>ROUND(Table13_1[[#This Row],[bmi]],1)</f>
        <v>27.5</v>
      </c>
      <c r="C308" s="4" t="str" cm="1">
        <f t="array" ref="C308">_xlfn.IFS(Table13_1[[#This Row],[Round BMI]]&lt;18.5,"Underweight",AND(Table13_1[[#This Row],[Round BMI]]&gt;=18.5,Table13_1[[#This Row],[Round BMI]] &lt;=24.9),"Healthy Weight",AND(Table13_1[[#This Row],[Round BMI]]&gt;=25,Table13_1[[#This Row],[Round BMI]]&lt;=29.9),"Overweight",Table13_1[[#This Row],[Round BMI]]&gt;=30,"Obese")</f>
        <v>Overweight</v>
      </c>
      <c r="D308" s="4" t="s">
        <v>11</v>
      </c>
      <c r="E308" s="4" t="str">
        <f>IF(Table13_1[[#This Row],[smoker]]="yes","smoker","non-smoker")</f>
        <v>non-smoker</v>
      </c>
      <c r="F308" s="4" t="s">
        <v>9</v>
      </c>
      <c r="G308" s="5">
        <v>28</v>
      </c>
      <c r="H308" s="5">
        <f>IF(Table13_1[[#This Row],[smoker]]="yes",1,0)</f>
        <v>0</v>
      </c>
      <c r="I308" s="4">
        <v>27.5</v>
      </c>
      <c r="J308" s="4">
        <v>2</v>
      </c>
      <c r="K308" s="12">
        <v>20177.6711</v>
      </c>
      <c r="N308">
        <v>153</v>
      </c>
      <c r="O308">
        <v>9524.0921615549469</v>
      </c>
      <c r="P308">
        <v>-3189.7485615549467</v>
      </c>
    </row>
    <row r="309" spans="1:16" x14ac:dyDescent="0.25">
      <c r="A309" s="4" t="s">
        <v>7</v>
      </c>
      <c r="B309" s="4">
        <f>ROUND(Table13_1[[#This Row],[bmi]],1)</f>
        <v>33.299999999999997</v>
      </c>
      <c r="C309" s="4" t="str" cm="1">
        <f t="array" ref="C309">_xlfn.IFS(Table13_1[[#This Row],[Round BMI]]&lt;18.5,"Underweight",AND(Table13_1[[#This Row],[Round BMI]]&gt;=18.5,Table13_1[[#This Row],[Round BMI]] &lt;=24.9),"Healthy Weight",AND(Table13_1[[#This Row],[Round BMI]]&gt;=25,Table13_1[[#This Row],[Round BMI]]&lt;=29.9),"Overweight",Table13_1[[#This Row],[Round BMI]]&gt;=30,"Obese")</f>
        <v>Obese</v>
      </c>
      <c r="D309" s="4" t="s">
        <v>11</v>
      </c>
      <c r="E309" s="4" t="str">
        <f>IF(Table13_1[[#This Row],[smoker]]="yes","smoker","non-smoker")</f>
        <v>non-smoker</v>
      </c>
      <c r="F309" s="4" t="s">
        <v>12</v>
      </c>
      <c r="G309" s="5">
        <v>30</v>
      </c>
      <c r="H309" s="5">
        <f>IF(Table13_1[[#This Row],[smoker]]="yes",1,0)</f>
        <v>0</v>
      </c>
      <c r="I309" s="4">
        <v>33.33</v>
      </c>
      <c r="J309" s="4">
        <v>1</v>
      </c>
      <c r="K309" s="12">
        <v>4151.0286999999998</v>
      </c>
      <c r="N309">
        <v>154</v>
      </c>
      <c r="O309">
        <v>30059.97706009886</v>
      </c>
      <c r="P309">
        <v>-10095.230760098861</v>
      </c>
    </row>
    <row r="310" spans="1:16" x14ac:dyDescent="0.25">
      <c r="A310" s="4" t="s">
        <v>10</v>
      </c>
      <c r="B310" s="4">
        <f>ROUND(Table13_1[[#This Row],[bmi]],1)</f>
        <v>34.9</v>
      </c>
      <c r="C310" s="4" t="str" cm="1">
        <f t="array" ref="C310">_xlfn.IFS(Table13_1[[#This Row],[Round BMI]]&lt;18.5,"Underweight",AND(Table13_1[[#This Row],[Round BMI]]&gt;=18.5,Table13_1[[#This Row],[Round BMI]] &lt;=24.9),"Healthy Weight",AND(Table13_1[[#This Row],[Round BMI]]&gt;=25,Table13_1[[#This Row],[Round BMI]]&lt;=29.9),"Overweight",Table13_1[[#This Row],[Round BMI]]&gt;=30,"Obese")</f>
        <v>Obese</v>
      </c>
      <c r="D310" s="4" t="s">
        <v>11</v>
      </c>
      <c r="E310" s="4" t="str">
        <f>IF(Table13_1[[#This Row],[smoker]]="yes","smoker","non-smoker")</f>
        <v>non-smoker</v>
      </c>
      <c r="F310" s="4" t="s">
        <v>14</v>
      </c>
      <c r="G310" s="5">
        <v>58</v>
      </c>
      <c r="H310" s="5">
        <f>IF(Table13_1[[#This Row],[smoker]]="yes",1,0)</f>
        <v>0</v>
      </c>
      <c r="I310" s="4">
        <v>34.865000000000002</v>
      </c>
      <c r="J310" s="4">
        <v>0</v>
      </c>
      <c r="K310" s="12">
        <v>11944.5944</v>
      </c>
      <c r="N310">
        <v>155</v>
      </c>
      <c r="O310">
        <v>6879.049946906579</v>
      </c>
      <c r="P310">
        <v>198.13945309342125</v>
      </c>
    </row>
    <row r="311" spans="1:16" x14ac:dyDescent="0.25">
      <c r="A311" s="4" t="s">
        <v>7</v>
      </c>
      <c r="B311" s="4">
        <f>ROUND(Table13_1[[#This Row],[bmi]],1)</f>
        <v>33.1</v>
      </c>
      <c r="C311" s="4" t="str" cm="1">
        <f t="array" ref="C311">_xlfn.IFS(Table13_1[[#This Row],[Round BMI]]&lt;18.5,"Underweight",AND(Table13_1[[#This Row],[Round BMI]]&gt;=18.5,Table13_1[[#This Row],[Round BMI]] &lt;=24.9),"Healthy Weight",AND(Table13_1[[#This Row],[Round BMI]]&gt;=25,Table13_1[[#This Row],[Round BMI]]&lt;=29.9),"Overweight",Table13_1[[#This Row],[Round BMI]]&gt;=30,"Obese")</f>
        <v>Obese</v>
      </c>
      <c r="D311" s="4" t="s">
        <v>11</v>
      </c>
      <c r="E311" s="4" t="str">
        <f>IF(Table13_1[[#This Row],[smoker]]="yes","smoker","non-smoker")</f>
        <v>non-smoker</v>
      </c>
      <c r="F311" s="4" t="s">
        <v>13</v>
      </c>
      <c r="G311" s="5">
        <v>41</v>
      </c>
      <c r="H311" s="5">
        <f>IF(Table13_1[[#This Row],[smoker]]="yes",1,0)</f>
        <v>0</v>
      </c>
      <c r="I311" s="4">
        <v>33.06</v>
      </c>
      <c r="J311" s="4">
        <v>2</v>
      </c>
      <c r="K311" s="12">
        <v>7749.1563999999998</v>
      </c>
      <c r="N311">
        <v>156</v>
      </c>
      <c r="O311">
        <v>11962.176384629629</v>
      </c>
      <c r="P311">
        <v>-5013.4755846296293</v>
      </c>
    </row>
    <row r="312" spans="1:16" x14ac:dyDescent="0.25">
      <c r="A312" s="4" t="s">
        <v>10</v>
      </c>
      <c r="B312" s="4">
        <f>ROUND(Table13_1[[#This Row],[bmi]],1)</f>
        <v>26.6</v>
      </c>
      <c r="C312" s="4" t="str" cm="1">
        <f t="array" ref="C312">_xlfn.IFS(Table13_1[[#This Row],[Round BMI]]&lt;18.5,"Underweight",AND(Table13_1[[#This Row],[Round BMI]]&gt;=18.5,Table13_1[[#This Row],[Round BMI]] &lt;=24.9),"Healthy Weight",AND(Table13_1[[#This Row],[Round BMI]]&gt;=25,Table13_1[[#This Row],[Round BMI]]&lt;=29.9),"Overweight",Table13_1[[#This Row],[Round BMI]]&gt;=30,"Obese")</f>
        <v>Overweight</v>
      </c>
      <c r="D312" s="4" t="s">
        <v>11</v>
      </c>
      <c r="E312" s="4" t="str">
        <f>IF(Table13_1[[#This Row],[smoker]]="yes","smoker","non-smoker")</f>
        <v>non-smoker</v>
      </c>
      <c r="F312" s="4" t="s">
        <v>9</v>
      </c>
      <c r="G312" s="5">
        <v>50</v>
      </c>
      <c r="H312" s="5">
        <f>IF(Table13_1[[#This Row],[smoker]]="yes",1,0)</f>
        <v>0</v>
      </c>
      <c r="I312" s="4">
        <v>26.6</v>
      </c>
      <c r="J312" s="4">
        <v>0</v>
      </c>
      <c r="K312" s="12">
        <v>8444.4740000000002</v>
      </c>
      <c r="N312">
        <v>157</v>
      </c>
      <c r="O312">
        <v>31945.018077064266</v>
      </c>
      <c r="P312">
        <v>-10721.342277064265</v>
      </c>
    </row>
    <row r="313" spans="1:16" x14ac:dyDescent="0.25">
      <c r="A313" s="4" t="s">
        <v>7</v>
      </c>
      <c r="B313" s="4">
        <f>ROUND(Table13_1[[#This Row],[bmi]],1)</f>
        <v>24.7</v>
      </c>
      <c r="C313" s="4" t="str" cm="1">
        <f t="array" ref="C313">_xlfn.IFS(Table13_1[[#This Row],[Round BMI]]&lt;18.5,"Underweight",AND(Table13_1[[#This Row],[Round BMI]]&gt;=18.5,Table13_1[[#This Row],[Round BMI]] &lt;=24.9),"Healthy Weight",AND(Table13_1[[#This Row],[Round BMI]]&gt;=25,Table13_1[[#This Row],[Round BMI]]&lt;=29.9),"Overweight",Table13_1[[#This Row],[Round BMI]]&gt;=30,"Obese")</f>
        <v>Healthy Weight</v>
      </c>
      <c r="D313" s="4" t="s">
        <v>11</v>
      </c>
      <c r="E313" s="4" t="str">
        <f>IF(Table13_1[[#This Row],[smoker]]="yes","smoker","non-smoker")</f>
        <v>non-smoker</v>
      </c>
      <c r="F313" s="4" t="s">
        <v>9</v>
      </c>
      <c r="G313" s="5">
        <v>19</v>
      </c>
      <c r="H313" s="5">
        <f>IF(Table13_1[[#This Row],[smoker]]="yes",1,0)</f>
        <v>0</v>
      </c>
      <c r="I313" s="4">
        <v>24.7</v>
      </c>
      <c r="J313" s="4">
        <v>0</v>
      </c>
      <c r="K313" s="12">
        <v>1737.376</v>
      </c>
      <c r="N313">
        <v>158</v>
      </c>
      <c r="O313">
        <v>24452.530666298702</v>
      </c>
      <c r="P313">
        <v>-8934.3504662987016</v>
      </c>
    </row>
    <row r="314" spans="1:16" x14ac:dyDescent="0.25">
      <c r="A314" s="4" t="s">
        <v>10</v>
      </c>
      <c r="B314" s="4">
        <f>ROUND(Table13_1[[#This Row],[bmi]],1)</f>
        <v>36</v>
      </c>
      <c r="C314" s="4" t="str" cm="1">
        <f t="array" ref="C314">_xlfn.IFS(Table13_1[[#This Row],[Round BMI]]&lt;18.5,"Underweight",AND(Table13_1[[#This Row],[Round BMI]]&gt;=18.5,Table13_1[[#This Row],[Round BMI]] &lt;=24.9),"Healthy Weight",AND(Table13_1[[#This Row],[Round BMI]]&gt;=25,Table13_1[[#This Row],[Round BMI]]&lt;=29.9),"Overweight",Table13_1[[#This Row],[Round BMI]]&gt;=30,"Obese")</f>
        <v>Obese</v>
      </c>
      <c r="D314" s="4" t="s">
        <v>8</v>
      </c>
      <c r="E314" s="4" t="str">
        <f>IF(Table13_1[[#This Row],[smoker]]="yes","smoker","non-smoker")</f>
        <v>smoker</v>
      </c>
      <c r="F314" s="4" t="s">
        <v>12</v>
      </c>
      <c r="G314" s="5">
        <v>43</v>
      </c>
      <c r="H314" s="5">
        <f>IF(Table13_1[[#This Row],[smoker]]="yes",1,0)</f>
        <v>1</v>
      </c>
      <c r="I314" s="4">
        <v>35.97</v>
      </c>
      <c r="J314" s="4">
        <v>3</v>
      </c>
      <c r="K314" s="12">
        <v>42124.515299999999</v>
      </c>
      <c r="N314">
        <v>159</v>
      </c>
      <c r="O314">
        <v>30879.496030683731</v>
      </c>
      <c r="P314">
        <v>6070.760669316267</v>
      </c>
    </row>
    <row r="315" spans="1:16" x14ac:dyDescent="0.25">
      <c r="A315" s="4" t="s">
        <v>10</v>
      </c>
      <c r="B315" s="4">
        <f>ROUND(Table13_1[[#This Row],[bmi]],1)</f>
        <v>35.9</v>
      </c>
      <c r="C315" s="4" t="str" cm="1">
        <f t="array" ref="C315">_xlfn.IFS(Table13_1[[#This Row],[Round BMI]]&lt;18.5,"Underweight",AND(Table13_1[[#This Row],[Round BMI]]&gt;=18.5,Table13_1[[#This Row],[Round BMI]] &lt;=24.9),"Healthy Weight",AND(Table13_1[[#This Row],[Round BMI]]&gt;=25,Table13_1[[#This Row],[Round BMI]]&lt;=29.9),"Overweight",Table13_1[[#This Row],[Round BMI]]&gt;=30,"Obese")</f>
        <v>Obese</v>
      </c>
      <c r="D315" s="4" t="s">
        <v>11</v>
      </c>
      <c r="E315" s="4" t="str">
        <f>IF(Table13_1[[#This Row],[smoker]]="yes","smoker","non-smoker")</f>
        <v>non-smoker</v>
      </c>
      <c r="F315" s="4" t="s">
        <v>12</v>
      </c>
      <c r="G315" s="5">
        <v>49</v>
      </c>
      <c r="H315" s="5">
        <f>IF(Table13_1[[#This Row],[smoker]]="yes",1,0)</f>
        <v>0</v>
      </c>
      <c r="I315" s="4">
        <v>35.86</v>
      </c>
      <c r="J315" s="4">
        <v>0</v>
      </c>
      <c r="K315" s="12">
        <v>8124.4084000000003</v>
      </c>
      <c r="N315">
        <v>160</v>
      </c>
      <c r="O315">
        <v>11167.337476035458</v>
      </c>
      <c r="P315">
        <v>8582.0459239645406</v>
      </c>
    </row>
    <row r="316" spans="1:16" x14ac:dyDescent="0.25">
      <c r="A316" s="4" t="s">
        <v>7</v>
      </c>
      <c r="B316" s="4">
        <f>ROUND(Table13_1[[#This Row],[bmi]],1)</f>
        <v>31.4</v>
      </c>
      <c r="C316" s="4" t="str" cm="1">
        <f t="array" ref="C316">_xlfn.IFS(Table13_1[[#This Row],[Round BMI]]&lt;18.5,"Underweight",AND(Table13_1[[#This Row],[Round BMI]]&gt;=18.5,Table13_1[[#This Row],[Round BMI]] &lt;=24.9),"Healthy Weight",AND(Table13_1[[#This Row],[Round BMI]]&gt;=25,Table13_1[[#This Row],[Round BMI]]&lt;=29.9),"Overweight",Table13_1[[#This Row],[Round BMI]]&gt;=30,"Obese")</f>
        <v>Obese</v>
      </c>
      <c r="D316" s="4" t="s">
        <v>8</v>
      </c>
      <c r="E316" s="4" t="str">
        <f>IF(Table13_1[[#This Row],[smoker]]="yes","smoker","non-smoker")</f>
        <v>smoker</v>
      </c>
      <c r="F316" s="4" t="s">
        <v>9</v>
      </c>
      <c r="G316" s="5">
        <v>27</v>
      </c>
      <c r="H316" s="5">
        <f>IF(Table13_1[[#This Row],[smoker]]="yes",1,0)</f>
        <v>1</v>
      </c>
      <c r="I316" s="4">
        <v>31.4</v>
      </c>
      <c r="J316" s="4">
        <v>0</v>
      </c>
      <c r="K316" s="12">
        <v>34838.873</v>
      </c>
      <c r="N316">
        <v>161</v>
      </c>
      <c r="O316">
        <v>31099.557091275976</v>
      </c>
      <c r="P316">
        <v>-9750.8510912759775</v>
      </c>
    </row>
    <row r="317" spans="1:16" x14ac:dyDescent="0.25">
      <c r="A317" s="4" t="s">
        <v>10</v>
      </c>
      <c r="B317" s="4">
        <f>ROUND(Table13_1[[#This Row],[bmi]],1)</f>
        <v>33.299999999999997</v>
      </c>
      <c r="C317" s="4" t="str" cm="1">
        <f t="array" ref="C317">_xlfn.IFS(Table13_1[[#This Row],[Round BMI]]&lt;18.5,"Underweight",AND(Table13_1[[#This Row],[Round BMI]]&gt;=18.5,Table13_1[[#This Row],[Round BMI]] &lt;=24.9),"Healthy Weight",AND(Table13_1[[#This Row],[Round BMI]]&gt;=25,Table13_1[[#This Row],[Round BMI]]&lt;=29.9),"Overweight",Table13_1[[#This Row],[Round BMI]]&gt;=30,"Obese")</f>
        <v>Obese</v>
      </c>
      <c r="D317" s="4" t="s">
        <v>11</v>
      </c>
      <c r="E317" s="4" t="str">
        <f>IF(Table13_1[[#This Row],[smoker]]="yes","smoker","non-smoker")</f>
        <v>non-smoker</v>
      </c>
      <c r="F317" s="4" t="s">
        <v>14</v>
      </c>
      <c r="G317" s="5">
        <v>52</v>
      </c>
      <c r="H317" s="5">
        <f>IF(Table13_1[[#This Row],[smoker]]="yes",1,0)</f>
        <v>0</v>
      </c>
      <c r="I317" s="4">
        <v>33.25</v>
      </c>
      <c r="J317" s="4">
        <v>0</v>
      </c>
      <c r="K317" s="12">
        <v>9722.7695000000003</v>
      </c>
      <c r="N317">
        <v>162</v>
      </c>
      <c r="O317">
        <v>28210.14579446986</v>
      </c>
      <c r="P317">
        <v>7939.3377055301426</v>
      </c>
    </row>
    <row r="318" spans="1:16" x14ac:dyDescent="0.25">
      <c r="A318" s="4" t="s">
        <v>10</v>
      </c>
      <c r="B318" s="4">
        <f>ROUND(Table13_1[[#This Row],[bmi]],1)</f>
        <v>32.200000000000003</v>
      </c>
      <c r="C318" s="4" t="str" cm="1">
        <f t="array" ref="C318">_xlfn.IFS(Table13_1[[#This Row],[Round BMI]]&lt;18.5,"Underweight",AND(Table13_1[[#This Row],[Round BMI]]&gt;=18.5,Table13_1[[#This Row],[Round BMI]] &lt;=24.9),"Healthy Weight",AND(Table13_1[[#This Row],[Round BMI]]&gt;=25,Table13_1[[#This Row],[Round BMI]]&lt;=29.9),"Overweight",Table13_1[[#This Row],[Round BMI]]&gt;=30,"Obese")</f>
        <v>Obese</v>
      </c>
      <c r="D318" s="4" t="s">
        <v>11</v>
      </c>
      <c r="E318" s="4" t="str">
        <f>IF(Table13_1[[#This Row],[smoker]]="yes","smoker","non-smoker")</f>
        <v>non-smoker</v>
      </c>
      <c r="F318" s="4" t="s">
        <v>13</v>
      </c>
      <c r="G318" s="5">
        <v>50</v>
      </c>
      <c r="H318" s="5">
        <f>IF(Table13_1[[#This Row],[smoker]]="yes",1,0)</f>
        <v>0</v>
      </c>
      <c r="I318" s="4">
        <v>32.204999999999998</v>
      </c>
      <c r="J318" s="4">
        <v>0</v>
      </c>
      <c r="K318" s="12">
        <v>8835.2649999999994</v>
      </c>
      <c r="N318">
        <v>163</v>
      </c>
      <c r="O318">
        <v>15039.921885706308</v>
      </c>
      <c r="P318">
        <v>-4589.3698857063082</v>
      </c>
    </row>
    <row r="319" spans="1:16" x14ac:dyDescent="0.25">
      <c r="A319" s="4" t="s">
        <v>10</v>
      </c>
      <c r="B319" s="4">
        <f>ROUND(Table13_1[[#This Row],[bmi]],1)</f>
        <v>32.799999999999997</v>
      </c>
      <c r="C319" s="4" t="str" cm="1">
        <f t="array" ref="C319">_xlfn.IFS(Table13_1[[#This Row],[Round BMI]]&lt;18.5,"Underweight",AND(Table13_1[[#This Row],[Round BMI]]&gt;=18.5,Table13_1[[#This Row],[Round BMI]] &lt;=24.9),"Healthy Weight",AND(Table13_1[[#This Row],[Round BMI]]&gt;=25,Table13_1[[#This Row],[Round BMI]]&lt;=29.9),"Overweight",Table13_1[[#This Row],[Round BMI]]&gt;=30,"Obese")</f>
        <v>Obese</v>
      </c>
      <c r="D319" s="4" t="s">
        <v>11</v>
      </c>
      <c r="E319" s="4" t="str">
        <f>IF(Table13_1[[#This Row],[smoker]]="yes","smoker","non-smoker")</f>
        <v>non-smoker</v>
      </c>
      <c r="F319" s="4" t="s">
        <v>14</v>
      </c>
      <c r="G319" s="5">
        <v>54</v>
      </c>
      <c r="H319" s="5">
        <f>IF(Table13_1[[#This Row],[smoker]]="yes",1,0)</f>
        <v>0</v>
      </c>
      <c r="I319" s="4">
        <v>32.774999999999999</v>
      </c>
      <c r="J319" s="4">
        <v>0</v>
      </c>
      <c r="K319" s="12">
        <v>10435.065199999999</v>
      </c>
      <c r="N319">
        <v>164</v>
      </c>
      <c r="O319">
        <v>6686.591292140417</v>
      </c>
      <c r="P319">
        <v>-1534.4572921404169</v>
      </c>
    </row>
    <row r="320" spans="1:16" x14ac:dyDescent="0.25">
      <c r="A320" s="4" t="s">
        <v>7</v>
      </c>
      <c r="B320" s="4">
        <f>ROUND(Table13_1[[#This Row],[bmi]],1)</f>
        <v>27.6</v>
      </c>
      <c r="C320" s="4" t="str" cm="1">
        <f t="array" ref="C320">_xlfn.IFS(Table13_1[[#This Row],[Round BMI]]&lt;18.5,"Underweight",AND(Table13_1[[#This Row],[Round BMI]]&gt;=18.5,Table13_1[[#This Row],[Round BMI]] &lt;=24.9),"Healthy Weight",AND(Table13_1[[#This Row],[Round BMI]]&gt;=25,Table13_1[[#This Row],[Round BMI]]&lt;=29.9),"Overweight",Table13_1[[#This Row],[Round BMI]]&gt;=30,"Obese")</f>
        <v>Overweight</v>
      </c>
      <c r="D320" s="4" t="s">
        <v>11</v>
      </c>
      <c r="E320" s="4" t="str">
        <f>IF(Table13_1[[#This Row],[smoker]]="yes","smoker","non-smoker")</f>
        <v>non-smoker</v>
      </c>
      <c r="F320" s="4" t="s">
        <v>13</v>
      </c>
      <c r="G320" s="5">
        <v>44</v>
      </c>
      <c r="H320" s="5">
        <f>IF(Table13_1[[#This Row],[smoker]]="yes",1,0)</f>
        <v>0</v>
      </c>
      <c r="I320" s="4">
        <v>27.645</v>
      </c>
      <c r="J320" s="4">
        <v>0</v>
      </c>
      <c r="K320" s="12">
        <v>7421.1945999999998</v>
      </c>
      <c r="N320">
        <v>165</v>
      </c>
      <c r="O320">
        <v>6977.3379732459562</v>
      </c>
      <c r="P320">
        <v>-1949.1913732459561</v>
      </c>
    </row>
    <row r="321" spans="1:16" x14ac:dyDescent="0.25">
      <c r="A321" s="4" t="s">
        <v>10</v>
      </c>
      <c r="B321" s="4">
        <f>ROUND(Table13_1[[#This Row],[bmi]],1)</f>
        <v>37.299999999999997</v>
      </c>
      <c r="C321" s="4" t="str" cm="1">
        <f t="array" ref="C321">_xlfn.IFS(Table13_1[[#This Row],[Round BMI]]&lt;18.5,"Underweight",AND(Table13_1[[#This Row],[Round BMI]]&gt;=18.5,Table13_1[[#This Row],[Round BMI]] &lt;=24.9),"Healthy Weight",AND(Table13_1[[#This Row],[Round BMI]]&gt;=25,Table13_1[[#This Row],[Round BMI]]&lt;=29.9),"Overweight",Table13_1[[#This Row],[Round BMI]]&gt;=30,"Obese")</f>
        <v>Obese</v>
      </c>
      <c r="D321" s="4" t="s">
        <v>11</v>
      </c>
      <c r="E321" s="4" t="str">
        <f>IF(Table13_1[[#This Row],[smoker]]="yes","smoker","non-smoker")</f>
        <v>non-smoker</v>
      </c>
      <c r="F321" s="4" t="s">
        <v>14</v>
      </c>
      <c r="G321" s="5">
        <v>32</v>
      </c>
      <c r="H321" s="5">
        <f>IF(Table13_1[[#This Row],[smoker]]="yes",1,0)</f>
        <v>0</v>
      </c>
      <c r="I321" s="4">
        <v>37.335000000000001</v>
      </c>
      <c r="J321" s="4">
        <v>1</v>
      </c>
      <c r="K321" s="12">
        <v>4667.6076000000003</v>
      </c>
      <c r="N321">
        <v>166</v>
      </c>
      <c r="O321">
        <v>10991.204059684082</v>
      </c>
      <c r="P321">
        <v>-584.11825968408084</v>
      </c>
    </row>
    <row r="322" spans="1:16" x14ac:dyDescent="0.25">
      <c r="A322" s="4" t="s">
        <v>10</v>
      </c>
      <c r="B322" s="4">
        <f>ROUND(Table13_1[[#This Row],[bmi]],1)</f>
        <v>25.3</v>
      </c>
      <c r="C322" s="4" t="str" cm="1">
        <f t="array" ref="C322">_xlfn.IFS(Table13_1[[#This Row],[Round BMI]]&lt;18.5,"Underweight",AND(Table13_1[[#This Row],[Round BMI]]&gt;=18.5,Table13_1[[#This Row],[Round BMI]] &lt;=24.9),"Healthy Weight",AND(Table13_1[[#This Row],[Round BMI]]&gt;=25,Table13_1[[#This Row],[Round BMI]]&lt;=29.9),"Overweight",Table13_1[[#This Row],[Round BMI]]&gt;=30,"Obese")</f>
        <v>Overweight</v>
      </c>
      <c r="D322" s="4" t="s">
        <v>11</v>
      </c>
      <c r="E322" s="4" t="str">
        <f>IF(Table13_1[[#This Row],[smoker]]="yes","smoker","non-smoker")</f>
        <v>non-smoker</v>
      </c>
      <c r="F322" s="4" t="s">
        <v>13</v>
      </c>
      <c r="G322" s="5">
        <v>34</v>
      </c>
      <c r="H322" s="5">
        <f>IF(Table13_1[[#This Row],[smoker]]="yes",1,0)</f>
        <v>0</v>
      </c>
      <c r="I322" s="4">
        <v>25.27</v>
      </c>
      <c r="J322" s="4">
        <v>1</v>
      </c>
      <c r="K322" s="12">
        <v>4894.7533000000003</v>
      </c>
      <c r="N322">
        <v>167</v>
      </c>
      <c r="O322">
        <v>7330.2342512703462</v>
      </c>
      <c r="P322">
        <v>-2499.6042512703461</v>
      </c>
    </row>
    <row r="323" spans="1:16" x14ac:dyDescent="0.25">
      <c r="A323" s="4" t="s">
        <v>7</v>
      </c>
      <c r="B323" s="4">
        <f>ROUND(Table13_1[[#This Row],[bmi]],1)</f>
        <v>29.6</v>
      </c>
      <c r="C323" s="4" t="str" cm="1">
        <f t="array" ref="C323">_xlfn.IFS(Table13_1[[#This Row],[Round BMI]]&lt;18.5,"Underweight",AND(Table13_1[[#This Row],[Round BMI]]&gt;=18.5,Table13_1[[#This Row],[Round BMI]] &lt;=24.9),"Healthy Weight",AND(Table13_1[[#This Row],[Round BMI]]&gt;=25,Table13_1[[#This Row],[Round BMI]]&lt;=29.9),"Overweight",Table13_1[[#This Row],[Round BMI]]&gt;=30,"Obese")</f>
        <v>Overweight</v>
      </c>
      <c r="D323" s="4" t="s">
        <v>11</v>
      </c>
      <c r="E323" s="4" t="str">
        <f>IF(Table13_1[[#This Row],[smoker]]="yes","smoker","non-smoker")</f>
        <v>non-smoker</v>
      </c>
      <c r="F323" s="4" t="s">
        <v>14</v>
      </c>
      <c r="G323" s="5">
        <v>26</v>
      </c>
      <c r="H323" s="5">
        <f>IF(Table13_1[[#This Row],[smoker]]="yes",1,0)</f>
        <v>0</v>
      </c>
      <c r="I323" s="4">
        <v>29.64</v>
      </c>
      <c r="J323" s="4">
        <v>4</v>
      </c>
      <c r="K323" s="12">
        <v>24671.6633</v>
      </c>
      <c r="N323">
        <v>168</v>
      </c>
      <c r="O323">
        <v>8239.9050642185084</v>
      </c>
      <c r="P323">
        <v>-2111.107664218508</v>
      </c>
    </row>
    <row r="324" spans="1:16" x14ac:dyDescent="0.25">
      <c r="A324" s="4" t="s">
        <v>10</v>
      </c>
      <c r="B324" s="4">
        <f>ROUND(Table13_1[[#This Row],[bmi]],1)</f>
        <v>30.8</v>
      </c>
      <c r="C324" s="4" t="str" cm="1">
        <f t="array" ref="C324">_xlfn.IFS(Table13_1[[#This Row],[Round BMI]]&lt;18.5,"Underweight",AND(Table13_1[[#This Row],[Round BMI]]&gt;=18.5,Table13_1[[#This Row],[Round BMI]] &lt;=24.9),"Healthy Weight",AND(Table13_1[[#This Row],[Round BMI]]&gt;=25,Table13_1[[#This Row],[Round BMI]]&lt;=29.9),"Overweight",Table13_1[[#This Row],[Round BMI]]&gt;=30,"Obese")</f>
        <v>Obese</v>
      </c>
      <c r="D324" s="4" t="s">
        <v>8</v>
      </c>
      <c r="E324" s="4" t="str">
        <f>IF(Table13_1[[#This Row],[smoker]]="yes","smoker","non-smoker")</f>
        <v>smoker</v>
      </c>
      <c r="F324" s="4" t="s">
        <v>9</v>
      </c>
      <c r="G324" s="5">
        <v>34</v>
      </c>
      <c r="H324" s="5">
        <f>IF(Table13_1[[#This Row],[smoker]]="yes",1,0)</f>
        <v>1</v>
      </c>
      <c r="I324" s="4">
        <v>30.8</v>
      </c>
      <c r="J324" s="4">
        <v>0</v>
      </c>
      <c r="K324" s="12">
        <v>35491.64</v>
      </c>
      <c r="N324">
        <v>169</v>
      </c>
      <c r="O324">
        <v>3512.7944720534219</v>
      </c>
      <c r="P324">
        <v>-793.51467205342215</v>
      </c>
    </row>
    <row r="325" spans="1:16" x14ac:dyDescent="0.25">
      <c r="A325" s="4" t="s">
        <v>10</v>
      </c>
      <c r="B325" s="4">
        <f>ROUND(Table13_1[[#This Row],[bmi]],1)</f>
        <v>40.9</v>
      </c>
      <c r="C325" s="4" t="str" cm="1">
        <f t="array" ref="C325">_xlfn.IFS(Table13_1[[#This Row],[Round BMI]]&lt;18.5,"Underweight",AND(Table13_1[[#This Row],[Round BMI]]&gt;=18.5,Table13_1[[#This Row],[Round BMI]] &lt;=24.9),"Healthy Weight",AND(Table13_1[[#This Row],[Round BMI]]&gt;=25,Table13_1[[#This Row],[Round BMI]]&lt;=29.9),"Overweight",Table13_1[[#This Row],[Round BMI]]&gt;=30,"Obese")</f>
        <v>Obese</v>
      </c>
      <c r="D325" s="4" t="s">
        <v>11</v>
      </c>
      <c r="E325" s="4" t="str">
        <f>IF(Table13_1[[#This Row],[smoker]]="yes","smoker","non-smoker")</f>
        <v>non-smoker</v>
      </c>
      <c r="F325" s="4" t="s">
        <v>14</v>
      </c>
      <c r="G325" s="5">
        <v>57</v>
      </c>
      <c r="H325" s="5">
        <f>IF(Table13_1[[#This Row],[smoker]]="yes",1,0)</f>
        <v>0</v>
      </c>
      <c r="I325" s="4">
        <v>40.945</v>
      </c>
      <c r="J325" s="4">
        <v>0</v>
      </c>
      <c r="K325" s="12">
        <v>11566.3006</v>
      </c>
      <c r="N325">
        <v>170</v>
      </c>
      <c r="O325">
        <v>2364.2750370794502</v>
      </c>
      <c r="P325">
        <v>2463.6299629205496</v>
      </c>
    </row>
    <row r="326" spans="1:16" x14ac:dyDescent="0.25">
      <c r="A326" s="4" t="s">
        <v>10</v>
      </c>
      <c r="B326" s="4">
        <f>ROUND(Table13_1[[#This Row],[bmi]],1)</f>
        <v>27.2</v>
      </c>
      <c r="C326" s="4" t="str" cm="1">
        <f t="array" ref="C326">_xlfn.IFS(Table13_1[[#This Row],[Round BMI]]&lt;18.5,"Underweight",AND(Table13_1[[#This Row],[Round BMI]]&gt;=18.5,Table13_1[[#This Row],[Round BMI]] &lt;=24.9),"Healthy Weight",AND(Table13_1[[#This Row],[Round BMI]]&gt;=25,Table13_1[[#This Row],[Round BMI]]&lt;=29.9),"Overweight",Table13_1[[#This Row],[Round BMI]]&gt;=30,"Obese")</f>
        <v>Overweight</v>
      </c>
      <c r="D326" s="4" t="s">
        <v>11</v>
      </c>
      <c r="E326" s="4" t="str">
        <f>IF(Table13_1[[#This Row],[smoker]]="yes","smoker","non-smoker")</f>
        <v>non-smoker</v>
      </c>
      <c r="F326" s="4" t="s">
        <v>9</v>
      </c>
      <c r="G326" s="5">
        <v>29</v>
      </c>
      <c r="H326" s="5">
        <f>IF(Table13_1[[#This Row],[smoker]]="yes",1,0)</f>
        <v>0</v>
      </c>
      <c r="I326" s="4">
        <v>27.2</v>
      </c>
      <c r="J326" s="4">
        <v>0</v>
      </c>
      <c r="K326" s="12">
        <v>2866.0909999999999</v>
      </c>
      <c r="N326">
        <v>171</v>
      </c>
      <c r="O326">
        <v>17488.927259446755</v>
      </c>
      <c r="P326">
        <v>-4083.5369594467556</v>
      </c>
    </row>
    <row r="327" spans="1:16" x14ac:dyDescent="0.25">
      <c r="A327" s="4" t="s">
        <v>10</v>
      </c>
      <c r="B327" s="4">
        <f>ROUND(Table13_1[[#This Row],[bmi]],1)</f>
        <v>34.1</v>
      </c>
      <c r="C327" s="4" t="str" cm="1">
        <f t="array" ref="C327">_xlfn.IFS(Table13_1[[#This Row],[Round BMI]]&lt;18.5,"Underweight",AND(Table13_1[[#This Row],[Round BMI]]&gt;=18.5,Table13_1[[#This Row],[Round BMI]] &lt;=24.9),"Healthy Weight",AND(Table13_1[[#This Row],[Round BMI]]&gt;=25,Table13_1[[#This Row],[Round BMI]]&lt;=29.9),"Overweight",Table13_1[[#This Row],[Round BMI]]&gt;=30,"Obese")</f>
        <v>Obese</v>
      </c>
      <c r="D327" s="4" t="s">
        <v>11</v>
      </c>
      <c r="E327" s="4" t="str">
        <f>IF(Table13_1[[#This Row],[smoker]]="yes","smoker","non-smoker")</f>
        <v>non-smoker</v>
      </c>
      <c r="F327" s="4" t="s">
        <v>14</v>
      </c>
      <c r="G327" s="5">
        <v>40</v>
      </c>
      <c r="H327" s="5">
        <f>IF(Table13_1[[#This Row],[smoker]]="yes",1,0)</f>
        <v>0</v>
      </c>
      <c r="I327" s="4">
        <v>34.104999999999997</v>
      </c>
      <c r="J327" s="4">
        <v>1</v>
      </c>
      <c r="K327" s="12">
        <v>6600.2060000000001</v>
      </c>
      <c r="N327">
        <v>172</v>
      </c>
      <c r="O327">
        <v>10283.953987085428</v>
      </c>
      <c r="P327">
        <v>-2167.2739870854275</v>
      </c>
    </row>
    <row r="328" spans="1:16" x14ac:dyDescent="0.25">
      <c r="A328" s="4" t="s">
        <v>7</v>
      </c>
      <c r="B328" s="4">
        <f>ROUND(Table13_1[[#This Row],[bmi]],1)</f>
        <v>23.2</v>
      </c>
      <c r="C328" s="4" t="str" cm="1">
        <f t="array" ref="C328">_xlfn.IFS(Table13_1[[#This Row],[Round BMI]]&lt;18.5,"Underweight",AND(Table13_1[[#This Row],[Round BMI]]&gt;=18.5,Table13_1[[#This Row],[Round BMI]] &lt;=24.9),"Healthy Weight",AND(Table13_1[[#This Row],[Round BMI]]&gt;=25,Table13_1[[#This Row],[Round BMI]]&lt;=29.9),"Overweight",Table13_1[[#This Row],[Round BMI]]&gt;=30,"Obese")</f>
        <v>Healthy Weight</v>
      </c>
      <c r="D328" s="4" t="s">
        <v>11</v>
      </c>
      <c r="E328" s="4" t="str">
        <f>IF(Table13_1[[#This Row],[smoker]]="yes","smoker","non-smoker")</f>
        <v>non-smoker</v>
      </c>
      <c r="F328" s="4" t="s">
        <v>12</v>
      </c>
      <c r="G328" s="5">
        <v>27</v>
      </c>
      <c r="H328" s="5">
        <f>IF(Table13_1[[#This Row],[smoker]]="yes",1,0)</f>
        <v>0</v>
      </c>
      <c r="I328" s="4">
        <v>23.21</v>
      </c>
      <c r="J328" s="4">
        <v>1</v>
      </c>
      <c r="K328" s="12">
        <v>3561.8888999999999</v>
      </c>
      <c r="N328">
        <v>173</v>
      </c>
      <c r="O328">
        <v>-2324.7298568985934</v>
      </c>
      <c r="P328">
        <v>4019.5262568985936</v>
      </c>
    </row>
    <row r="329" spans="1:16" x14ac:dyDescent="0.25">
      <c r="A329" s="4" t="s">
        <v>10</v>
      </c>
      <c r="B329" s="4">
        <f>ROUND(Table13_1[[#This Row],[bmi]],1)</f>
        <v>36.5</v>
      </c>
      <c r="C329" s="4" t="str" cm="1">
        <f t="array" ref="C329">_xlfn.IFS(Table13_1[[#This Row],[Round BMI]]&lt;18.5,"Underweight",AND(Table13_1[[#This Row],[Round BMI]]&gt;=18.5,Table13_1[[#This Row],[Round BMI]] &lt;=24.9),"Healthy Weight",AND(Table13_1[[#This Row],[Round BMI]]&gt;=25,Table13_1[[#This Row],[Round BMI]]&lt;=29.9),"Overweight",Table13_1[[#This Row],[Round BMI]]&gt;=30,"Obese")</f>
        <v>Obese</v>
      </c>
      <c r="D329" s="4" t="s">
        <v>8</v>
      </c>
      <c r="E329" s="4" t="str">
        <f>IF(Table13_1[[#This Row],[smoker]]="yes","smoker","non-smoker")</f>
        <v>smoker</v>
      </c>
      <c r="F329" s="4" t="s">
        <v>13</v>
      </c>
      <c r="G329" s="5">
        <v>45</v>
      </c>
      <c r="H329" s="5">
        <f>IF(Table13_1[[#This Row],[smoker]]="yes",1,0)</f>
        <v>1</v>
      </c>
      <c r="I329" s="4">
        <v>36.479999999999997</v>
      </c>
      <c r="J329" s="4">
        <v>2</v>
      </c>
      <c r="K329" s="12">
        <v>42760.502200000003</v>
      </c>
      <c r="N329">
        <v>174</v>
      </c>
      <c r="O329">
        <v>8595.8945127917232</v>
      </c>
      <c r="P329">
        <v>-3349.8475127917236</v>
      </c>
    </row>
    <row r="330" spans="1:16" x14ac:dyDescent="0.25">
      <c r="A330" s="4" t="s">
        <v>7</v>
      </c>
      <c r="B330" s="4">
        <f>ROUND(Table13_1[[#This Row],[bmi]],1)</f>
        <v>33.799999999999997</v>
      </c>
      <c r="C330" s="4" t="str" cm="1">
        <f t="array" ref="C330">_xlfn.IFS(Table13_1[[#This Row],[Round BMI]]&lt;18.5,"Underweight",AND(Table13_1[[#This Row],[Round BMI]]&gt;=18.5,Table13_1[[#This Row],[Round BMI]] &lt;=24.9),"Healthy Weight",AND(Table13_1[[#This Row],[Round BMI]]&gt;=25,Table13_1[[#This Row],[Round BMI]]&lt;=29.9),"Overweight",Table13_1[[#This Row],[Round BMI]]&gt;=30,"Obese")</f>
        <v>Obese</v>
      </c>
      <c r="D330" s="4" t="s">
        <v>8</v>
      </c>
      <c r="E330" s="4" t="str">
        <f>IF(Table13_1[[#This Row],[smoker]]="yes","smoker","non-smoker")</f>
        <v>smoker</v>
      </c>
      <c r="F330" s="4" t="s">
        <v>9</v>
      </c>
      <c r="G330" s="5">
        <v>64</v>
      </c>
      <c r="H330" s="5">
        <f>IF(Table13_1[[#This Row],[smoker]]="yes",1,0)</f>
        <v>1</v>
      </c>
      <c r="I330" s="4">
        <v>33.799999999999997</v>
      </c>
      <c r="J330" s="4">
        <v>1</v>
      </c>
      <c r="K330" s="12">
        <v>47928.03</v>
      </c>
      <c r="N330">
        <v>175</v>
      </c>
      <c r="O330">
        <v>4817.7538254780211</v>
      </c>
      <c r="P330">
        <v>-1962.3162254780209</v>
      </c>
    </row>
    <row r="331" spans="1:16" x14ac:dyDescent="0.25">
      <c r="A331" s="4" t="s">
        <v>10</v>
      </c>
      <c r="B331" s="4">
        <f>ROUND(Table13_1[[#This Row],[bmi]],1)</f>
        <v>36.700000000000003</v>
      </c>
      <c r="C331" s="4" t="str" cm="1">
        <f t="array" ref="C331">_xlfn.IFS(Table13_1[[#This Row],[Round BMI]]&lt;18.5,"Underweight",AND(Table13_1[[#This Row],[Round BMI]]&gt;=18.5,Table13_1[[#This Row],[Round BMI]] &lt;=24.9),"Healthy Weight",AND(Table13_1[[#This Row],[Round BMI]]&gt;=25,Table13_1[[#This Row],[Round BMI]]&lt;=29.9),"Overweight",Table13_1[[#This Row],[Round BMI]]&gt;=30,"Obese")</f>
        <v>Obese</v>
      </c>
      <c r="D331" s="4" t="s">
        <v>11</v>
      </c>
      <c r="E331" s="4" t="str">
        <f>IF(Table13_1[[#This Row],[smoker]]="yes","smoker","non-smoker")</f>
        <v>non-smoker</v>
      </c>
      <c r="F331" s="4" t="s">
        <v>9</v>
      </c>
      <c r="G331" s="5">
        <v>52</v>
      </c>
      <c r="H331" s="5">
        <f>IF(Table13_1[[#This Row],[smoker]]="yes",1,0)</f>
        <v>0</v>
      </c>
      <c r="I331" s="4">
        <v>36.700000000000003</v>
      </c>
      <c r="J331" s="4">
        <v>0</v>
      </c>
      <c r="K331" s="12">
        <v>9144.5650000000005</v>
      </c>
      <c r="N331">
        <v>176</v>
      </c>
      <c r="O331">
        <v>40086.947316750913</v>
      </c>
      <c r="P331">
        <v>8737.5026832490839</v>
      </c>
    </row>
    <row r="332" spans="1:16" x14ac:dyDescent="0.25">
      <c r="A332" s="4" t="s">
        <v>7</v>
      </c>
      <c r="B332" s="4">
        <f>ROUND(Table13_1[[#This Row],[bmi]],1)</f>
        <v>36.4</v>
      </c>
      <c r="C332" s="4" t="str" cm="1">
        <f t="array" ref="C332">_xlfn.IFS(Table13_1[[#This Row],[Round BMI]]&lt;18.5,"Underweight",AND(Table13_1[[#This Row],[Round BMI]]&gt;=18.5,Table13_1[[#This Row],[Round BMI]] &lt;=24.9),"Healthy Weight",AND(Table13_1[[#This Row],[Round BMI]]&gt;=25,Table13_1[[#This Row],[Round BMI]]&lt;=29.9),"Overweight",Table13_1[[#This Row],[Round BMI]]&gt;=30,"Obese")</f>
        <v>Obese</v>
      </c>
      <c r="D332" s="4" t="s">
        <v>8</v>
      </c>
      <c r="E332" s="4" t="str">
        <f>IF(Table13_1[[#This Row],[smoker]]="yes","smoker","non-smoker")</f>
        <v>smoker</v>
      </c>
      <c r="F332" s="4" t="s">
        <v>14</v>
      </c>
      <c r="G332" s="5">
        <v>61</v>
      </c>
      <c r="H332" s="5">
        <f>IF(Table13_1[[#This Row],[smoker]]="yes",1,0)</f>
        <v>1</v>
      </c>
      <c r="I332" s="4">
        <v>36.384999999999998</v>
      </c>
      <c r="J332" s="4">
        <v>1</v>
      </c>
      <c r="K332" s="12">
        <v>48517.563199999997</v>
      </c>
      <c r="N332">
        <v>177</v>
      </c>
      <c r="O332">
        <v>7601.25032953957</v>
      </c>
      <c r="P332">
        <v>-1145.3877295395696</v>
      </c>
    </row>
    <row r="333" spans="1:16" x14ac:dyDescent="0.25">
      <c r="A333" s="4" t="s">
        <v>10</v>
      </c>
      <c r="B333" s="4">
        <f>ROUND(Table13_1[[#This Row],[bmi]],1)</f>
        <v>27.4</v>
      </c>
      <c r="C333" s="4" t="str" cm="1">
        <f t="array" ref="C333">_xlfn.IFS(Table13_1[[#This Row],[Round BMI]]&lt;18.5,"Underweight",AND(Table13_1[[#This Row],[Round BMI]]&gt;=18.5,Table13_1[[#This Row],[Round BMI]] &lt;=24.9),"Healthy Weight",AND(Table13_1[[#This Row],[Round BMI]]&gt;=25,Table13_1[[#This Row],[Round BMI]]&lt;=29.9),"Overweight",Table13_1[[#This Row],[Round BMI]]&gt;=30,"Obese")</f>
        <v>Overweight</v>
      </c>
      <c r="D333" s="4" t="s">
        <v>8</v>
      </c>
      <c r="E333" s="4" t="str">
        <f>IF(Table13_1[[#This Row],[smoker]]="yes","smoker","non-smoker")</f>
        <v>smoker</v>
      </c>
      <c r="F333" s="4" t="s">
        <v>13</v>
      </c>
      <c r="G333" s="5">
        <v>52</v>
      </c>
      <c r="H333" s="5">
        <f>IF(Table13_1[[#This Row],[smoker]]="yes",1,0)</f>
        <v>1</v>
      </c>
      <c r="I333" s="4">
        <v>27.36</v>
      </c>
      <c r="J333" s="4">
        <v>0</v>
      </c>
      <c r="K333" s="12">
        <v>24393.6224</v>
      </c>
      <c r="N333">
        <v>178</v>
      </c>
      <c r="O333">
        <v>11692.667296157697</v>
      </c>
      <c r="P333">
        <v>-1256.5712961576974</v>
      </c>
    </row>
    <row r="334" spans="1:16" x14ac:dyDescent="0.25">
      <c r="A334" s="4" t="s">
        <v>7</v>
      </c>
      <c r="B334" s="4">
        <f>ROUND(Table13_1[[#This Row],[bmi]],1)</f>
        <v>31.2</v>
      </c>
      <c r="C334" s="4" t="str" cm="1">
        <f t="array" ref="C334">_xlfn.IFS(Table13_1[[#This Row],[Round BMI]]&lt;18.5,"Underweight",AND(Table13_1[[#This Row],[Round BMI]]&gt;=18.5,Table13_1[[#This Row],[Round BMI]] &lt;=24.9),"Healthy Weight",AND(Table13_1[[#This Row],[Round BMI]]&gt;=25,Table13_1[[#This Row],[Round BMI]]&lt;=29.9),"Overweight",Table13_1[[#This Row],[Round BMI]]&gt;=30,"Obese")</f>
        <v>Obese</v>
      </c>
      <c r="D334" s="4" t="s">
        <v>11</v>
      </c>
      <c r="E334" s="4" t="str">
        <f>IF(Table13_1[[#This Row],[smoker]]="yes","smoker","non-smoker")</f>
        <v>non-smoker</v>
      </c>
      <c r="F334" s="4" t="s">
        <v>13</v>
      </c>
      <c r="G334" s="5">
        <v>61</v>
      </c>
      <c r="H334" s="5">
        <f>IF(Table13_1[[#This Row],[smoker]]="yes",1,0)</f>
        <v>0</v>
      </c>
      <c r="I334" s="4">
        <v>31.16</v>
      </c>
      <c r="J334" s="4">
        <v>0</v>
      </c>
      <c r="K334" s="12">
        <v>13429.035400000001</v>
      </c>
      <c r="N334">
        <v>179</v>
      </c>
      <c r="O334">
        <v>10006.818132208307</v>
      </c>
      <c r="P334">
        <v>-1183.5391322083069</v>
      </c>
    </row>
    <row r="335" spans="1:16" x14ac:dyDescent="0.25">
      <c r="A335" s="4" t="s">
        <v>7</v>
      </c>
      <c r="B335" s="4">
        <f>ROUND(Table13_1[[#This Row],[bmi]],1)</f>
        <v>28.8</v>
      </c>
      <c r="C335" s="4" t="str" cm="1">
        <f t="array" ref="C335">_xlfn.IFS(Table13_1[[#This Row],[Round BMI]]&lt;18.5,"Underweight",AND(Table13_1[[#This Row],[Round BMI]]&gt;=18.5,Table13_1[[#This Row],[Round BMI]] &lt;=24.9),"Healthy Weight",AND(Table13_1[[#This Row],[Round BMI]]&gt;=25,Table13_1[[#This Row],[Round BMI]]&lt;=29.9),"Overweight",Table13_1[[#This Row],[Round BMI]]&gt;=30,"Obese")</f>
        <v>Overweight</v>
      </c>
      <c r="D335" s="4" t="s">
        <v>11</v>
      </c>
      <c r="E335" s="4" t="str">
        <f>IF(Table13_1[[#This Row],[smoker]]="yes","smoker","non-smoker")</f>
        <v>non-smoker</v>
      </c>
      <c r="F335" s="4" t="s">
        <v>14</v>
      </c>
      <c r="G335" s="5">
        <v>56</v>
      </c>
      <c r="H335" s="5">
        <f>IF(Table13_1[[#This Row],[smoker]]="yes",1,0)</f>
        <v>0</v>
      </c>
      <c r="I335" s="4">
        <v>28.785</v>
      </c>
      <c r="J335" s="4">
        <v>0</v>
      </c>
      <c r="K335" s="12">
        <v>11658.379199999999</v>
      </c>
      <c r="N335">
        <v>180</v>
      </c>
      <c r="O335">
        <v>10560.550630191712</v>
      </c>
      <c r="P335">
        <v>-2022.2622301917127</v>
      </c>
    </row>
    <row r="336" spans="1:16" x14ac:dyDescent="0.25">
      <c r="A336" s="4" t="s">
        <v>7</v>
      </c>
      <c r="B336" s="4">
        <f>ROUND(Table13_1[[#This Row],[bmi]],1)</f>
        <v>35.700000000000003</v>
      </c>
      <c r="C336" s="4" t="str" cm="1">
        <f t="array" ref="C336">_xlfn.IFS(Table13_1[[#This Row],[Round BMI]]&lt;18.5,"Underweight",AND(Table13_1[[#This Row],[Round BMI]]&gt;=18.5,Table13_1[[#This Row],[Round BMI]] &lt;=24.9),"Healthy Weight",AND(Table13_1[[#This Row],[Round BMI]]&gt;=25,Table13_1[[#This Row],[Round BMI]]&lt;=29.9),"Overweight",Table13_1[[#This Row],[Round BMI]]&gt;=30,"Obese")</f>
        <v>Obese</v>
      </c>
      <c r="D336" s="4" t="s">
        <v>11</v>
      </c>
      <c r="E336" s="4" t="str">
        <f>IF(Table13_1[[#This Row],[smoker]]="yes","smoker","non-smoker")</f>
        <v>non-smoker</v>
      </c>
      <c r="F336" s="4" t="s">
        <v>14</v>
      </c>
      <c r="G336" s="5">
        <v>43</v>
      </c>
      <c r="H336" s="5">
        <f>IF(Table13_1[[#This Row],[smoker]]="yes",1,0)</f>
        <v>0</v>
      </c>
      <c r="I336" s="4">
        <v>35.72</v>
      </c>
      <c r="J336" s="4">
        <v>2</v>
      </c>
      <c r="K336" s="12">
        <v>19144.576499999999</v>
      </c>
      <c r="N336">
        <v>181</v>
      </c>
      <c r="O336">
        <v>12055.842911214364</v>
      </c>
      <c r="P336">
        <v>-319.96391121436318</v>
      </c>
    </row>
    <row r="337" spans="1:16" x14ac:dyDescent="0.25">
      <c r="A337" s="4" t="s">
        <v>10</v>
      </c>
      <c r="B337" s="4">
        <f>ROUND(Table13_1[[#This Row],[bmi]],1)</f>
        <v>34.5</v>
      </c>
      <c r="C337" s="4" t="str" cm="1">
        <f t="array" ref="C337">_xlfn.IFS(Table13_1[[#This Row],[Round BMI]]&lt;18.5,"Underweight",AND(Table13_1[[#This Row],[Round BMI]]&gt;=18.5,Table13_1[[#This Row],[Round BMI]] &lt;=24.9),"Healthy Weight",AND(Table13_1[[#This Row],[Round BMI]]&gt;=25,Table13_1[[#This Row],[Round BMI]]&lt;=29.9),"Overweight",Table13_1[[#This Row],[Round BMI]]&gt;=30,"Obese")</f>
        <v>Obese</v>
      </c>
      <c r="D337" s="4" t="s">
        <v>11</v>
      </c>
      <c r="E337" s="4" t="str">
        <f>IF(Table13_1[[#This Row],[smoker]]="yes","smoker","non-smoker")</f>
        <v>non-smoker</v>
      </c>
      <c r="F337" s="4" t="s">
        <v>9</v>
      </c>
      <c r="G337" s="5">
        <v>64</v>
      </c>
      <c r="H337" s="5">
        <f>IF(Table13_1[[#This Row],[smoker]]="yes",1,0)</f>
        <v>0</v>
      </c>
      <c r="I337" s="4">
        <v>34.5</v>
      </c>
      <c r="J337" s="4">
        <v>0</v>
      </c>
      <c r="K337" s="12">
        <v>13822.803</v>
      </c>
      <c r="N337">
        <v>182</v>
      </c>
      <c r="O337">
        <v>4858.9934545172709</v>
      </c>
      <c r="P337">
        <v>-3227.1722545172706</v>
      </c>
    </row>
    <row r="338" spans="1:16" x14ac:dyDescent="0.25">
      <c r="A338" s="4" t="s">
        <v>10</v>
      </c>
      <c r="B338" s="4">
        <f>ROUND(Table13_1[[#This Row],[bmi]],1)</f>
        <v>25.7</v>
      </c>
      <c r="C338" s="4" t="str" cm="1">
        <f t="array" ref="C338">_xlfn.IFS(Table13_1[[#This Row],[Round BMI]]&lt;18.5,"Underweight",AND(Table13_1[[#This Row],[Round BMI]]&gt;=18.5,Table13_1[[#This Row],[Round BMI]] &lt;=24.9),"Healthy Weight",AND(Table13_1[[#This Row],[Round BMI]]&gt;=25,Table13_1[[#This Row],[Round BMI]]&lt;=29.9),"Overweight",Table13_1[[#This Row],[Round BMI]]&gt;=30,"Obese")</f>
        <v>Overweight</v>
      </c>
      <c r="D338" s="4" t="s">
        <v>11</v>
      </c>
      <c r="E338" s="4" t="str">
        <f>IF(Table13_1[[#This Row],[smoker]]="yes","smoker","non-smoker")</f>
        <v>non-smoker</v>
      </c>
      <c r="F338" s="4" t="s">
        <v>12</v>
      </c>
      <c r="G338" s="5">
        <v>60</v>
      </c>
      <c r="H338" s="5">
        <f>IF(Table13_1[[#This Row],[smoker]]="yes",1,0)</f>
        <v>0</v>
      </c>
      <c r="I338" s="4">
        <v>25.74</v>
      </c>
      <c r="J338" s="4">
        <v>0</v>
      </c>
      <c r="K338" s="12">
        <v>12142.578600000001</v>
      </c>
      <c r="N338">
        <v>183</v>
      </c>
      <c r="O338">
        <v>1411.3622163967375</v>
      </c>
      <c r="P338">
        <v>2594.0602836032626</v>
      </c>
    </row>
    <row r="339" spans="1:16" x14ac:dyDescent="0.25">
      <c r="A339" s="4" t="s">
        <v>10</v>
      </c>
      <c r="B339" s="4">
        <f>ROUND(Table13_1[[#This Row],[bmi]],1)</f>
        <v>27.6</v>
      </c>
      <c r="C339" s="4" t="str" cm="1">
        <f t="array" ref="C339">_xlfn.IFS(Table13_1[[#This Row],[Round BMI]]&lt;18.5,"Underweight",AND(Table13_1[[#This Row],[Round BMI]]&gt;=18.5,Table13_1[[#This Row],[Round BMI]] &lt;=24.9),"Healthy Weight",AND(Table13_1[[#This Row],[Round BMI]]&gt;=25,Table13_1[[#This Row],[Round BMI]]&lt;=29.9),"Overweight",Table13_1[[#This Row],[Round BMI]]&gt;=30,"Obese")</f>
        <v>Overweight</v>
      </c>
      <c r="D339" s="4" t="s">
        <v>11</v>
      </c>
      <c r="E339" s="4" t="str">
        <f>IF(Table13_1[[#This Row],[smoker]]="yes","smoker","non-smoker")</f>
        <v>non-smoker</v>
      </c>
      <c r="F339" s="4" t="s">
        <v>13</v>
      </c>
      <c r="G339" s="5">
        <v>62</v>
      </c>
      <c r="H339" s="5">
        <f>IF(Table13_1[[#This Row],[smoker]]="yes",1,0)</f>
        <v>0</v>
      </c>
      <c r="I339" s="4">
        <v>27.55</v>
      </c>
      <c r="J339" s="4">
        <v>1</v>
      </c>
      <c r="K339" s="12">
        <v>13937.666499999999</v>
      </c>
      <c r="N339">
        <v>184</v>
      </c>
      <c r="O339">
        <v>7742.7044933813322</v>
      </c>
      <c r="P339">
        <v>-323.22659338133235</v>
      </c>
    </row>
    <row r="340" spans="1:16" x14ac:dyDescent="0.25">
      <c r="A340" s="4" t="s">
        <v>10</v>
      </c>
      <c r="B340" s="4">
        <f>ROUND(Table13_1[[#This Row],[bmi]],1)</f>
        <v>32.299999999999997</v>
      </c>
      <c r="C340" s="4" t="str" cm="1">
        <f t="array" ref="C340">_xlfn.IFS(Table13_1[[#This Row],[Round BMI]]&lt;18.5,"Underweight",AND(Table13_1[[#This Row],[Round BMI]]&gt;=18.5,Table13_1[[#This Row],[Round BMI]] &lt;=24.9),"Healthy Weight",AND(Table13_1[[#This Row],[Round BMI]]&gt;=25,Table13_1[[#This Row],[Round BMI]]&lt;=29.9),"Overweight",Table13_1[[#This Row],[Round BMI]]&gt;=30,"Obese")</f>
        <v>Obese</v>
      </c>
      <c r="D340" s="4" t="s">
        <v>8</v>
      </c>
      <c r="E340" s="4" t="str">
        <f>IF(Table13_1[[#This Row],[smoker]]="yes","smoker","non-smoker")</f>
        <v>smoker</v>
      </c>
      <c r="F340" s="4" t="s">
        <v>14</v>
      </c>
      <c r="G340" s="5">
        <v>50</v>
      </c>
      <c r="H340" s="5">
        <f>IF(Table13_1[[#This Row],[smoker]]="yes",1,0)</f>
        <v>1</v>
      </c>
      <c r="I340" s="4">
        <v>32.299999999999997</v>
      </c>
      <c r="J340" s="4">
        <v>1</v>
      </c>
      <c r="K340" s="12">
        <v>41919.097000000002</v>
      </c>
      <c r="N340">
        <v>185</v>
      </c>
      <c r="O340">
        <v>10067.233128633368</v>
      </c>
      <c r="P340">
        <v>-2335.8060286333684</v>
      </c>
    </row>
    <row r="341" spans="1:16" x14ac:dyDescent="0.25">
      <c r="A341" s="4" t="s">
        <v>7</v>
      </c>
      <c r="B341" s="4">
        <f>ROUND(Table13_1[[#This Row],[bmi]],1)</f>
        <v>27.7</v>
      </c>
      <c r="C341" s="4" t="str" cm="1">
        <f t="array" ref="C341">_xlfn.IFS(Table13_1[[#This Row],[Round BMI]]&lt;18.5,"Underweight",AND(Table13_1[[#This Row],[Round BMI]]&gt;=18.5,Table13_1[[#This Row],[Round BMI]] &lt;=24.9),"Healthy Weight",AND(Table13_1[[#This Row],[Round BMI]]&gt;=25,Table13_1[[#This Row],[Round BMI]]&lt;=29.9),"Overweight",Table13_1[[#This Row],[Round BMI]]&gt;=30,"Obese")</f>
        <v>Overweight</v>
      </c>
      <c r="D341" s="4" t="s">
        <v>11</v>
      </c>
      <c r="E341" s="4" t="str">
        <f>IF(Table13_1[[#This Row],[smoker]]="yes","smoker","non-smoker")</f>
        <v>non-smoker</v>
      </c>
      <c r="F341" s="4" t="s">
        <v>12</v>
      </c>
      <c r="G341" s="5">
        <v>46</v>
      </c>
      <c r="H341" s="5">
        <f>IF(Table13_1[[#This Row],[smoker]]="yes",1,0)</f>
        <v>0</v>
      </c>
      <c r="I341" s="4">
        <v>27.72</v>
      </c>
      <c r="J341" s="4">
        <v>1</v>
      </c>
      <c r="K341" s="12">
        <v>8232.6388000000006</v>
      </c>
      <c r="N341">
        <v>186</v>
      </c>
      <c r="O341">
        <v>35895.684200387652</v>
      </c>
      <c r="P341">
        <v>7857.6527996123477</v>
      </c>
    </row>
    <row r="342" spans="1:16" x14ac:dyDescent="0.25">
      <c r="A342" s="4" t="s">
        <v>7</v>
      </c>
      <c r="B342" s="4">
        <f>ROUND(Table13_1[[#This Row],[bmi]],1)</f>
        <v>27.6</v>
      </c>
      <c r="C342" s="4" t="str" cm="1">
        <f t="array" ref="C342">_xlfn.IFS(Table13_1[[#This Row],[Round BMI]]&lt;18.5,"Underweight",AND(Table13_1[[#This Row],[Round BMI]]&gt;=18.5,Table13_1[[#This Row],[Round BMI]] &lt;=24.9),"Healthy Weight",AND(Table13_1[[#This Row],[Round BMI]]&gt;=25,Table13_1[[#This Row],[Round BMI]]&lt;=29.9),"Overweight",Table13_1[[#This Row],[Round BMI]]&gt;=30,"Obese")</f>
        <v>Overweight</v>
      </c>
      <c r="D342" s="4" t="s">
        <v>11</v>
      </c>
      <c r="E342" s="4" t="str">
        <f>IF(Table13_1[[#This Row],[smoker]]="yes","smoker","non-smoker")</f>
        <v>non-smoker</v>
      </c>
      <c r="F342" s="4" t="s">
        <v>9</v>
      </c>
      <c r="G342" s="5">
        <v>24</v>
      </c>
      <c r="H342" s="5">
        <f>IF(Table13_1[[#This Row],[smoker]]="yes",1,0)</f>
        <v>0</v>
      </c>
      <c r="I342" s="4">
        <v>27.6</v>
      </c>
      <c r="J342" s="4">
        <v>0</v>
      </c>
      <c r="K342" s="12">
        <v>18955.2202</v>
      </c>
      <c r="N342">
        <v>187</v>
      </c>
      <c r="O342">
        <v>5178.1164164992269</v>
      </c>
      <c r="P342">
        <v>-1196.139616499227</v>
      </c>
    </row>
    <row r="343" spans="1:16" x14ac:dyDescent="0.25">
      <c r="A343" s="4" t="s">
        <v>10</v>
      </c>
      <c r="B343" s="4">
        <f>ROUND(Table13_1[[#This Row],[bmi]],1)</f>
        <v>30</v>
      </c>
      <c r="C343" s="4" t="str" cm="1">
        <f t="array" ref="C343">_xlfn.IFS(Table13_1[[#This Row],[Round BMI]]&lt;18.5,"Underweight",AND(Table13_1[[#This Row],[Round BMI]]&gt;=18.5,Table13_1[[#This Row],[Round BMI]] &lt;=24.9),"Healthy Weight",AND(Table13_1[[#This Row],[Round BMI]]&gt;=25,Table13_1[[#This Row],[Round BMI]]&lt;=29.9),"Overweight",Table13_1[[#This Row],[Round BMI]]&gt;=30,"Obese")</f>
        <v>Obese</v>
      </c>
      <c r="D343" s="4" t="s">
        <v>11</v>
      </c>
      <c r="E343" s="4" t="str">
        <f>IF(Table13_1[[#This Row],[smoker]]="yes","smoker","non-smoker")</f>
        <v>non-smoker</v>
      </c>
      <c r="F343" s="4" t="s">
        <v>13</v>
      </c>
      <c r="G343" s="5">
        <v>62</v>
      </c>
      <c r="H343" s="5">
        <f>IF(Table13_1[[#This Row],[smoker]]="yes",1,0)</f>
        <v>0</v>
      </c>
      <c r="I343" s="4">
        <v>30.02</v>
      </c>
      <c r="J343" s="4">
        <v>0</v>
      </c>
      <c r="K343" s="12">
        <v>13352.0998</v>
      </c>
      <c r="N343">
        <v>188</v>
      </c>
      <c r="O343">
        <v>6998.4311361508617</v>
      </c>
      <c r="P343">
        <v>-1672.7801361508618</v>
      </c>
    </row>
    <row r="344" spans="1:16" x14ac:dyDescent="0.25">
      <c r="A344" s="4" t="s">
        <v>7</v>
      </c>
      <c r="B344" s="4">
        <f>ROUND(Table13_1[[#This Row],[bmi]],1)</f>
        <v>27.6</v>
      </c>
      <c r="C344" s="4" t="str" cm="1">
        <f t="array" ref="C344">_xlfn.IFS(Table13_1[[#This Row],[Round BMI]]&lt;18.5,"Underweight",AND(Table13_1[[#This Row],[Round BMI]]&gt;=18.5,Table13_1[[#This Row],[Round BMI]] &lt;=24.9),"Healthy Weight",AND(Table13_1[[#This Row],[Round BMI]]&gt;=25,Table13_1[[#This Row],[Round BMI]]&lt;=29.9),"Overweight",Table13_1[[#This Row],[Round BMI]]&gt;=30,"Obese")</f>
        <v>Overweight</v>
      </c>
      <c r="D344" s="4" t="s">
        <v>11</v>
      </c>
      <c r="E344" s="4" t="str">
        <f>IF(Table13_1[[#This Row],[smoker]]="yes","smoker","non-smoker")</f>
        <v>non-smoker</v>
      </c>
      <c r="F344" s="4" t="s">
        <v>14</v>
      </c>
      <c r="G344" s="5">
        <v>60</v>
      </c>
      <c r="H344" s="5">
        <f>IF(Table13_1[[#This Row],[smoker]]="yes",1,0)</f>
        <v>0</v>
      </c>
      <c r="I344" s="4">
        <v>27.55</v>
      </c>
      <c r="J344" s="4">
        <v>0</v>
      </c>
      <c r="K344" s="12">
        <v>13217.094499999999</v>
      </c>
      <c r="N344">
        <v>189</v>
      </c>
      <c r="O344">
        <v>9306.1779093867099</v>
      </c>
      <c r="P344">
        <v>-2530.2169093867096</v>
      </c>
    </row>
    <row r="345" spans="1:16" x14ac:dyDescent="0.25">
      <c r="A345" s="4" t="s">
        <v>10</v>
      </c>
      <c r="B345" s="4">
        <f>ROUND(Table13_1[[#This Row],[bmi]],1)</f>
        <v>36.799999999999997</v>
      </c>
      <c r="C345" s="4" t="str" cm="1">
        <f t="array" ref="C345">_xlfn.IFS(Table13_1[[#This Row],[Round BMI]]&lt;18.5,"Underweight",AND(Table13_1[[#This Row],[Round BMI]]&gt;=18.5,Table13_1[[#This Row],[Round BMI]] &lt;=24.9),"Healthy Weight",AND(Table13_1[[#This Row],[Round BMI]]&gt;=25,Table13_1[[#This Row],[Round BMI]]&lt;=29.9),"Overweight",Table13_1[[#This Row],[Round BMI]]&gt;=30,"Obese")</f>
        <v>Obese</v>
      </c>
      <c r="D345" s="4" t="s">
        <v>11</v>
      </c>
      <c r="E345" s="4" t="str">
        <f>IF(Table13_1[[#This Row],[smoker]]="yes","smoker","non-smoker")</f>
        <v>non-smoker</v>
      </c>
      <c r="F345" s="4" t="s">
        <v>14</v>
      </c>
      <c r="G345" s="5">
        <v>63</v>
      </c>
      <c r="H345" s="5">
        <f>IF(Table13_1[[#This Row],[smoker]]="yes",1,0)</f>
        <v>0</v>
      </c>
      <c r="I345" s="4">
        <v>36.765000000000001</v>
      </c>
      <c r="J345" s="4">
        <v>0</v>
      </c>
      <c r="K345" s="12">
        <v>13981.850399999999</v>
      </c>
      <c r="N345">
        <v>190</v>
      </c>
      <c r="O345">
        <v>6656.5195107125501</v>
      </c>
      <c r="P345">
        <v>-1733.6036107125501</v>
      </c>
    </row>
    <row r="346" spans="1:16" x14ac:dyDescent="0.25">
      <c r="A346" s="4" t="s">
        <v>7</v>
      </c>
      <c r="B346" s="4">
        <f>ROUND(Table13_1[[#This Row],[bmi]],1)</f>
        <v>41.5</v>
      </c>
      <c r="C346" s="4" t="str" cm="1">
        <f t="array" ref="C346">_xlfn.IFS(Table13_1[[#This Row],[Round BMI]]&lt;18.5,"Underweight",AND(Table13_1[[#This Row],[Round BMI]]&gt;=18.5,Table13_1[[#This Row],[Round BMI]] &lt;=24.9),"Healthy Weight",AND(Table13_1[[#This Row],[Round BMI]]&gt;=25,Table13_1[[#This Row],[Round BMI]]&lt;=29.9),"Overweight",Table13_1[[#This Row],[Round BMI]]&gt;=30,"Obese")</f>
        <v>Obese</v>
      </c>
      <c r="D346" s="4" t="s">
        <v>11</v>
      </c>
      <c r="E346" s="4" t="str">
        <f>IF(Table13_1[[#This Row],[smoker]]="yes","smoker","non-smoker")</f>
        <v>non-smoker</v>
      </c>
      <c r="F346" s="4" t="s">
        <v>12</v>
      </c>
      <c r="G346" s="5">
        <v>49</v>
      </c>
      <c r="H346" s="5">
        <f>IF(Table13_1[[#This Row],[smoker]]="yes",1,0)</f>
        <v>0</v>
      </c>
      <c r="I346" s="4">
        <v>41.47</v>
      </c>
      <c r="J346" s="4">
        <v>4</v>
      </c>
      <c r="K346" s="12">
        <v>10977.2063</v>
      </c>
      <c r="N346">
        <v>191</v>
      </c>
      <c r="O346">
        <v>13786.899356658039</v>
      </c>
      <c r="P346">
        <v>-1229.2940566580401</v>
      </c>
    </row>
    <row r="347" spans="1:16" x14ac:dyDescent="0.25">
      <c r="A347" s="4" t="s">
        <v>7</v>
      </c>
      <c r="B347" s="4">
        <f>ROUND(Table13_1[[#This Row],[bmi]],1)</f>
        <v>29.3</v>
      </c>
      <c r="C347" s="4" t="str" cm="1">
        <f t="array" ref="C347">_xlfn.IFS(Table13_1[[#This Row],[Round BMI]]&lt;18.5,"Underweight",AND(Table13_1[[#This Row],[Round BMI]]&gt;=18.5,Table13_1[[#This Row],[Round BMI]] &lt;=24.9),"Healthy Weight",AND(Table13_1[[#This Row],[Round BMI]]&gt;=25,Table13_1[[#This Row],[Round BMI]]&lt;=29.9),"Overweight",Table13_1[[#This Row],[Round BMI]]&gt;=30,"Obese")</f>
        <v>Overweight</v>
      </c>
      <c r="D347" s="4" t="s">
        <v>11</v>
      </c>
      <c r="E347" s="4" t="str">
        <f>IF(Table13_1[[#This Row],[smoker]]="yes","smoker","non-smoker")</f>
        <v>non-smoker</v>
      </c>
      <c r="F347" s="4" t="s">
        <v>12</v>
      </c>
      <c r="G347" s="5">
        <v>34</v>
      </c>
      <c r="H347" s="5">
        <f>IF(Table13_1[[#This Row],[smoker]]="yes",1,0)</f>
        <v>0</v>
      </c>
      <c r="I347" s="4">
        <v>29.26</v>
      </c>
      <c r="J347" s="4">
        <v>3</v>
      </c>
      <c r="K347" s="12">
        <v>6184.2993999999999</v>
      </c>
      <c r="N347">
        <v>192</v>
      </c>
      <c r="O347">
        <v>5612.31964014183</v>
      </c>
      <c r="P347">
        <v>-728.45364014182996</v>
      </c>
    </row>
    <row r="348" spans="1:16" x14ac:dyDescent="0.25">
      <c r="A348" s="4" t="s">
        <v>10</v>
      </c>
      <c r="B348" s="4">
        <f>ROUND(Table13_1[[#This Row],[bmi]],1)</f>
        <v>35.799999999999997</v>
      </c>
      <c r="C348" s="4" t="str" cm="1">
        <f t="array" ref="C348">_xlfn.IFS(Table13_1[[#This Row],[Round BMI]]&lt;18.5,"Underweight",AND(Table13_1[[#This Row],[Round BMI]]&gt;=18.5,Table13_1[[#This Row],[Round BMI]] &lt;=24.9),"Healthy Weight",AND(Table13_1[[#This Row],[Round BMI]]&gt;=25,Table13_1[[#This Row],[Round BMI]]&lt;=29.9),"Overweight",Table13_1[[#This Row],[Round BMI]]&gt;=30,"Obese")</f>
        <v>Obese</v>
      </c>
      <c r="D348" s="4" t="s">
        <v>11</v>
      </c>
      <c r="E348" s="4" t="str">
        <f>IF(Table13_1[[#This Row],[smoker]]="yes","smoker","non-smoker")</f>
        <v>non-smoker</v>
      </c>
      <c r="F348" s="4" t="s">
        <v>12</v>
      </c>
      <c r="G348" s="5">
        <v>33</v>
      </c>
      <c r="H348" s="5">
        <f>IF(Table13_1[[#This Row],[smoker]]="yes",1,0)</f>
        <v>0</v>
      </c>
      <c r="I348" s="4">
        <v>35.75</v>
      </c>
      <c r="J348" s="4">
        <v>2</v>
      </c>
      <c r="K348" s="12">
        <v>4889.9994999999999</v>
      </c>
      <c r="N348">
        <v>193</v>
      </c>
      <c r="O348">
        <v>2627.9234142009564</v>
      </c>
      <c r="P348">
        <v>-490.26981420095626</v>
      </c>
    </row>
    <row r="349" spans="1:16" x14ac:dyDescent="0.25">
      <c r="A349" s="4" t="s">
        <v>10</v>
      </c>
      <c r="B349" s="4">
        <f>ROUND(Table13_1[[#This Row],[bmi]],1)</f>
        <v>33.299999999999997</v>
      </c>
      <c r="C349" s="4" t="str" cm="1">
        <f t="array" ref="C349">_xlfn.IFS(Table13_1[[#This Row],[Round BMI]]&lt;18.5,"Underweight",AND(Table13_1[[#This Row],[Round BMI]]&gt;=18.5,Table13_1[[#This Row],[Round BMI]] &lt;=24.9),"Healthy Weight",AND(Table13_1[[#This Row],[Round BMI]]&gt;=25,Table13_1[[#This Row],[Round BMI]]&lt;=29.9),"Overweight",Table13_1[[#This Row],[Round BMI]]&gt;=30,"Obese")</f>
        <v>Obese</v>
      </c>
      <c r="D349" s="4" t="s">
        <v>11</v>
      </c>
      <c r="E349" s="4" t="str">
        <f>IF(Table13_1[[#This Row],[smoker]]="yes","smoker","non-smoker")</f>
        <v>non-smoker</v>
      </c>
      <c r="F349" s="4" t="s">
        <v>14</v>
      </c>
      <c r="G349" s="5">
        <v>46</v>
      </c>
      <c r="H349" s="5">
        <f>IF(Table13_1[[#This Row],[smoker]]="yes",1,0)</f>
        <v>0</v>
      </c>
      <c r="I349" s="4">
        <v>33.344999999999999</v>
      </c>
      <c r="J349" s="4">
        <v>1</v>
      </c>
      <c r="K349" s="12">
        <v>8334.4575999999997</v>
      </c>
      <c r="N349">
        <v>194</v>
      </c>
      <c r="O349">
        <v>11371.552663431257</v>
      </c>
      <c r="P349">
        <v>672.78933656874324</v>
      </c>
    </row>
    <row r="350" spans="1:16" x14ac:dyDescent="0.25">
      <c r="A350" s="4" t="s">
        <v>7</v>
      </c>
      <c r="B350" s="4">
        <f>ROUND(Table13_1[[#This Row],[bmi]],1)</f>
        <v>29.9</v>
      </c>
      <c r="C350" s="4" t="str" cm="1">
        <f t="array" ref="C350">_xlfn.IFS(Table13_1[[#This Row],[Round BMI]]&lt;18.5,"Underweight",AND(Table13_1[[#This Row],[Round BMI]]&gt;=18.5,Table13_1[[#This Row],[Round BMI]] &lt;=24.9),"Healthy Weight",AND(Table13_1[[#This Row],[Round BMI]]&gt;=25,Table13_1[[#This Row],[Round BMI]]&lt;=29.9),"Overweight",Table13_1[[#This Row],[Round BMI]]&gt;=30,"Obese")</f>
        <v>Overweight</v>
      </c>
      <c r="D350" s="4" t="s">
        <v>11</v>
      </c>
      <c r="E350" s="4" t="str">
        <f>IF(Table13_1[[#This Row],[smoker]]="yes","smoker","non-smoker")</f>
        <v>non-smoker</v>
      </c>
      <c r="F350" s="4" t="s">
        <v>12</v>
      </c>
      <c r="G350" s="5">
        <v>36</v>
      </c>
      <c r="H350" s="5">
        <f>IF(Table13_1[[#This Row],[smoker]]="yes",1,0)</f>
        <v>0</v>
      </c>
      <c r="I350" s="4">
        <v>29.92</v>
      </c>
      <c r="J350" s="4">
        <v>1</v>
      </c>
      <c r="K350" s="12">
        <v>5478.0367999999999</v>
      </c>
      <c r="N350">
        <v>195</v>
      </c>
      <c r="O350">
        <v>3619.865553578602</v>
      </c>
      <c r="P350">
        <v>-2482.3958535786019</v>
      </c>
    </row>
    <row r="351" spans="1:16" x14ac:dyDescent="0.25">
      <c r="A351" s="4" t="s">
        <v>10</v>
      </c>
      <c r="B351" s="4">
        <f>ROUND(Table13_1[[#This Row],[bmi]],1)</f>
        <v>27.8</v>
      </c>
      <c r="C351" s="4" t="str" cm="1">
        <f t="array" ref="C351">_xlfn.IFS(Table13_1[[#This Row],[Round BMI]]&lt;18.5,"Underweight",AND(Table13_1[[#This Row],[Round BMI]]&gt;=18.5,Table13_1[[#This Row],[Round BMI]] &lt;=24.9),"Healthy Weight",AND(Table13_1[[#This Row],[Round BMI]]&gt;=25,Table13_1[[#This Row],[Round BMI]]&lt;=29.9),"Overweight",Table13_1[[#This Row],[Round BMI]]&gt;=30,"Obese")</f>
        <v>Overweight</v>
      </c>
      <c r="D351" s="4" t="s">
        <v>11</v>
      </c>
      <c r="E351" s="4" t="str">
        <f>IF(Table13_1[[#This Row],[smoker]]="yes","smoker","non-smoker")</f>
        <v>non-smoker</v>
      </c>
      <c r="F351" s="4" t="s">
        <v>13</v>
      </c>
      <c r="G351" s="5">
        <v>19</v>
      </c>
      <c r="H351" s="5">
        <f>IF(Table13_1[[#This Row],[smoker]]="yes",1,0)</f>
        <v>0</v>
      </c>
      <c r="I351" s="4">
        <v>27.835000000000001</v>
      </c>
      <c r="J351" s="4">
        <v>0</v>
      </c>
      <c r="K351" s="12">
        <v>1635.7336</v>
      </c>
      <c r="N351">
        <v>196</v>
      </c>
      <c r="O351">
        <v>2641.8056739987014</v>
      </c>
      <c r="P351">
        <v>-1002.2425739987013</v>
      </c>
    </row>
    <row r="352" spans="1:16" x14ac:dyDescent="0.25">
      <c r="A352" s="4" t="s">
        <v>7</v>
      </c>
      <c r="B352" s="4">
        <f>ROUND(Table13_1[[#This Row],[bmi]],1)</f>
        <v>23.2</v>
      </c>
      <c r="C352" s="4" t="str" cm="1">
        <f t="array" ref="C352">_xlfn.IFS(Table13_1[[#This Row],[Round BMI]]&lt;18.5,"Underweight",AND(Table13_1[[#This Row],[Round BMI]]&gt;=18.5,Table13_1[[#This Row],[Round BMI]] &lt;=24.9),"Healthy Weight",AND(Table13_1[[#This Row],[Round BMI]]&gt;=25,Table13_1[[#This Row],[Round BMI]]&lt;=29.9),"Overweight",Table13_1[[#This Row],[Round BMI]]&gt;=30,"Obese")</f>
        <v>Healthy Weight</v>
      </c>
      <c r="D352" s="4" t="s">
        <v>11</v>
      </c>
      <c r="E352" s="4" t="str">
        <f>IF(Table13_1[[#This Row],[smoker]]="yes","smoker","non-smoker")</f>
        <v>non-smoker</v>
      </c>
      <c r="F352" s="4" t="s">
        <v>13</v>
      </c>
      <c r="G352" s="5">
        <v>57</v>
      </c>
      <c r="H352" s="5">
        <f>IF(Table13_1[[#This Row],[smoker]]="yes",1,0)</f>
        <v>0</v>
      </c>
      <c r="I352" s="4">
        <v>23.18</v>
      </c>
      <c r="J352" s="4">
        <v>0</v>
      </c>
      <c r="K352" s="12">
        <v>11830.6072</v>
      </c>
      <c r="N352">
        <v>197</v>
      </c>
      <c r="O352">
        <v>8510.0874208849</v>
      </c>
      <c r="P352">
        <v>-2860.3724208848998</v>
      </c>
    </row>
    <row r="353" spans="1:16" x14ac:dyDescent="0.25">
      <c r="A353" s="4" t="s">
        <v>7</v>
      </c>
      <c r="B353" s="4">
        <f>ROUND(Table13_1[[#This Row],[bmi]],1)</f>
        <v>25.6</v>
      </c>
      <c r="C353" s="4" t="str" cm="1">
        <f t="array" ref="C353">_xlfn.IFS(Table13_1[[#This Row],[Round BMI]]&lt;18.5,"Underweight",AND(Table13_1[[#This Row],[Round BMI]]&gt;=18.5,Table13_1[[#This Row],[Round BMI]] &lt;=24.9),"Healthy Weight",AND(Table13_1[[#This Row],[Round BMI]]&gt;=25,Table13_1[[#This Row],[Round BMI]]&lt;=29.9),"Overweight",Table13_1[[#This Row],[Round BMI]]&gt;=30,"Obese")</f>
        <v>Overweight</v>
      </c>
      <c r="D353" s="4" t="s">
        <v>11</v>
      </c>
      <c r="E353" s="4" t="str">
        <f>IF(Table13_1[[#This Row],[smoker]]="yes","smoker","non-smoker")</f>
        <v>non-smoker</v>
      </c>
      <c r="F353" s="4" t="s">
        <v>9</v>
      </c>
      <c r="G353" s="5">
        <v>50</v>
      </c>
      <c r="H353" s="5">
        <f>IF(Table13_1[[#This Row],[smoker]]="yes",1,0)</f>
        <v>0</v>
      </c>
      <c r="I353" s="4">
        <v>25.6</v>
      </c>
      <c r="J353" s="4">
        <v>0</v>
      </c>
      <c r="K353" s="12">
        <v>8932.0840000000007</v>
      </c>
      <c r="N353">
        <v>198</v>
      </c>
      <c r="O353">
        <v>9652.4132040255899</v>
      </c>
      <c r="P353">
        <v>-1135.5842040255902</v>
      </c>
    </row>
    <row r="354" spans="1:16" x14ac:dyDescent="0.25">
      <c r="A354" s="4" t="s">
        <v>7</v>
      </c>
      <c r="B354" s="4">
        <f>ROUND(Table13_1[[#This Row],[bmi]],1)</f>
        <v>27.7</v>
      </c>
      <c r="C354" s="4" t="str" cm="1">
        <f t="array" ref="C354">_xlfn.IFS(Table13_1[[#This Row],[Round BMI]]&lt;18.5,"Underweight",AND(Table13_1[[#This Row],[Round BMI]]&gt;=18.5,Table13_1[[#This Row],[Round BMI]] &lt;=24.9),"Healthy Weight",AND(Table13_1[[#This Row],[Round BMI]]&gt;=25,Table13_1[[#This Row],[Round BMI]]&lt;=29.9),"Overweight",Table13_1[[#This Row],[Round BMI]]&gt;=30,"Obese")</f>
        <v>Overweight</v>
      </c>
      <c r="D354" s="4" t="s">
        <v>11</v>
      </c>
      <c r="E354" s="4" t="str">
        <f>IF(Table13_1[[#This Row],[smoker]]="yes","smoker","non-smoker")</f>
        <v>non-smoker</v>
      </c>
      <c r="F354" s="4" t="s">
        <v>9</v>
      </c>
      <c r="G354" s="5">
        <v>30</v>
      </c>
      <c r="H354" s="5">
        <f>IF(Table13_1[[#This Row],[smoker]]="yes",1,0)</f>
        <v>0</v>
      </c>
      <c r="I354" s="4">
        <v>27.7</v>
      </c>
      <c r="J354" s="4">
        <v>0</v>
      </c>
      <c r="K354" s="12">
        <v>3554.203</v>
      </c>
      <c r="N354">
        <v>199</v>
      </c>
      <c r="O354">
        <v>6856.9733169412857</v>
      </c>
      <c r="P354">
        <v>2787.2791830587148</v>
      </c>
    </row>
    <row r="355" spans="1:16" x14ac:dyDescent="0.25">
      <c r="A355" s="4" t="s">
        <v>10</v>
      </c>
      <c r="B355" s="4">
        <f>ROUND(Table13_1[[#This Row],[bmi]],1)</f>
        <v>35.200000000000003</v>
      </c>
      <c r="C355" s="4" t="str" cm="1">
        <f t="array" ref="C355">_xlfn.IFS(Table13_1[[#This Row],[Round BMI]]&lt;18.5,"Underweight",AND(Table13_1[[#This Row],[Round BMI]]&gt;=18.5,Table13_1[[#This Row],[Round BMI]] &lt;=24.9),"Healthy Weight",AND(Table13_1[[#This Row],[Round BMI]]&gt;=25,Table13_1[[#This Row],[Round BMI]]&lt;=29.9),"Overweight",Table13_1[[#This Row],[Round BMI]]&gt;=30,"Obese")</f>
        <v>Obese</v>
      </c>
      <c r="D355" s="4" t="s">
        <v>11</v>
      </c>
      <c r="E355" s="4" t="str">
        <f>IF(Table13_1[[#This Row],[smoker]]="yes","smoker","non-smoker")</f>
        <v>non-smoker</v>
      </c>
      <c r="F355" s="4" t="s">
        <v>14</v>
      </c>
      <c r="G355" s="5">
        <v>33</v>
      </c>
      <c r="H355" s="5">
        <f>IF(Table13_1[[#This Row],[smoker]]="yes",1,0)</f>
        <v>0</v>
      </c>
      <c r="I355" s="4">
        <v>35.244999999999997</v>
      </c>
      <c r="J355" s="4">
        <v>0</v>
      </c>
      <c r="K355" s="12">
        <v>12404.8791</v>
      </c>
      <c r="N355">
        <v>200</v>
      </c>
      <c r="O355">
        <v>17058.014764696916</v>
      </c>
      <c r="P355">
        <v>-2156.4980646969161</v>
      </c>
    </row>
    <row r="356" spans="1:16" x14ac:dyDescent="0.25">
      <c r="A356" s="4" t="s">
        <v>7</v>
      </c>
      <c r="B356" s="4">
        <f>ROUND(Table13_1[[#This Row],[bmi]],1)</f>
        <v>38.299999999999997</v>
      </c>
      <c r="C356" s="4" t="str" cm="1">
        <f t="array" ref="C356">_xlfn.IFS(Table13_1[[#This Row],[Round BMI]]&lt;18.5,"Underweight",AND(Table13_1[[#This Row],[Round BMI]]&gt;=18.5,Table13_1[[#This Row],[Round BMI]] &lt;=24.9),"Healthy Weight",AND(Table13_1[[#This Row],[Round BMI]]&gt;=25,Table13_1[[#This Row],[Round BMI]]&lt;=29.9),"Overweight",Table13_1[[#This Row],[Round BMI]]&gt;=30,"Obese")</f>
        <v>Obese</v>
      </c>
      <c r="D356" s="4" t="s">
        <v>11</v>
      </c>
      <c r="E356" s="4" t="str">
        <f>IF(Table13_1[[#This Row],[smoker]]="yes","smoker","non-smoker")</f>
        <v>non-smoker</v>
      </c>
      <c r="F356" s="4" t="s">
        <v>12</v>
      </c>
      <c r="G356" s="5">
        <v>18</v>
      </c>
      <c r="H356" s="5">
        <f>IF(Table13_1[[#This Row],[smoker]]="yes",1,0)</f>
        <v>0</v>
      </c>
      <c r="I356" s="4">
        <v>38.28</v>
      </c>
      <c r="J356" s="4">
        <v>0</v>
      </c>
      <c r="K356" s="12">
        <v>14133.0378</v>
      </c>
      <c r="N356">
        <v>201</v>
      </c>
      <c r="O356">
        <v>3131.0198063173439</v>
      </c>
      <c r="P356">
        <v>-1000.3439063173437</v>
      </c>
    </row>
    <row r="357" spans="1:16" x14ac:dyDescent="0.25">
      <c r="A357" s="4" t="s">
        <v>10</v>
      </c>
      <c r="B357" s="4">
        <f>ROUND(Table13_1[[#This Row],[bmi]],1)</f>
        <v>27.6</v>
      </c>
      <c r="C357" s="4" t="str" cm="1">
        <f t="array" ref="C357">_xlfn.IFS(Table13_1[[#This Row],[Round BMI]]&lt;18.5,"Underweight",AND(Table13_1[[#This Row],[Round BMI]]&gt;=18.5,Table13_1[[#This Row],[Round BMI]] &lt;=24.9),"Healthy Weight",AND(Table13_1[[#This Row],[Round BMI]]&gt;=25,Table13_1[[#This Row],[Round BMI]]&lt;=29.9),"Overweight",Table13_1[[#This Row],[Round BMI]]&gt;=30,"Obese")</f>
        <v>Overweight</v>
      </c>
      <c r="D357" s="4" t="s">
        <v>11</v>
      </c>
      <c r="E357" s="4" t="str">
        <f>IF(Table13_1[[#This Row],[smoker]]="yes","smoker","non-smoker")</f>
        <v>non-smoker</v>
      </c>
      <c r="F357" s="4" t="s">
        <v>9</v>
      </c>
      <c r="G357" s="5">
        <v>46</v>
      </c>
      <c r="H357" s="5">
        <f>IF(Table13_1[[#This Row],[smoker]]="yes",1,0)</f>
        <v>0</v>
      </c>
      <c r="I357" s="4">
        <v>27.6</v>
      </c>
      <c r="J357" s="4">
        <v>0</v>
      </c>
      <c r="K357" s="12">
        <v>24603.0484</v>
      </c>
      <c r="N357">
        <v>202</v>
      </c>
      <c r="O357">
        <v>11120.780002784435</v>
      </c>
      <c r="P357">
        <v>-2249.6283027844347</v>
      </c>
    </row>
    <row r="358" spans="1:16" x14ac:dyDescent="0.25">
      <c r="A358" s="4" t="s">
        <v>10</v>
      </c>
      <c r="B358" s="4">
        <f>ROUND(Table13_1[[#This Row],[bmi]],1)</f>
        <v>43.9</v>
      </c>
      <c r="C358" s="4" t="str" cm="1">
        <f t="array" ref="C358">_xlfn.IFS(Table13_1[[#This Row],[Round BMI]]&lt;18.5,"Underweight",AND(Table13_1[[#This Row],[Round BMI]]&gt;=18.5,Table13_1[[#This Row],[Round BMI]] &lt;=24.9),"Healthy Weight",AND(Table13_1[[#This Row],[Round BMI]]&gt;=25,Table13_1[[#This Row],[Round BMI]]&lt;=29.9),"Overweight",Table13_1[[#This Row],[Round BMI]]&gt;=30,"Obese")</f>
        <v>Obese</v>
      </c>
      <c r="D358" s="4" t="s">
        <v>11</v>
      </c>
      <c r="E358" s="4" t="str">
        <f>IF(Table13_1[[#This Row],[smoker]]="yes","smoker","non-smoker")</f>
        <v>non-smoker</v>
      </c>
      <c r="F358" s="4" t="s">
        <v>12</v>
      </c>
      <c r="G358" s="5">
        <v>46</v>
      </c>
      <c r="H358" s="5">
        <f>IF(Table13_1[[#This Row],[smoker]]="yes",1,0)</f>
        <v>0</v>
      </c>
      <c r="I358" s="4">
        <v>43.89</v>
      </c>
      <c r="J358" s="4">
        <v>3</v>
      </c>
      <c r="K358" s="12">
        <v>8944.1151000000009</v>
      </c>
      <c r="N358">
        <v>203</v>
      </c>
      <c r="O358">
        <v>11103.899528919146</v>
      </c>
      <c r="P358">
        <v>1908.3090710808538</v>
      </c>
    </row>
    <row r="359" spans="1:16" x14ac:dyDescent="0.25">
      <c r="A359" s="4" t="s">
        <v>10</v>
      </c>
      <c r="B359" s="4">
        <f>ROUND(Table13_1[[#This Row],[bmi]],1)</f>
        <v>29.8</v>
      </c>
      <c r="C359" s="4" t="str" cm="1">
        <f t="array" ref="C359">_xlfn.IFS(Table13_1[[#This Row],[Round BMI]]&lt;18.5,"Underweight",AND(Table13_1[[#This Row],[Round BMI]]&gt;=18.5,Table13_1[[#This Row],[Round BMI]] &lt;=24.9),"Healthy Weight",AND(Table13_1[[#This Row],[Round BMI]]&gt;=25,Table13_1[[#This Row],[Round BMI]]&lt;=29.9),"Overweight",Table13_1[[#This Row],[Round BMI]]&gt;=30,"Obese")</f>
        <v>Overweight</v>
      </c>
      <c r="D359" s="4" t="s">
        <v>11</v>
      </c>
      <c r="E359" s="4" t="str">
        <f>IF(Table13_1[[#This Row],[smoker]]="yes","smoker","non-smoker")</f>
        <v>non-smoker</v>
      </c>
      <c r="F359" s="4" t="s">
        <v>13</v>
      </c>
      <c r="G359" s="5">
        <v>47</v>
      </c>
      <c r="H359" s="5">
        <f>IF(Table13_1[[#This Row],[smoker]]="yes",1,0)</f>
        <v>0</v>
      </c>
      <c r="I359" s="4">
        <v>29.83</v>
      </c>
      <c r="J359" s="4">
        <v>3</v>
      </c>
      <c r="K359" s="12">
        <v>9620.3307000000004</v>
      </c>
      <c r="N359">
        <v>204</v>
      </c>
      <c r="O359">
        <v>30282.965780255327</v>
      </c>
      <c r="P359">
        <v>6850.9324197446767</v>
      </c>
    </row>
    <row r="360" spans="1:16" x14ac:dyDescent="0.25">
      <c r="A360" s="4" t="s">
        <v>10</v>
      </c>
      <c r="B360" s="4">
        <f>ROUND(Table13_1[[#This Row],[bmi]],1)</f>
        <v>41.9</v>
      </c>
      <c r="C360" s="4" t="str" cm="1">
        <f t="array" ref="C360">_xlfn.IFS(Table13_1[[#This Row],[Round BMI]]&lt;18.5,"Underweight",AND(Table13_1[[#This Row],[Round BMI]]&gt;=18.5,Table13_1[[#This Row],[Round BMI]] &lt;=24.9),"Healthy Weight",AND(Table13_1[[#This Row],[Round BMI]]&gt;=25,Table13_1[[#This Row],[Round BMI]]&lt;=29.9),"Overweight",Table13_1[[#This Row],[Round BMI]]&gt;=30,"Obese")</f>
        <v>Obese</v>
      </c>
      <c r="D360" s="4" t="s">
        <v>11</v>
      </c>
      <c r="E360" s="4" t="str">
        <f>IF(Table13_1[[#This Row],[smoker]]="yes","smoker","non-smoker")</f>
        <v>non-smoker</v>
      </c>
      <c r="F360" s="4" t="s">
        <v>12</v>
      </c>
      <c r="G360" s="5">
        <v>23</v>
      </c>
      <c r="H360" s="5">
        <f>IF(Table13_1[[#This Row],[smoker]]="yes",1,0)</f>
        <v>0</v>
      </c>
      <c r="I360" s="4">
        <v>41.91</v>
      </c>
      <c r="J360" s="4">
        <v>0</v>
      </c>
      <c r="K360" s="12">
        <v>1837.2819</v>
      </c>
      <c r="N360">
        <v>205</v>
      </c>
      <c r="O360">
        <v>6935.5942423646602</v>
      </c>
      <c r="P360">
        <v>211.51075763533936</v>
      </c>
    </row>
    <row r="361" spans="1:16" x14ac:dyDescent="0.25">
      <c r="A361" s="4" t="s">
        <v>7</v>
      </c>
      <c r="B361" s="4">
        <f>ROUND(Table13_1[[#This Row],[bmi]],1)</f>
        <v>20.8</v>
      </c>
      <c r="C361" s="4" t="str" cm="1">
        <f t="array" ref="C361">_xlfn.IFS(Table13_1[[#This Row],[Round BMI]]&lt;18.5,"Underweight",AND(Table13_1[[#This Row],[Round BMI]]&gt;=18.5,Table13_1[[#This Row],[Round BMI]] &lt;=24.9),"Healthy Weight",AND(Table13_1[[#This Row],[Round BMI]]&gt;=25,Table13_1[[#This Row],[Round BMI]]&lt;=29.9),"Overweight",Table13_1[[#This Row],[Round BMI]]&gt;=30,"Obese")</f>
        <v>Healthy Weight</v>
      </c>
      <c r="D361" s="4" t="s">
        <v>11</v>
      </c>
      <c r="E361" s="4" t="str">
        <f>IF(Table13_1[[#This Row],[smoker]]="yes","smoker","non-smoker")</f>
        <v>non-smoker</v>
      </c>
      <c r="F361" s="4" t="s">
        <v>12</v>
      </c>
      <c r="G361" s="5">
        <v>18</v>
      </c>
      <c r="H361" s="5">
        <f>IF(Table13_1[[#This Row],[smoker]]="yes",1,0)</f>
        <v>0</v>
      </c>
      <c r="I361" s="4">
        <v>20.79</v>
      </c>
      <c r="J361" s="4">
        <v>0</v>
      </c>
      <c r="K361" s="12">
        <v>1607.5101</v>
      </c>
      <c r="N361">
        <v>206</v>
      </c>
      <c r="O361">
        <v>4885.5876566592542</v>
      </c>
      <c r="P361">
        <v>-547.85245665925413</v>
      </c>
    </row>
    <row r="362" spans="1:16" x14ac:dyDescent="0.25">
      <c r="A362" s="4" t="s">
        <v>7</v>
      </c>
      <c r="B362" s="4">
        <f>ROUND(Table13_1[[#This Row],[bmi]],1)</f>
        <v>32.299999999999997</v>
      </c>
      <c r="C362" s="4" t="str" cm="1">
        <f t="array" ref="C362">_xlfn.IFS(Table13_1[[#This Row],[Round BMI]]&lt;18.5,"Underweight",AND(Table13_1[[#This Row],[Round BMI]]&gt;=18.5,Table13_1[[#This Row],[Round BMI]] &lt;=24.9),"Healthy Weight",AND(Table13_1[[#This Row],[Round BMI]]&gt;=25,Table13_1[[#This Row],[Round BMI]]&lt;=29.9),"Overweight",Table13_1[[#This Row],[Round BMI]]&gt;=30,"Obese")</f>
        <v>Obese</v>
      </c>
      <c r="D362" s="4" t="s">
        <v>11</v>
      </c>
      <c r="E362" s="4" t="str">
        <f>IF(Table13_1[[#This Row],[smoker]]="yes","smoker","non-smoker")</f>
        <v>non-smoker</v>
      </c>
      <c r="F362" s="4" t="s">
        <v>14</v>
      </c>
      <c r="G362" s="5">
        <v>48</v>
      </c>
      <c r="H362" s="5">
        <f>IF(Table13_1[[#This Row],[smoker]]="yes",1,0)</f>
        <v>0</v>
      </c>
      <c r="I362" s="4">
        <v>32.299999999999997</v>
      </c>
      <c r="J362" s="4">
        <v>2</v>
      </c>
      <c r="K362" s="12">
        <v>10043.249</v>
      </c>
      <c r="N362">
        <v>207</v>
      </c>
      <c r="O362">
        <v>11607.228589308259</v>
      </c>
      <c r="P362">
        <v>136.07041069174193</v>
      </c>
    </row>
    <row r="363" spans="1:16" x14ac:dyDescent="0.25">
      <c r="A363" s="4" t="s">
        <v>10</v>
      </c>
      <c r="B363" s="4">
        <f>ROUND(Table13_1[[#This Row],[bmi]],1)</f>
        <v>30.5</v>
      </c>
      <c r="C363" s="4" t="str" cm="1">
        <f t="array" ref="C363">_xlfn.IFS(Table13_1[[#This Row],[Round BMI]]&lt;18.5,"Underweight",AND(Table13_1[[#This Row],[Round BMI]]&gt;=18.5,Table13_1[[#This Row],[Round BMI]] &lt;=24.9),"Healthy Weight",AND(Table13_1[[#This Row],[Round BMI]]&gt;=25,Table13_1[[#This Row],[Round BMI]]&lt;=29.9),"Overweight",Table13_1[[#This Row],[Round BMI]]&gt;=30,"Obese")</f>
        <v>Obese</v>
      </c>
      <c r="D363" s="4" t="s">
        <v>11</v>
      </c>
      <c r="E363" s="4" t="str">
        <f>IF(Table13_1[[#This Row],[smoker]]="yes","smoker","non-smoker")</f>
        <v>non-smoker</v>
      </c>
      <c r="F363" s="4" t="s">
        <v>9</v>
      </c>
      <c r="G363" s="5">
        <v>35</v>
      </c>
      <c r="H363" s="5">
        <f>IF(Table13_1[[#This Row],[smoker]]="yes",1,0)</f>
        <v>0</v>
      </c>
      <c r="I363" s="4">
        <v>30.5</v>
      </c>
      <c r="J363" s="4">
        <v>1</v>
      </c>
      <c r="K363" s="12">
        <v>4751.07</v>
      </c>
      <c r="N363">
        <v>208</v>
      </c>
      <c r="O363">
        <v>30608.525770294109</v>
      </c>
      <c r="P363">
        <v>-9624.4321702941088</v>
      </c>
    </row>
    <row r="364" spans="1:16" x14ac:dyDescent="0.25">
      <c r="A364" s="4" t="s">
        <v>7</v>
      </c>
      <c r="B364" s="4">
        <f>ROUND(Table13_1[[#This Row],[bmi]],1)</f>
        <v>21.7</v>
      </c>
      <c r="C364" s="4" t="str" cm="1">
        <f t="array" ref="C364">_xlfn.IFS(Table13_1[[#This Row],[Round BMI]]&lt;18.5,"Underweight",AND(Table13_1[[#This Row],[Round BMI]]&gt;=18.5,Table13_1[[#This Row],[Round BMI]] &lt;=24.9),"Healthy Weight",AND(Table13_1[[#This Row],[Round BMI]]&gt;=25,Table13_1[[#This Row],[Round BMI]]&lt;=29.9),"Overweight",Table13_1[[#This Row],[Round BMI]]&gt;=30,"Obese")</f>
        <v>Healthy Weight</v>
      </c>
      <c r="D364" s="4" t="s">
        <v>8</v>
      </c>
      <c r="E364" s="4" t="str">
        <f>IF(Table13_1[[#This Row],[smoker]]="yes","smoker","non-smoker")</f>
        <v>smoker</v>
      </c>
      <c r="F364" s="4" t="s">
        <v>9</v>
      </c>
      <c r="G364" s="5">
        <v>19</v>
      </c>
      <c r="H364" s="5">
        <f>IF(Table13_1[[#This Row],[smoker]]="yes",1,0)</f>
        <v>1</v>
      </c>
      <c r="I364" s="4">
        <v>21.7</v>
      </c>
      <c r="J364" s="4">
        <v>0</v>
      </c>
      <c r="K364" s="12">
        <v>13844.505999999999</v>
      </c>
      <c r="N364">
        <v>209</v>
      </c>
      <c r="O364">
        <v>14376.624193972229</v>
      </c>
      <c r="P364">
        <v>-495.67519397222895</v>
      </c>
    </row>
    <row r="365" spans="1:16" x14ac:dyDescent="0.25">
      <c r="A365" s="4" t="s">
        <v>7</v>
      </c>
      <c r="B365" s="4">
        <f>ROUND(Table13_1[[#This Row],[bmi]],1)</f>
        <v>26.4</v>
      </c>
      <c r="C365" s="4" t="str" cm="1">
        <f t="array" ref="C365">_xlfn.IFS(Table13_1[[#This Row],[Round BMI]]&lt;18.5,"Underweight",AND(Table13_1[[#This Row],[Round BMI]]&gt;=18.5,Table13_1[[#This Row],[Round BMI]] &lt;=24.9),"Healthy Weight",AND(Table13_1[[#This Row],[Round BMI]]&gt;=25,Table13_1[[#This Row],[Round BMI]]&lt;=29.9),"Overweight",Table13_1[[#This Row],[Round BMI]]&gt;=30,"Obese")</f>
        <v>Overweight</v>
      </c>
      <c r="D365" s="4" t="s">
        <v>11</v>
      </c>
      <c r="E365" s="4" t="str">
        <f>IF(Table13_1[[#This Row],[smoker]]="yes","smoker","non-smoker")</f>
        <v>non-smoker</v>
      </c>
      <c r="F365" s="4" t="s">
        <v>9</v>
      </c>
      <c r="G365" s="5">
        <v>21</v>
      </c>
      <c r="H365" s="5">
        <f>IF(Table13_1[[#This Row],[smoker]]="yes",1,0)</f>
        <v>0</v>
      </c>
      <c r="I365" s="4">
        <v>26.4</v>
      </c>
      <c r="J365" s="4">
        <v>1</v>
      </c>
      <c r="K365" s="12">
        <v>2597.779</v>
      </c>
      <c r="N365">
        <v>210</v>
      </c>
      <c r="O365">
        <v>11954.6465697125</v>
      </c>
      <c r="P365">
        <v>-5344.5368697125004</v>
      </c>
    </row>
    <row r="366" spans="1:16" x14ac:dyDescent="0.25">
      <c r="A366" s="4" t="s">
        <v>7</v>
      </c>
      <c r="B366" s="4">
        <f>ROUND(Table13_1[[#This Row],[bmi]],1)</f>
        <v>21.9</v>
      </c>
      <c r="C366" s="4" t="str" cm="1">
        <f t="array" ref="C366">_xlfn.IFS(Table13_1[[#This Row],[Round BMI]]&lt;18.5,"Underweight",AND(Table13_1[[#This Row],[Round BMI]]&gt;=18.5,Table13_1[[#This Row],[Round BMI]] &lt;=24.9),"Healthy Weight",AND(Table13_1[[#This Row],[Round BMI]]&gt;=25,Table13_1[[#This Row],[Round BMI]]&lt;=29.9),"Overweight",Table13_1[[#This Row],[Round BMI]]&gt;=30,"Obese")</f>
        <v>Healthy Weight</v>
      </c>
      <c r="D366" s="4" t="s">
        <v>11</v>
      </c>
      <c r="E366" s="4" t="str">
        <f>IF(Table13_1[[#This Row],[smoker]]="yes","smoker","non-smoker")</f>
        <v>non-smoker</v>
      </c>
      <c r="F366" s="4" t="s">
        <v>12</v>
      </c>
      <c r="G366" s="5">
        <v>21</v>
      </c>
      <c r="H366" s="5">
        <f>IF(Table13_1[[#This Row],[smoker]]="yes",1,0)</f>
        <v>0</v>
      </c>
      <c r="I366" s="4">
        <v>21.89</v>
      </c>
      <c r="J366" s="4">
        <v>2</v>
      </c>
      <c r="K366" s="12">
        <v>3180.5101</v>
      </c>
      <c r="N366">
        <v>211</v>
      </c>
      <c r="O366">
        <v>4148.8193777222014</v>
      </c>
      <c r="P366">
        <v>-2168.7493777222016</v>
      </c>
    </row>
    <row r="367" spans="1:16" x14ac:dyDescent="0.25">
      <c r="A367" s="4" t="s">
        <v>7</v>
      </c>
      <c r="B367" s="4">
        <f>ROUND(Table13_1[[#This Row],[bmi]],1)</f>
        <v>30.8</v>
      </c>
      <c r="C367" s="4" t="str" cm="1">
        <f t="array" ref="C367">_xlfn.IFS(Table13_1[[#This Row],[Round BMI]]&lt;18.5,"Underweight",AND(Table13_1[[#This Row],[Round BMI]]&gt;=18.5,Table13_1[[#This Row],[Round BMI]] &lt;=24.9),"Healthy Weight",AND(Table13_1[[#This Row],[Round BMI]]&gt;=25,Table13_1[[#This Row],[Round BMI]]&lt;=29.9),"Overweight",Table13_1[[#This Row],[Round BMI]]&gt;=30,"Obese")</f>
        <v>Obese</v>
      </c>
      <c r="D367" s="4" t="s">
        <v>11</v>
      </c>
      <c r="E367" s="4" t="str">
        <f>IF(Table13_1[[#This Row],[smoker]]="yes","smoker","non-smoker")</f>
        <v>non-smoker</v>
      </c>
      <c r="F367" s="4" t="s">
        <v>14</v>
      </c>
      <c r="G367" s="5">
        <v>49</v>
      </c>
      <c r="H367" s="5">
        <f>IF(Table13_1[[#This Row],[smoker]]="yes",1,0)</f>
        <v>0</v>
      </c>
      <c r="I367" s="4">
        <v>30.78</v>
      </c>
      <c r="J367" s="4">
        <v>1</v>
      </c>
      <c r="K367" s="12">
        <v>9778.3472000000002</v>
      </c>
      <c r="N367">
        <v>212</v>
      </c>
      <c r="O367">
        <v>10042.382239929215</v>
      </c>
      <c r="P367">
        <v>-1879.666039929215</v>
      </c>
    </row>
    <row r="368" spans="1:16" x14ac:dyDescent="0.25">
      <c r="A368" s="4" t="s">
        <v>7</v>
      </c>
      <c r="B368" s="4">
        <f>ROUND(Table13_1[[#This Row],[bmi]],1)</f>
        <v>32.299999999999997</v>
      </c>
      <c r="C368" s="4" t="str" cm="1">
        <f t="array" ref="C368">_xlfn.IFS(Table13_1[[#This Row],[Round BMI]]&lt;18.5,"Underweight",AND(Table13_1[[#This Row],[Round BMI]]&gt;=18.5,Table13_1[[#This Row],[Round BMI]] &lt;=24.9),"Healthy Weight",AND(Table13_1[[#This Row],[Round BMI]]&gt;=25,Table13_1[[#This Row],[Round BMI]]&lt;=29.9),"Overweight",Table13_1[[#This Row],[Round BMI]]&gt;=30,"Obese")</f>
        <v>Obese</v>
      </c>
      <c r="D368" s="4" t="s">
        <v>11</v>
      </c>
      <c r="E368" s="4" t="str">
        <f>IF(Table13_1[[#This Row],[smoker]]="yes","smoker","non-smoker")</f>
        <v>non-smoker</v>
      </c>
      <c r="F368" s="4" t="s">
        <v>14</v>
      </c>
      <c r="G368" s="5">
        <v>56</v>
      </c>
      <c r="H368" s="5">
        <f>IF(Table13_1[[#This Row],[smoker]]="yes",1,0)</f>
        <v>0</v>
      </c>
      <c r="I368" s="4">
        <v>32.299999999999997</v>
      </c>
      <c r="J368" s="4">
        <v>3</v>
      </c>
      <c r="K368" s="12">
        <v>13430.264999999999</v>
      </c>
      <c r="N368">
        <v>213</v>
      </c>
      <c r="O368">
        <v>4205.3884098039935</v>
      </c>
      <c r="P368">
        <v>-667.68540980399348</v>
      </c>
    </row>
    <row r="369" spans="1:16" x14ac:dyDescent="0.25">
      <c r="A369" s="4" t="s">
        <v>7</v>
      </c>
      <c r="B369" s="4">
        <f>ROUND(Table13_1[[#This Row],[bmi]],1)</f>
        <v>25</v>
      </c>
      <c r="C369" s="4" t="str" cm="1">
        <f t="array" ref="C369">_xlfn.IFS(Table13_1[[#This Row],[Round BMI]]&lt;18.5,"Underweight",AND(Table13_1[[#This Row],[Round BMI]]&gt;=18.5,Table13_1[[#This Row],[Round BMI]] &lt;=24.9),"Healthy Weight",AND(Table13_1[[#This Row],[Round BMI]]&gt;=25,Table13_1[[#This Row],[Round BMI]]&lt;=29.9),"Overweight",Table13_1[[#This Row],[Round BMI]]&gt;=30,"Obese")</f>
        <v>Overweight</v>
      </c>
      <c r="D369" s="4" t="s">
        <v>11</v>
      </c>
      <c r="E369" s="4" t="str">
        <f>IF(Table13_1[[#This Row],[smoker]]="yes","smoker","non-smoker")</f>
        <v>non-smoker</v>
      </c>
      <c r="F369" s="4" t="s">
        <v>13</v>
      </c>
      <c r="G369" s="5">
        <v>42</v>
      </c>
      <c r="H369" s="5">
        <f>IF(Table13_1[[#This Row],[smoker]]="yes",1,0)</f>
        <v>0</v>
      </c>
      <c r="I369" s="4">
        <v>24.984999999999999</v>
      </c>
      <c r="J369" s="4">
        <v>2</v>
      </c>
      <c r="K369" s="12">
        <v>8017.0612000000001</v>
      </c>
      <c r="N369">
        <v>214</v>
      </c>
      <c r="O369">
        <v>5740.7041845327831</v>
      </c>
      <c r="P369">
        <v>-737.92148453278332</v>
      </c>
    </row>
    <row r="370" spans="1:16" x14ac:dyDescent="0.25">
      <c r="A370" s="4" t="s">
        <v>10</v>
      </c>
      <c r="B370" s="4">
        <f>ROUND(Table13_1[[#This Row],[bmi]],1)</f>
        <v>32</v>
      </c>
      <c r="C370" s="4" t="str" cm="1">
        <f t="array" ref="C370">_xlfn.IFS(Table13_1[[#This Row],[Round BMI]]&lt;18.5,"Underweight",AND(Table13_1[[#This Row],[Round BMI]]&gt;=18.5,Table13_1[[#This Row],[Round BMI]] &lt;=24.9),"Healthy Weight",AND(Table13_1[[#This Row],[Round BMI]]&gt;=25,Table13_1[[#This Row],[Round BMI]]&lt;=29.9),"Overweight",Table13_1[[#This Row],[Round BMI]]&gt;=30,"Obese")</f>
        <v>Obese</v>
      </c>
      <c r="D370" s="4" t="s">
        <v>11</v>
      </c>
      <c r="E370" s="4" t="str">
        <f>IF(Table13_1[[#This Row],[smoker]]="yes","smoker","non-smoker")</f>
        <v>non-smoker</v>
      </c>
      <c r="F370" s="4" t="s">
        <v>13</v>
      </c>
      <c r="G370" s="5">
        <v>44</v>
      </c>
      <c r="H370" s="5">
        <f>IF(Table13_1[[#This Row],[smoker]]="yes",1,0)</f>
        <v>0</v>
      </c>
      <c r="I370" s="4">
        <v>32.015000000000001</v>
      </c>
      <c r="J370" s="4">
        <v>2</v>
      </c>
      <c r="K370" s="12">
        <v>8116.2687999999998</v>
      </c>
      <c r="N370">
        <v>215</v>
      </c>
      <c r="O370">
        <v>10392.671430560378</v>
      </c>
      <c r="P370">
        <v>-1872.6454305603784</v>
      </c>
    </row>
    <row r="371" spans="1:16" x14ac:dyDescent="0.25">
      <c r="A371" s="4" t="s">
        <v>10</v>
      </c>
      <c r="B371" s="4">
        <f>ROUND(Table13_1[[#This Row],[bmi]],1)</f>
        <v>30.4</v>
      </c>
      <c r="C371" s="4" t="str" cm="1">
        <f t="array" ref="C371">_xlfn.IFS(Table13_1[[#This Row],[Round BMI]]&lt;18.5,"Underweight",AND(Table13_1[[#This Row],[Round BMI]]&gt;=18.5,Table13_1[[#This Row],[Round BMI]] &lt;=24.9),"Healthy Weight",AND(Table13_1[[#This Row],[Round BMI]]&gt;=25,Table13_1[[#This Row],[Round BMI]]&lt;=29.9),"Overweight",Table13_1[[#This Row],[Round BMI]]&gt;=30,"Obese")</f>
        <v>Obese</v>
      </c>
      <c r="D371" s="4" t="s">
        <v>11</v>
      </c>
      <c r="E371" s="4" t="str">
        <f>IF(Table13_1[[#This Row],[smoker]]="yes","smoker","non-smoker")</f>
        <v>non-smoker</v>
      </c>
      <c r="F371" s="4" t="s">
        <v>14</v>
      </c>
      <c r="G371" s="5">
        <v>18</v>
      </c>
      <c r="H371" s="5">
        <f>IF(Table13_1[[#This Row],[smoker]]="yes",1,0)</f>
        <v>0</v>
      </c>
      <c r="I371" s="4">
        <v>30.4</v>
      </c>
      <c r="J371" s="4">
        <v>3</v>
      </c>
      <c r="K371" s="12">
        <v>3481.8679999999999</v>
      </c>
      <c r="N371">
        <v>216</v>
      </c>
      <c r="O371">
        <v>11356.752098854473</v>
      </c>
      <c r="P371">
        <v>-3984.980098854473</v>
      </c>
    </row>
    <row r="372" spans="1:16" x14ac:dyDescent="0.25">
      <c r="A372" s="4" t="s">
        <v>7</v>
      </c>
      <c r="B372" s="4">
        <f>ROUND(Table13_1[[#This Row],[bmi]],1)</f>
        <v>21.1</v>
      </c>
      <c r="C372" s="4" t="str" cm="1">
        <f t="array" ref="C372">_xlfn.IFS(Table13_1[[#This Row],[Round BMI]]&lt;18.5,"Underweight",AND(Table13_1[[#This Row],[Round BMI]]&gt;=18.5,Table13_1[[#This Row],[Round BMI]] &lt;=24.9),"Healthy Weight",AND(Table13_1[[#This Row],[Round BMI]]&gt;=25,Table13_1[[#This Row],[Round BMI]]&lt;=29.9),"Overweight",Table13_1[[#This Row],[Round BMI]]&gt;=30,"Obese")</f>
        <v>Healthy Weight</v>
      </c>
      <c r="D372" s="4" t="s">
        <v>11</v>
      </c>
      <c r="E372" s="4" t="str">
        <f>IF(Table13_1[[#This Row],[smoker]]="yes","smoker","non-smoker")</f>
        <v>non-smoker</v>
      </c>
      <c r="F372" s="4" t="s">
        <v>13</v>
      </c>
      <c r="G372" s="5">
        <v>61</v>
      </c>
      <c r="H372" s="5">
        <f>IF(Table13_1[[#This Row],[smoker]]="yes",1,0)</f>
        <v>0</v>
      </c>
      <c r="I372" s="4">
        <v>21.09</v>
      </c>
      <c r="J372" s="4">
        <v>0</v>
      </c>
      <c r="K372" s="12">
        <v>13415.0381</v>
      </c>
      <c r="N372">
        <v>217</v>
      </c>
      <c r="O372">
        <v>10124.501825894366</v>
      </c>
      <c r="P372">
        <v>231.13917410563408</v>
      </c>
    </row>
    <row r="373" spans="1:16" x14ac:dyDescent="0.25">
      <c r="A373" s="4" t="s">
        <v>7</v>
      </c>
      <c r="B373" s="4">
        <f>ROUND(Table13_1[[#This Row],[bmi]],1)</f>
        <v>22.2</v>
      </c>
      <c r="C373" s="4" t="str" cm="1">
        <f t="array" ref="C373">_xlfn.IFS(Table13_1[[#This Row],[Round BMI]]&lt;18.5,"Underweight",AND(Table13_1[[#This Row],[Round BMI]]&gt;=18.5,Table13_1[[#This Row],[Round BMI]] &lt;=24.9),"Healthy Weight",AND(Table13_1[[#This Row],[Round BMI]]&gt;=25,Table13_1[[#This Row],[Round BMI]]&lt;=29.9),"Overweight",Table13_1[[#This Row],[Round BMI]]&gt;=30,"Obese")</f>
        <v>Healthy Weight</v>
      </c>
      <c r="D373" s="4" t="s">
        <v>11</v>
      </c>
      <c r="E373" s="4" t="str">
        <f>IF(Table13_1[[#This Row],[smoker]]="yes","smoker","non-smoker")</f>
        <v>non-smoker</v>
      </c>
      <c r="F373" s="4" t="s">
        <v>14</v>
      </c>
      <c r="G373" s="5">
        <v>57</v>
      </c>
      <c r="H373" s="5">
        <f>IF(Table13_1[[#This Row],[smoker]]="yes",1,0)</f>
        <v>0</v>
      </c>
      <c r="I373" s="4">
        <v>22.23</v>
      </c>
      <c r="J373" s="4">
        <v>0</v>
      </c>
      <c r="K373" s="12">
        <v>12029.286700000001</v>
      </c>
      <c r="N373">
        <v>218</v>
      </c>
      <c r="O373">
        <v>2293.9347253608667</v>
      </c>
      <c r="P373">
        <v>189.80127463913323</v>
      </c>
    </row>
    <row r="374" spans="1:16" x14ac:dyDescent="0.25">
      <c r="A374" s="4" t="s">
        <v>7</v>
      </c>
      <c r="B374" s="4">
        <f>ROUND(Table13_1[[#This Row],[bmi]],1)</f>
        <v>33.200000000000003</v>
      </c>
      <c r="C374" s="4" t="str" cm="1">
        <f t="array" ref="C374">_xlfn.IFS(Table13_1[[#This Row],[Round BMI]]&lt;18.5,"Underweight",AND(Table13_1[[#This Row],[Round BMI]]&gt;=18.5,Table13_1[[#This Row],[Round BMI]] &lt;=24.9),"Healthy Weight",AND(Table13_1[[#This Row],[Round BMI]]&gt;=25,Table13_1[[#This Row],[Round BMI]]&lt;=29.9),"Overweight",Table13_1[[#This Row],[Round BMI]]&gt;=30,"Obese")</f>
        <v>Obese</v>
      </c>
      <c r="D374" s="4" t="s">
        <v>11</v>
      </c>
      <c r="E374" s="4" t="str">
        <f>IF(Table13_1[[#This Row],[smoker]]="yes","smoker","non-smoker")</f>
        <v>non-smoker</v>
      </c>
      <c r="F374" s="4" t="s">
        <v>14</v>
      </c>
      <c r="G374" s="5">
        <v>42</v>
      </c>
      <c r="H374" s="5">
        <f>IF(Table13_1[[#This Row],[smoker]]="yes",1,0)</f>
        <v>0</v>
      </c>
      <c r="I374" s="4">
        <v>33.155000000000001</v>
      </c>
      <c r="J374" s="4">
        <v>1</v>
      </c>
      <c r="K374" s="12">
        <v>7639.4174000000003</v>
      </c>
      <c r="N374">
        <v>219</v>
      </c>
      <c r="O374">
        <v>4704.6141009534031</v>
      </c>
      <c r="P374">
        <v>-1311.6373009534032</v>
      </c>
    </row>
    <row r="375" spans="1:16" x14ac:dyDescent="0.25">
      <c r="A375" s="4" t="s">
        <v>10</v>
      </c>
      <c r="B375" s="4">
        <f>ROUND(Table13_1[[#This Row],[bmi]],1)</f>
        <v>32.9</v>
      </c>
      <c r="C375" s="4" t="str" cm="1">
        <f t="array" ref="C375">_xlfn.IFS(Table13_1[[#This Row],[Round BMI]]&lt;18.5,"Underweight",AND(Table13_1[[#This Row],[Round BMI]]&gt;=18.5,Table13_1[[#This Row],[Round BMI]] &lt;=24.9),"Healthy Weight",AND(Table13_1[[#This Row],[Round BMI]]&gt;=25,Table13_1[[#This Row],[Round BMI]]&lt;=29.9),"Overweight",Table13_1[[#This Row],[Round BMI]]&gt;=30,"Obese")</f>
        <v>Obese</v>
      </c>
      <c r="D375" s="4" t="s">
        <v>8</v>
      </c>
      <c r="E375" s="4" t="str">
        <f>IF(Table13_1[[#This Row],[smoker]]="yes","smoker","non-smoker")</f>
        <v>smoker</v>
      </c>
      <c r="F375" s="4" t="s">
        <v>9</v>
      </c>
      <c r="G375" s="5">
        <v>26</v>
      </c>
      <c r="H375" s="5">
        <f>IF(Table13_1[[#This Row],[smoker]]="yes",1,0)</f>
        <v>1</v>
      </c>
      <c r="I375" s="4">
        <v>32.9</v>
      </c>
      <c r="J375" s="4">
        <v>2</v>
      </c>
      <c r="K375" s="12">
        <v>36085.218999999997</v>
      </c>
      <c r="N375">
        <v>220</v>
      </c>
      <c r="O375">
        <v>1555.7898576823336</v>
      </c>
      <c r="P375">
        <v>23525.977942317666</v>
      </c>
    </row>
    <row r="376" spans="1:16" x14ac:dyDescent="0.25">
      <c r="A376" s="4" t="s">
        <v>10</v>
      </c>
      <c r="B376" s="4">
        <f>ROUND(Table13_1[[#This Row],[bmi]],1)</f>
        <v>33.299999999999997</v>
      </c>
      <c r="C376" s="4" t="str" cm="1">
        <f t="array" ref="C376">_xlfn.IFS(Table13_1[[#This Row],[Round BMI]]&lt;18.5,"Underweight",AND(Table13_1[[#This Row],[Round BMI]]&gt;=18.5,Table13_1[[#This Row],[Round BMI]] &lt;=24.9),"Healthy Weight",AND(Table13_1[[#This Row],[Round BMI]]&gt;=25,Table13_1[[#This Row],[Round BMI]]&lt;=29.9),"Overweight",Table13_1[[#This Row],[Round BMI]]&gt;=30,"Obese")</f>
        <v>Obese</v>
      </c>
      <c r="D376" s="4" t="s">
        <v>11</v>
      </c>
      <c r="E376" s="4" t="str">
        <f>IF(Table13_1[[#This Row],[smoker]]="yes","smoker","non-smoker")</f>
        <v>non-smoker</v>
      </c>
      <c r="F376" s="4" t="s">
        <v>12</v>
      </c>
      <c r="G376" s="5">
        <v>20</v>
      </c>
      <c r="H376" s="5">
        <f>IF(Table13_1[[#This Row],[smoker]]="yes",1,0)</f>
        <v>0</v>
      </c>
      <c r="I376" s="4">
        <v>33.33</v>
      </c>
      <c r="J376" s="4">
        <v>0</v>
      </c>
      <c r="K376" s="12">
        <v>1391.5287000000001</v>
      </c>
      <c r="N376">
        <v>221</v>
      </c>
      <c r="O376">
        <v>7984.0084623360353</v>
      </c>
      <c r="P376">
        <v>-2971.5374623360358</v>
      </c>
    </row>
    <row r="377" spans="1:16" x14ac:dyDescent="0.25">
      <c r="A377" s="4" t="s">
        <v>7</v>
      </c>
      <c r="B377" s="4">
        <f>ROUND(Table13_1[[#This Row],[bmi]],1)</f>
        <v>28.3</v>
      </c>
      <c r="C377" s="4" t="str" cm="1">
        <f t="array" ref="C377">_xlfn.IFS(Table13_1[[#This Row],[Round BMI]]&lt;18.5,"Underweight",AND(Table13_1[[#This Row],[Round BMI]]&gt;=18.5,Table13_1[[#This Row],[Round BMI]] &lt;=24.9),"Healthy Weight",AND(Table13_1[[#This Row],[Round BMI]]&gt;=25,Table13_1[[#This Row],[Round BMI]]&lt;=29.9),"Overweight",Table13_1[[#This Row],[Round BMI]]&gt;=30,"Obese")</f>
        <v>Overweight</v>
      </c>
      <c r="D377" s="4" t="s">
        <v>8</v>
      </c>
      <c r="E377" s="4" t="str">
        <f>IF(Table13_1[[#This Row],[smoker]]="yes","smoker","non-smoker")</f>
        <v>smoker</v>
      </c>
      <c r="F377" s="4" t="s">
        <v>13</v>
      </c>
      <c r="G377" s="5">
        <v>23</v>
      </c>
      <c r="H377" s="5">
        <f>IF(Table13_1[[#This Row],[smoker]]="yes",1,0)</f>
        <v>1</v>
      </c>
      <c r="I377" s="4">
        <v>28.31</v>
      </c>
      <c r="J377" s="4">
        <v>0</v>
      </c>
      <c r="K377" s="12">
        <v>18033.9679</v>
      </c>
      <c r="N377">
        <v>222</v>
      </c>
      <c r="O377">
        <v>12264.81365478843</v>
      </c>
      <c r="P377">
        <v>-1699.9291547884295</v>
      </c>
    </row>
    <row r="378" spans="1:16" x14ac:dyDescent="0.25">
      <c r="A378" s="4" t="s">
        <v>7</v>
      </c>
      <c r="B378" s="4">
        <f>ROUND(Table13_1[[#This Row],[bmi]],1)</f>
        <v>24.9</v>
      </c>
      <c r="C378" s="4" t="str" cm="1">
        <f t="array" ref="C378">_xlfn.IFS(Table13_1[[#This Row],[Round BMI]]&lt;18.5,"Underweight",AND(Table13_1[[#This Row],[Round BMI]]&gt;=18.5,Table13_1[[#This Row],[Round BMI]] &lt;=24.9),"Healthy Weight",AND(Table13_1[[#This Row],[Round BMI]]&gt;=25,Table13_1[[#This Row],[Round BMI]]&lt;=29.9),"Overweight",Table13_1[[#This Row],[Round BMI]]&gt;=30,"Obese")</f>
        <v>Healthy Weight</v>
      </c>
      <c r="D378" s="4" t="s">
        <v>8</v>
      </c>
      <c r="E378" s="4" t="str">
        <f>IF(Table13_1[[#This Row],[smoker]]="yes","smoker","non-smoker")</f>
        <v>smoker</v>
      </c>
      <c r="F378" s="4" t="s">
        <v>14</v>
      </c>
      <c r="G378" s="5">
        <v>39</v>
      </c>
      <c r="H378" s="5">
        <f>IF(Table13_1[[#This Row],[smoker]]="yes",1,0)</f>
        <v>1</v>
      </c>
      <c r="I378" s="4">
        <v>24.89</v>
      </c>
      <c r="J378" s="4">
        <v>3</v>
      </c>
      <c r="K378" s="12">
        <v>21659.930100000001</v>
      </c>
      <c r="N378">
        <v>223</v>
      </c>
      <c r="O378">
        <v>7481.9450105274536</v>
      </c>
      <c r="P378">
        <v>-2228.4210105274533</v>
      </c>
    </row>
    <row r="379" spans="1:16" x14ac:dyDescent="0.25">
      <c r="A379" s="4" t="s">
        <v>10</v>
      </c>
      <c r="B379" s="4">
        <f>ROUND(Table13_1[[#This Row],[bmi]],1)</f>
        <v>40.200000000000003</v>
      </c>
      <c r="C379" s="4" t="str" cm="1">
        <f t="array" ref="C379">_xlfn.IFS(Table13_1[[#This Row],[Round BMI]]&lt;18.5,"Underweight",AND(Table13_1[[#This Row],[Round BMI]]&gt;=18.5,Table13_1[[#This Row],[Round BMI]] &lt;=24.9),"Healthy Weight",AND(Table13_1[[#This Row],[Round BMI]]&gt;=25,Table13_1[[#This Row],[Round BMI]]&lt;=29.9),"Overweight",Table13_1[[#This Row],[Round BMI]]&gt;=30,"Obese")</f>
        <v>Obese</v>
      </c>
      <c r="D379" s="4" t="s">
        <v>8</v>
      </c>
      <c r="E379" s="4" t="str">
        <f>IF(Table13_1[[#This Row],[smoker]]="yes","smoker","non-smoker")</f>
        <v>smoker</v>
      </c>
      <c r="F379" s="4" t="s">
        <v>12</v>
      </c>
      <c r="G379" s="5">
        <v>24</v>
      </c>
      <c r="H379" s="5">
        <f>IF(Table13_1[[#This Row],[smoker]]="yes",1,0)</f>
        <v>1</v>
      </c>
      <c r="I379" s="4">
        <v>40.15</v>
      </c>
      <c r="J379" s="4">
        <v>0</v>
      </c>
      <c r="K379" s="12">
        <v>38126.246500000001</v>
      </c>
      <c r="N379">
        <v>224</v>
      </c>
      <c r="O379">
        <v>27808.199925975729</v>
      </c>
      <c r="P379">
        <v>6971.4150740242694</v>
      </c>
    </row>
    <row r="380" spans="1:16" x14ac:dyDescent="0.25">
      <c r="A380" s="4" t="s">
        <v>7</v>
      </c>
      <c r="B380" s="4">
        <f>ROUND(Table13_1[[#This Row],[bmi]],1)</f>
        <v>30.1</v>
      </c>
      <c r="C380" s="4" t="str" cm="1">
        <f t="array" ref="C380">_xlfn.IFS(Table13_1[[#This Row],[Round BMI]]&lt;18.5,"Underweight",AND(Table13_1[[#This Row],[Round BMI]]&gt;=18.5,Table13_1[[#This Row],[Round BMI]] &lt;=24.9),"Healthy Weight",AND(Table13_1[[#This Row],[Round BMI]]&gt;=25,Table13_1[[#This Row],[Round BMI]]&lt;=29.9),"Overweight",Table13_1[[#This Row],[Round BMI]]&gt;=30,"Obese")</f>
        <v>Obese</v>
      </c>
      <c r="D380" s="4" t="s">
        <v>11</v>
      </c>
      <c r="E380" s="4" t="str">
        <f>IF(Table13_1[[#This Row],[smoker]]="yes","smoker","non-smoker")</f>
        <v>non-smoker</v>
      </c>
      <c r="F380" s="4" t="s">
        <v>13</v>
      </c>
      <c r="G380" s="5">
        <v>64</v>
      </c>
      <c r="H380" s="5">
        <f>IF(Table13_1[[#This Row],[smoker]]="yes",1,0)</f>
        <v>0</v>
      </c>
      <c r="I380" s="4">
        <v>30.114999999999998</v>
      </c>
      <c r="J380" s="4">
        <v>3</v>
      </c>
      <c r="K380" s="12">
        <v>16455.7078</v>
      </c>
      <c r="N380">
        <v>225</v>
      </c>
      <c r="O380">
        <v>30468.728341707199</v>
      </c>
      <c r="P380">
        <v>-10953.186741707199</v>
      </c>
    </row>
    <row r="381" spans="1:16" x14ac:dyDescent="0.25">
      <c r="A381" s="4" t="s">
        <v>10</v>
      </c>
      <c r="B381" s="4">
        <f>ROUND(Table13_1[[#This Row],[bmi]],1)</f>
        <v>31.5</v>
      </c>
      <c r="C381" s="4" t="str" cm="1">
        <f t="array" ref="C381">_xlfn.IFS(Table13_1[[#This Row],[Round BMI]]&lt;18.5,"Underweight",AND(Table13_1[[#This Row],[Round BMI]]&gt;=18.5,Table13_1[[#This Row],[Round BMI]] &lt;=24.9),"Healthy Weight",AND(Table13_1[[#This Row],[Round BMI]]&gt;=25,Table13_1[[#This Row],[Round BMI]]&lt;=29.9),"Overweight",Table13_1[[#This Row],[Round BMI]]&gt;=30,"Obese")</f>
        <v>Obese</v>
      </c>
      <c r="D381" s="4" t="s">
        <v>11</v>
      </c>
      <c r="E381" s="4" t="str">
        <f>IF(Table13_1[[#This Row],[smoker]]="yes","smoker","non-smoker")</f>
        <v>non-smoker</v>
      </c>
      <c r="F381" s="4" t="s">
        <v>12</v>
      </c>
      <c r="G381" s="5">
        <v>62</v>
      </c>
      <c r="H381" s="5">
        <f>IF(Table13_1[[#This Row],[smoker]]="yes",1,0)</f>
        <v>0</v>
      </c>
      <c r="I381" s="4">
        <v>31.46</v>
      </c>
      <c r="J381" s="4">
        <v>1</v>
      </c>
      <c r="K381" s="12">
        <v>27000.984700000001</v>
      </c>
      <c r="N381">
        <v>226</v>
      </c>
      <c r="O381">
        <v>14403.785999876574</v>
      </c>
      <c r="P381">
        <v>-2416.6177998765743</v>
      </c>
    </row>
    <row r="382" spans="1:16" x14ac:dyDescent="0.25">
      <c r="A382" s="4" t="s">
        <v>7</v>
      </c>
      <c r="B382" s="4">
        <f>ROUND(Table13_1[[#This Row],[bmi]],1)</f>
        <v>18</v>
      </c>
      <c r="C382" s="4" t="str" cm="1">
        <f t="array" ref="C382">_xlfn.IFS(Table13_1[[#This Row],[Round BMI]]&lt;18.5,"Underweight",AND(Table13_1[[#This Row],[Round BMI]]&gt;=18.5,Table13_1[[#This Row],[Round BMI]] &lt;=24.9),"Healthy Weight",AND(Table13_1[[#This Row],[Round BMI]]&gt;=25,Table13_1[[#This Row],[Round BMI]]&lt;=29.9),"Overweight",Table13_1[[#This Row],[Round BMI]]&gt;=30,"Obese")</f>
        <v>Underweight</v>
      </c>
      <c r="D382" s="4" t="s">
        <v>8</v>
      </c>
      <c r="E382" s="4" t="str">
        <f>IF(Table13_1[[#This Row],[smoker]]="yes","smoker","non-smoker")</f>
        <v>smoker</v>
      </c>
      <c r="F382" s="4" t="s">
        <v>14</v>
      </c>
      <c r="G382" s="5">
        <v>27</v>
      </c>
      <c r="H382" s="5">
        <f>IF(Table13_1[[#This Row],[smoker]]="yes",1,0)</f>
        <v>1</v>
      </c>
      <c r="I382" s="4">
        <v>17.954999999999998</v>
      </c>
      <c r="J382" s="4">
        <v>2</v>
      </c>
      <c r="K382" s="12">
        <v>15006.579400000001</v>
      </c>
      <c r="N382">
        <v>227</v>
      </c>
      <c r="O382">
        <v>7366.6812191957624</v>
      </c>
      <c r="P382">
        <v>-4677.1858191957626</v>
      </c>
    </row>
    <row r="383" spans="1:16" x14ac:dyDescent="0.25">
      <c r="A383" s="4" t="s">
        <v>10</v>
      </c>
      <c r="B383" s="4">
        <f>ROUND(Table13_1[[#This Row],[bmi]],1)</f>
        <v>30.7</v>
      </c>
      <c r="C383" s="4" t="str" cm="1">
        <f t="array" ref="C383">_xlfn.IFS(Table13_1[[#This Row],[Round BMI]]&lt;18.5,"Underweight",AND(Table13_1[[#This Row],[Round BMI]]&gt;=18.5,Table13_1[[#This Row],[Round BMI]] &lt;=24.9),"Healthy Weight",AND(Table13_1[[#This Row],[Round BMI]]&gt;=25,Table13_1[[#This Row],[Round BMI]]&lt;=29.9),"Overweight",Table13_1[[#This Row],[Round BMI]]&gt;=30,"Obese")</f>
        <v>Obese</v>
      </c>
      <c r="D383" s="4" t="s">
        <v>8</v>
      </c>
      <c r="E383" s="4" t="str">
        <f>IF(Table13_1[[#This Row],[smoker]]="yes","smoker","non-smoker")</f>
        <v>smoker</v>
      </c>
      <c r="F383" s="4" t="s">
        <v>14</v>
      </c>
      <c r="G383" s="5">
        <v>55</v>
      </c>
      <c r="H383" s="5">
        <f>IF(Table13_1[[#This Row],[smoker]]="yes",1,0)</f>
        <v>1</v>
      </c>
      <c r="I383" s="4">
        <v>30.684999999999999</v>
      </c>
      <c r="J383" s="4">
        <v>0</v>
      </c>
      <c r="K383" s="12">
        <v>42303.692199999998</v>
      </c>
      <c r="N383">
        <v>228</v>
      </c>
      <c r="O383">
        <v>16341.294340045108</v>
      </c>
      <c r="P383">
        <v>7886.0428599548941</v>
      </c>
    </row>
    <row r="384" spans="1:16" x14ac:dyDescent="0.25">
      <c r="A384" s="4" t="s">
        <v>10</v>
      </c>
      <c r="B384" s="4">
        <f>ROUND(Table13_1[[#This Row],[bmi]],1)</f>
        <v>33</v>
      </c>
      <c r="C384" s="4" t="str" cm="1">
        <f t="array" ref="C384">_xlfn.IFS(Table13_1[[#This Row],[Round BMI]]&lt;18.5,"Underweight",AND(Table13_1[[#This Row],[Round BMI]]&gt;=18.5,Table13_1[[#This Row],[Round BMI]] &lt;=24.9),"Healthy Weight",AND(Table13_1[[#This Row],[Round BMI]]&gt;=25,Table13_1[[#This Row],[Round BMI]]&lt;=29.9),"Overweight",Table13_1[[#This Row],[Round BMI]]&gt;=30,"Obese")</f>
        <v>Obese</v>
      </c>
      <c r="D384" s="4" t="s">
        <v>11</v>
      </c>
      <c r="E384" s="4" t="str">
        <f>IF(Table13_1[[#This Row],[smoker]]="yes","smoker","non-smoker")</f>
        <v>non-smoker</v>
      </c>
      <c r="F384" s="4" t="s">
        <v>12</v>
      </c>
      <c r="G384" s="5">
        <v>55</v>
      </c>
      <c r="H384" s="5">
        <f>IF(Table13_1[[#This Row],[smoker]]="yes",1,0)</f>
        <v>0</v>
      </c>
      <c r="I384" s="4">
        <v>33</v>
      </c>
      <c r="J384" s="4">
        <v>0</v>
      </c>
      <c r="K384" s="12">
        <v>20781.4889</v>
      </c>
      <c r="N384">
        <v>229</v>
      </c>
      <c r="O384">
        <v>9124.3318667814237</v>
      </c>
      <c r="P384">
        <v>-1766.1562667814242</v>
      </c>
    </row>
    <row r="385" spans="1:16" x14ac:dyDescent="0.25">
      <c r="A385" s="4" t="s">
        <v>7</v>
      </c>
      <c r="B385" s="4">
        <f>ROUND(Table13_1[[#This Row],[bmi]],1)</f>
        <v>43.3</v>
      </c>
      <c r="C385" s="4" t="str" cm="1">
        <f t="array" ref="C385">_xlfn.IFS(Table13_1[[#This Row],[Round BMI]]&lt;18.5,"Underweight",AND(Table13_1[[#This Row],[Round BMI]]&gt;=18.5,Table13_1[[#This Row],[Round BMI]] &lt;=24.9),"Healthy Weight",AND(Table13_1[[#This Row],[Round BMI]]&gt;=25,Table13_1[[#This Row],[Round BMI]]&lt;=29.9),"Overweight",Table13_1[[#This Row],[Round BMI]]&gt;=30,"Obese")</f>
        <v>Obese</v>
      </c>
      <c r="D385" s="4" t="s">
        <v>11</v>
      </c>
      <c r="E385" s="4" t="str">
        <f>IF(Table13_1[[#This Row],[smoker]]="yes","smoker","non-smoker")</f>
        <v>non-smoker</v>
      </c>
      <c r="F385" s="4" t="s">
        <v>12</v>
      </c>
      <c r="G385" s="5">
        <v>35</v>
      </c>
      <c r="H385" s="5">
        <f>IF(Table13_1[[#This Row],[smoker]]="yes",1,0)</f>
        <v>0</v>
      </c>
      <c r="I385" s="4">
        <v>43.34</v>
      </c>
      <c r="J385" s="4">
        <v>2</v>
      </c>
      <c r="K385" s="12">
        <v>5846.9175999999998</v>
      </c>
      <c r="N385">
        <v>230</v>
      </c>
      <c r="O385">
        <v>9157.4988137648943</v>
      </c>
      <c r="P385">
        <v>67.757586235105919</v>
      </c>
    </row>
    <row r="386" spans="1:16" x14ac:dyDescent="0.25">
      <c r="A386" s="4" t="s">
        <v>10</v>
      </c>
      <c r="B386" s="4">
        <f>ROUND(Table13_1[[#This Row],[bmi]],1)</f>
        <v>22.1</v>
      </c>
      <c r="C386" s="4" t="str" cm="1">
        <f t="array" ref="C386">_xlfn.IFS(Table13_1[[#This Row],[Round BMI]]&lt;18.5,"Underweight",AND(Table13_1[[#This Row],[Round BMI]]&gt;=18.5,Table13_1[[#This Row],[Round BMI]] &lt;=24.9),"Healthy Weight",AND(Table13_1[[#This Row],[Round BMI]]&gt;=25,Table13_1[[#This Row],[Round BMI]]&lt;=29.9),"Overweight",Table13_1[[#This Row],[Round BMI]]&gt;=30,"Obese")</f>
        <v>Healthy Weight</v>
      </c>
      <c r="D386" s="4" t="s">
        <v>11</v>
      </c>
      <c r="E386" s="4" t="str">
        <f>IF(Table13_1[[#This Row],[smoker]]="yes","smoker","non-smoker")</f>
        <v>non-smoker</v>
      </c>
      <c r="F386" s="4" t="s">
        <v>14</v>
      </c>
      <c r="G386" s="5">
        <v>44</v>
      </c>
      <c r="H386" s="5">
        <f>IF(Table13_1[[#This Row],[smoker]]="yes",1,0)</f>
        <v>0</v>
      </c>
      <c r="I386" s="4">
        <v>22.135000000000002</v>
      </c>
      <c r="J386" s="4">
        <v>2</v>
      </c>
      <c r="K386" s="12">
        <v>8302.5355999999992</v>
      </c>
      <c r="N386">
        <v>231</v>
      </c>
      <c r="O386">
        <v>10849.823771067709</v>
      </c>
      <c r="P386">
        <v>-3406.1807710677094</v>
      </c>
    </row>
    <row r="387" spans="1:16" x14ac:dyDescent="0.25">
      <c r="A387" s="4" t="s">
        <v>10</v>
      </c>
      <c r="B387" s="4">
        <f>ROUND(Table13_1[[#This Row],[bmi]],1)</f>
        <v>34.4</v>
      </c>
      <c r="C387" s="4" t="str" cm="1">
        <f t="array" ref="C387">_xlfn.IFS(Table13_1[[#This Row],[Round BMI]]&lt;18.5,"Underweight",AND(Table13_1[[#This Row],[Round BMI]]&gt;=18.5,Table13_1[[#This Row],[Round BMI]] &lt;=24.9),"Healthy Weight",AND(Table13_1[[#This Row],[Round BMI]]&gt;=25,Table13_1[[#This Row],[Round BMI]]&lt;=29.9),"Overweight",Table13_1[[#This Row],[Round BMI]]&gt;=30,"Obese")</f>
        <v>Obese</v>
      </c>
      <c r="D387" s="4" t="s">
        <v>11</v>
      </c>
      <c r="E387" s="4" t="str">
        <f>IF(Table13_1[[#This Row],[smoker]]="yes","smoker","non-smoker")</f>
        <v>non-smoker</v>
      </c>
      <c r="F387" s="4" t="s">
        <v>9</v>
      </c>
      <c r="G387" s="5">
        <v>19</v>
      </c>
      <c r="H387" s="5">
        <f>IF(Table13_1[[#This Row],[smoker]]="yes",1,0)</f>
        <v>0</v>
      </c>
      <c r="I387" s="4">
        <v>34.4</v>
      </c>
      <c r="J387" s="4">
        <v>0</v>
      </c>
      <c r="K387" s="12">
        <v>1261.8589999999999</v>
      </c>
      <c r="N387">
        <v>232</v>
      </c>
      <c r="O387">
        <v>13487.983042008662</v>
      </c>
      <c r="P387">
        <v>513.3036579913387</v>
      </c>
    </row>
    <row r="388" spans="1:16" x14ac:dyDescent="0.25">
      <c r="A388" s="4" t="s">
        <v>7</v>
      </c>
      <c r="B388" s="4">
        <f>ROUND(Table13_1[[#This Row],[bmi]],1)</f>
        <v>39.1</v>
      </c>
      <c r="C388" s="4" t="str" cm="1">
        <f t="array" ref="C388">_xlfn.IFS(Table13_1[[#This Row],[Round BMI]]&lt;18.5,"Underweight",AND(Table13_1[[#This Row],[Round BMI]]&gt;=18.5,Table13_1[[#This Row],[Round BMI]] &lt;=24.9),"Healthy Weight",AND(Table13_1[[#This Row],[Round BMI]]&gt;=25,Table13_1[[#This Row],[Round BMI]]&lt;=29.9),"Overweight",Table13_1[[#This Row],[Round BMI]]&gt;=30,"Obese")</f>
        <v>Obese</v>
      </c>
      <c r="D388" s="4" t="s">
        <v>11</v>
      </c>
      <c r="E388" s="4" t="str">
        <f>IF(Table13_1[[#This Row],[smoker]]="yes","smoker","non-smoker")</f>
        <v>non-smoker</v>
      </c>
      <c r="F388" s="4" t="s">
        <v>12</v>
      </c>
      <c r="G388" s="5">
        <v>58</v>
      </c>
      <c r="H388" s="5">
        <f>IF(Table13_1[[#This Row],[smoker]]="yes",1,0)</f>
        <v>0</v>
      </c>
      <c r="I388" s="4">
        <v>39.049999999999997</v>
      </c>
      <c r="J388" s="4">
        <v>0</v>
      </c>
      <c r="K388" s="12">
        <v>11856.4115</v>
      </c>
      <c r="N388">
        <v>233</v>
      </c>
      <c r="O388">
        <v>-1474.6737683404072</v>
      </c>
      <c r="P388">
        <v>3202.458768340407</v>
      </c>
    </row>
    <row r="389" spans="1:16" x14ac:dyDescent="0.25">
      <c r="A389" s="4" t="s">
        <v>10</v>
      </c>
      <c r="B389" s="4">
        <f>ROUND(Table13_1[[#This Row],[bmi]],1)</f>
        <v>25.4</v>
      </c>
      <c r="C389" s="4" t="str" cm="1">
        <f t="array" ref="C389">_xlfn.IFS(Table13_1[[#This Row],[Round BMI]]&lt;18.5,"Underweight",AND(Table13_1[[#This Row],[Round BMI]]&gt;=18.5,Table13_1[[#This Row],[Round BMI]] &lt;=24.9),"Healthy Weight",AND(Table13_1[[#This Row],[Round BMI]]&gt;=25,Table13_1[[#This Row],[Round BMI]]&lt;=29.9),"Overweight",Table13_1[[#This Row],[Round BMI]]&gt;=30,"Obese")</f>
        <v>Overweight</v>
      </c>
      <c r="D389" s="4" t="s">
        <v>11</v>
      </c>
      <c r="E389" s="4" t="str">
        <f>IF(Table13_1[[#This Row],[smoker]]="yes","smoker","non-smoker")</f>
        <v>non-smoker</v>
      </c>
      <c r="F389" s="4" t="s">
        <v>13</v>
      </c>
      <c r="G389" s="5">
        <v>50</v>
      </c>
      <c r="H389" s="5">
        <f>IF(Table13_1[[#This Row],[smoker]]="yes",1,0)</f>
        <v>0</v>
      </c>
      <c r="I389" s="4">
        <v>25.364999999999998</v>
      </c>
      <c r="J389" s="4">
        <v>2</v>
      </c>
      <c r="K389" s="12">
        <v>30284.642899999999</v>
      </c>
      <c r="N389">
        <v>234</v>
      </c>
      <c r="O389">
        <v>12434.767447979417</v>
      </c>
      <c r="P389">
        <v>-100.93944797941731</v>
      </c>
    </row>
    <row r="390" spans="1:16" x14ac:dyDescent="0.25">
      <c r="A390" s="4" t="s">
        <v>7</v>
      </c>
      <c r="B390" s="4">
        <f>ROUND(Table13_1[[#This Row],[bmi]],1)</f>
        <v>22.6</v>
      </c>
      <c r="C390" s="4" t="str" cm="1">
        <f t="array" ref="C390">_xlfn.IFS(Table13_1[[#This Row],[Round BMI]]&lt;18.5,"Underweight",AND(Table13_1[[#This Row],[Round BMI]]&gt;=18.5,Table13_1[[#This Row],[Round BMI]] &lt;=24.9),"Healthy Weight",AND(Table13_1[[#This Row],[Round BMI]]&gt;=25,Table13_1[[#This Row],[Round BMI]]&lt;=29.9),"Overweight",Table13_1[[#This Row],[Round BMI]]&gt;=30,"Obese")</f>
        <v>Healthy Weight</v>
      </c>
      <c r="D390" s="4" t="s">
        <v>11</v>
      </c>
      <c r="E390" s="4" t="str">
        <f>IF(Table13_1[[#This Row],[smoker]]="yes","smoker","non-smoker")</f>
        <v>non-smoker</v>
      </c>
      <c r="F390" s="4" t="s">
        <v>13</v>
      </c>
      <c r="G390" s="5">
        <v>26</v>
      </c>
      <c r="H390" s="5">
        <f>IF(Table13_1[[#This Row],[smoker]]="yes",1,0)</f>
        <v>0</v>
      </c>
      <c r="I390" s="4">
        <v>22.61</v>
      </c>
      <c r="J390" s="4">
        <v>0</v>
      </c>
      <c r="K390" s="12">
        <v>3176.8159000000001</v>
      </c>
      <c r="N390">
        <v>235</v>
      </c>
      <c r="O390">
        <v>6788.9439224228963</v>
      </c>
      <c r="P390">
        <v>-78.752022422896516</v>
      </c>
    </row>
    <row r="391" spans="1:16" x14ac:dyDescent="0.25">
      <c r="A391" s="4" t="s">
        <v>7</v>
      </c>
      <c r="B391" s="4">
        <f>ROUND(Table13_1[[#This Row],[bmi]],1)</f>
        <v>30.2</v>
      </c>
      <c r="C391" s="4" t="str" cm="1">
        <f t="array" ref="C391">_xlfn.IFS(Table13_1[[#This Row],[Round BMI]]&lt;18.5,"Underweight",AND(Table13_1[[#This Row],[Round BMI]]&gt;=18.5,Table13_1[[#This Row],[Round BMI]] &lt;=24.9),"Healthy Weight",AND(Table13_1[[#This Row],[Round BMI]]&gt;=25,Table13_1[[#This Row],[Round BMI]]&lt;=29.9),"Overweight",Table13_1[[#This Row],[Round BMI]]&gt;=30,"Obese")</f>
        <v>Obese</v>
      </c>
      <c r="D391" s="4" t="s">
        <v>11</v>
      </c>
      <c r="E391" s="4" t="str">
        <f>IF(Table13_1[[#This Row],[smoker]]="yes","smoker","non-smoker")</f>
        <v>non-smoker</v>
      </c>
      <c r="F391" s="4" t="s">
        <v>13</v>
      </c>
      <c r="G391" s="5">
        <v>24</v>
      </c>
      <c r="H391" s="5">
        <f>IF(Table13_1[[#This Row],[smoker]]="yes",1,0)</f>
        <v>0</v>
      </c>
      <c r="I391" s="4">
        <v>30.21</v>
      </c>
      <c r="J391" s="4">
        <v>3</v>
      </c>
      <c r="K391" s="12">
        <v>4618.0798999999997</v>
      </c>
      <c r="N391">
        <v>236</v>
      </c>
      <c r="O391">
        <v>30121.1535632624</v>
      </c>
      <c r="P391">
        <v>-10676.887763262399</v>
      </c>
    </row>
    <row r="392" spans="1:16" x14ac:dyDescent="0.25">
      <c r="A392" s="4" t="s">
        <v>10</v>
      </c>
      <c r="B392" s="4">
        <f>ROUND(Table13_1[[#This Row],[bmi]],1)</f>
        <v>35.6</v>
      </c>
      <c r="C392" s="4" t="str" cm="1">
        <f t="array" ref="C392">_xlfn.IFS(Table13_1[[#This Row],[Round BMI]]&lt;18.5,"Underweight",AND(Table13_1[[#This Row],[Round BMI]]&gt;=18.5,Table13_1[[#This Row],[Round BMI]] &lt;=24.9),"Healthy Weight",AND(Table13_1[[#This Row],[Round BMI]]&gt;=25,Table13_1[[#This Row],[Round BMI]]&lt;=29.9),"Overweight",Table13_1[[#This Row],[Round BMI]]&gt;=30,"Obese")</f>
        <v>Obese</v>
      </c>
      <c r="D392" s="4" t="s">
        <v>11</v>
      </c>
      <c r="E392" s="4" t="str">
        <f>IF(Table13_1[[#This Row],[smoker]]="yes","smoker","non-smoker")</f>
        <v>non-smoker</v>
      </c>
      <c r="F392" s="4" t="s">
        <v>14</v>
      </c>
      <c r="G392" s="5">
        <v>48</v>
      </c>
      <c r="H392" s="5">
        <f>IF(Table13_1[[#This Row],[smoker]]="yes",1,0)</f>
        <v>0</v>
      </c>
      <c r="I392" s="4">
        <v>35.625</v>
      </c>
      <c r="J392" s="4">
        <v>4</v>
      </c>
      <c r="K392" s="12">
        <v>10736.870800000001</v>
      </c>
      <c r="N392">
        <v>237</v>
      </c>
      <c r="O392">
        <v>1141.6097517012658</v>
      </c>
      <c r="P392">
        <v>474.15694829873405</v>
      </c>
    </row>
    <row r="393" spans="1:16" x14ac:dyDescent="0.25">
      <c r="A393" s="4" t="s">
        <v>7</v>
      </c>
      <c r="B393" s="4">
        <f>ROUND(Table13_1[[#This Row],[bmi]],1)</f>
        <v>37.4</v>
      </c>
      <c r="C393" s="4" t="str" cm="1">
        <f t="array" ref="C393">_xlfn.IFS(Table13_1[[#This Row],[Round BMI]]&lt;18.5,"Underweight",AND(Table13_1[[#This Row],[Round BMI]]&gt;=18.5,Table13_1[[#This Row],[Round BMI]] &lt;=24.9),"Healthy Weight",AND(Table13_1[[#This Row],[Round BMI]]&gt;=25,Table13_1[[#This Row],[Round BMI]]&lt;=29.9),"Overweight",Table13_1[[#This Row],[Round BMI]]&gt;=30,"Obese")</f>
        <v>Obese</v>
      </c>
      <c r="D393" s="4" t="s">
        <v>11</v>
      </c>
      <c r="E393" s="4" t="str">
        <f>IF(Table13_1[[#This Row],[smoker]]="yes","smoker","non-smoker")</f>
        <v>non-smoker</v>
      </c>
      <c r="F393" s="4" t="s">
        <v>13</v>
      </c>
      <c r="G393" s="5">
        <v>19</v>
      </c>
      <c r="H393" s="5">
        <f>IF(Table13_1[[#This Row],[smoker]]="yes",1,0)</f>
        <v>0</v>
      </c>
      <c r="I393" s="4">
        <v>37.43</v>
      </c>
      <c r="J393" s="4">
        <v>0</v>
      </c>
      <c r="K393" s="12">
        <v>2138.0707000000002</v>
      </c>
      <c r="N393">
        <v>238</v>
      </c>
      <c r="O393">
        <v>9193.4453352160763</v>
      </c>
      <c r="P393">
        <v>-4730.2402352160761</v>
      </c>
    </row>
    <row r="394" spans="1:16" x14ac:dyDescent="0.25">
      <c r="A394" s="4" t="s">
        <v>10</v>
      </c>
      <c r="B394" s="4">
        <f>ROUND(Table13_1[[#This Row],[bmi]],1)</f>
        <v>31.4</v>
      </c>
      <c r="C394" s="4" t="str" cm="1">
        <f t="array" ref="C394">_xlfn.IFS(Table13_1[[#This Row],[Round BMI]]&lt;18.5,"Underweight",AND(Table13_1[[#This Row],[Round BMI]]&gt;=18.5,Table13_1[[#This Row],[Round BMI]] &lt;=24.9),"Healthy Weight",AND(Table13_1[[#This Row],[Round BMI]]&gt;=25,Table13_1[[#This Row],[Round BMI]]&lt;=29.9),"Overweight",Table13_1[[#This Row],[Round BMI]]&gt;=30,"Obese")</f>
        <v>Obese</v>
      </c>
      <c r="D394" s="4" t="s">
        <v>11</v>
      </c>
      <c r="E394" s="4" t="str">
        <f>IF(Table13_1[[#This Row],[smoker]]="yes","smoker","non-smoker")</f>
        <v>non-smoker</v>
      </c>
      <c r="F394" s="4" t="s">
        <v>14</v>
      </c>
      <c r="G394" s="5">
        <v>48</v>
      </c>
      <c r="H394" s="5">
        <f>IF(Table13_1[[#This Row],[smoker]]="yes",1,0)</f>
        <v>0</v>
      </c>
      <c r="I394" s="4">
        <v>31.445</v>
      </c>
      <c r="J394" s="4">
        <v>1</v>
      </c>
      <c r="K394" s="12">
        <v>8964.0606000000007</v>
      </c>
      <c r="N394">
        <v>239</v>
      </c>
      <c r="O394">
        <v>25963.991387695583</v>
      </c>
      <c r="P394">
        <v>-8611.3110876955834</v>
      </c>
    </row>
    <row r="395" spans="1:16" x14ac:dyDescent="0.25">
      <c r="A395" s="4" t="s">
        <v>10</v>
      </c>
      <c r="B395" s="4">
        <f>ROUND(Table13_1[[#This Row],[bmi]],1)</f>
        <v>31.4</v>
      </c>
      <c r="C395" s="4" t="str" cm="1">
        <f t="array" ref="C395">_xlfn.IFS(Table13_1[[#This Row],[Round BMI]]&lt;18.5,"Underweight",AND(Table13_1[[#This Row],[Round BMI]]&gt;=18.5,Table13_1[[#This Row],[Round BMI]] &lt;=24.9),"Healthy Weight",AND(Table13_1[[#This Row],[Round BMI]]&gt;=25,Table13_1[[#This Row],[Round BMI]]&lt;=29.9),"Overweight",Table13_1[[#This Row],[Round BMI]]&gt;=30,"Obese")</f>
        <v>Obese</v>
      </c>
      <c r="D395" s="4" t="s">
        <v>11</v>
      </c>
      <c r="E395" s="4" t="str">
        <f>IF(Table13_1[[#This Row],[smoker]]="yes","smoker","non-smoker")</f>
        <v>non-smoker</v>
      </c>
      <c r="F395" s="4" t="s">
        <v>14</v>
      </c>
      <c r="G395" s="5">
        <v>49</v>
      </c>
      <c r="H395" s="5">
        <f>IF(Table13_1[[#This Row],[smoker]]="yes",1,0)</f>
        <v>0</v>
      </c>
      <c r="I395" s="4">
        <v>31.35</v>
      </c>
      <c r="J395" s="4">
        <v>1</v>
      </c>
      <c r="K395" s="12">
        <v>9290.1394999999993</v>
      </c>
      <c r="N395">
        <v>240</v>
      </c>
      <c r="O395">
        <v>11965.775652027281</v>
      </c>
      <c r="P395">
        <v>-4813.1042520272813</v>
      </c>
    </row>
    <row r="396" spans="1:16" x14ac:dyDescent="0.25">
      <c r="A396" s="4" t="s">
        <v>7</v>
      </c>
      <c r="B396" s="4">
        <f>ROUND(Table13_1[[#This Row],[bmi]],1)</f>
        <v>32.299999999999997</v>
      </c>
      <c r="C396" s="4" t="str" cm="1">
        <f t="array" ref="C396">_xlfn.IFS(Table13_1[[#This Row],[Round BMI]]&lt;18.5,"Underweight",AND(Table13_1[[#This Row],[Round BMI]]&gt;=18.5,Table13_1[[#This Row],[Round BMI]] &lt;=24.9),"Healthy Weight",AND(Table13_1[[#This Row],[Round BMI]]&gt;=25,Table13_1[[#This Row],[Round BMI]]&lt;=29.9),"Overweight",Table13_1[[#This Row],[Round BMI]]&gt;=30,"Obese")</f>
        <v>Obese</v>
      </c>
      <c r="D396" s="4" t="s">
        <v>11</v>
      </c>
      <c r="E396" s="4" t="str">
        <f>IF(Table13_1[[#This Row],[smoker]]="yes","smoker","non-smoker")</f>
        <v>non-smoker</v>
      </c>
      <c r="F396" s="4" t="s">
        <v>14</v>
      </c>
      <c r="G396" s="5">
        <v>46</v>
      </c>
      <c r="H396" s="5">
        <f>IF(Table13_1[[#This Row],[smoker]]="yes",1,0)</f>
        <v>0</v>
      </c>
      <c r="I396" s="4">
        <v>32.299999999999997</v>
      </c>
      <c r="J396" s="4">
        <v>2</v>
      </c>
      <c r="K396" s="12">
        <v>9411.0049999999992</v>
      </c>
      <c r="N396">
        <v>241</v>
      </c>
      <c r="O396">
        <v>30388.464709701864</v>
      </c>
      <c r="P396">
        <v>8123.1635902981325</v>
      </c>
    </row>
    <row r="397" spans="1:16" x14ac:dyDescent="0.25">
      <c r="A397" s="4" t="s">
        <v>10</v>
      </c>
      <c r="B397" s="4">
        <f>ROUND(Table13_1[[#This Row],[bmi]],1)</f>
        <v>19.899999999999999</v>
      </c>
      <c r="C397" s="4" t="str" cm="1">
        <f t="array" ref="C397">_xlfn.IFS(Table13_1[[#This Row],[Round BMI]]&lt;18.5,"Underweight",AND(Table13_1[[#This Row],[Round BMI]]&gt;=18.5,Table13_1[[#This Row],[Round BMI]] &lt;=24.9),"Healthy Weight",AND(Table13_1[[#This Row],[Round BMI]]&gt;=25,Table13_1[[#This Row],[Round BMI]]&lt;=29.9),"Overweight",Table13_1[[#This Row],[Round BMI]]&gt;=30,"Obese")</f>
        <v>Healthy Weight</v>
      </c>
      <c r="D397" s="4" t="s">
        <v>11</v>
      </c>
      <c r="E397" s="4" t="str">
        <f>IF(Table13_1[[#This Row],[smoker]]="yes","smoker","non-smoker")</f>
        <v>non-smoker</v>
      </c>
      <c r="F397" s="4" t="s">
        <v>13</v>
      </c>
      <c r="G397" s="5">
        <v>46</v>
      </c>
      <c r="H397" s="5">
        <f>IF(Table13_1[[#This Row],[smoker]]="yes",1,0)</f>
        <v>0</v>
      </c>
      <c r="I397" s="4">
        <v>19.855</v>
      </c>
      <c r="J397" s="4">
        <v>0</v>
      </c>
      <c r="K397" s="12">
        <v>7526.7064</v>
      </c>
      <c r="N397">
        <v>242</v>
      </c>
      <c r="O397">
        <v>4003.9474811470568</v>
      </c>
      <c r="P397">
        <v>1350.1271188529431</v>
      </c>
    </row>
    <row r="398" spans="1:16" x14ac:dyDescent="0.25">
      <c r="A398" s="4" t="s">
        <v>7</v>
      </c>
      <c r="B398" s="4">
        <f>ROUND(Table13_1[[#This Row],[bmi]],1)</f>
        <v>34.4</v>
      </c>
      <c r="C398" s="4" t="str" cm="1">
        <f t="array" ref="C398">_xlfn.IFS(Table13_1[[#This Row],[Round BMI]]&lt;18.5,"Underweight",AND(Table13_1[[#This Row],[Round BMI]]&gt;=18.5,Table13_1[[#This Row],[Round BMI]] &lt;=24.9),"Healthy Weight",AND(Table13_1[[#This Row],[Round BMI]]&gt;=25,Table13_1[[#This Row],[Round BMI]]&lt;=29.9),"Overweight",Table13_1[[#This Row],[Round BMI]]&gt;=30,"Obese")</f>
        <v>Obese</v>
      </c>
      <c r="D398" s="4" t="s">
        <v>11</v>
      </c>
      <c r="E398" s="4" t="str">
        <f>IF(Table13_1[[#This Row],[smoker]]="yes","smoker","non-smoker")</f>
        <v>non-smoker</v>
      </c>
      <c r="F398" s="4" t="s">
        <v>9</v>
      </c>
      <c r="G398" s="5">
        <v>43</v>
      </c>
      <c r="H398" s="5">
        <f>IF(Table13_1[[#This Row],[smoker]]="yes",1,0)</f>
        <v>0</v>
      </c>
      <c r="I398" s="4">
        <v>34.4</v>
      </c>
      <c r="J398" s="4">
        <v>3</v>
      </c>
      <c r="K398" s="12">
        <v>8522.0030000000006</v>
      </c>
      <c r="N398">
        <v>243</v>
      </c>
      <c r="O398">
        <v>11178.073436669143</v>
      </c>
      <c r="P398">
        <v>23982.061163330854</v>
      </c>
    </row>
    <row r="399" spans="1:16" x14ac:dyDescent="0.25">
      <c r="A399" s="4" t="s">
        <v>10</v>
      </c>
      <c r="B399" s="4">
        <f>ROUND(Table13_1[[#This Row],[bmi]],1)</f>
        <v>31</v>
      </c>
      <c r="C399" s="4" t="str" cm="1">
        <f t="array" ref="C399">_xlfn.IFS(Table13_1[[#This Row],[Round BMI]]&lt;18.5,"Underweight",AND(Table13_1[[#This Row],[Round BMI]]&gt;=18.5,Table13_1[[#This Row],[Round BMI]] &lt;=24.9),"Healthy Weight",AND(Table13_1[[#This Row],[Round BMI]]&gt;=25,Table13_1[[#This Row],[Round BMI]]&lt;=29.9),"Overweight",Table13_1[[#This Row],[Round BMI]]&gt;=30,"Obese")</f>
        <v>Obese</v>
      </c>
      <c r="D399" s="4" t="s">
        <v>11</v>
      </c>
      <c r="E399" s="4" t="str">
        <f>IF(Table13_1[[#This Row],[smoker]]="yes","smoker","non-smoker")</f>
        <v>non-smoker</v>
      </c>
      <c r="F399" s="4" t="s">
        <v>12</v>
      </c>
      <c r="G399" s="5">
        <v>21</v>
      </c>
      <c r="H399" s="5">
        <f>IF(Table13_1[[#This Row],[smoker]]="yes",1,0)</f>
        <v>0</v>
      </c>
      <c r="I399" s="4">
        <v>31.02</v>
      </c>
      <c r="J399" s="4">
        <v>0</v>
      </c>
      <c r="K399" s="12">
        <v>16586.4977</v>
      </c>
      <c r="N399">
        <v>244</v>
      </c>
      <c r="O399">
        <v>10993.072381955755</v>
      </c>
      <c r="P399">
        <v>-3796.205381955755</v>
      </c>
    </row>
    <row r="400" spans="1:16" x14ac:dyDescent="0.25">
      <c r="A400" s="4" t="s">
        <v>10</v>
      </c>
      <c r="B400" s="4">
        <f>ROUND(Table13_1[[#This Row],[bmi]],1)</f>
        <v>25.6</v>
      </c>
      <c r="C400" s="4" t="str" cm="1">
        <f t="array" ref="C400">_xlfn.IFS(Table13_1[[#This Row],[Round BMI]]&lt;18.5,"Underweight",AND(Table13_1[[#This Row],[Round BMI]]&gt;=18.5,Table13_1[[#This Row],[Round BMI]] &lt;=24.9),"Healthy Weight",AND(Table13_1[[#This Row],[Round BMI]]&gt;=25,Table13_1[[#This Row],[Round BMI]]&lt;=29.9),"Overweight",Table13_1[[#This Row],[Round BMI]]&gt;=30,"Obese")</f>
        <v>Overweight</v>
      </c>
      <c r="D400" s="4" t="s">
        <v>11</v>
      </c>
      <c r="E400" s="4" t="str">
        <f>IF(Table13_1[[#This Row],[smoker]]="yes","smoker","non-smoker")</f>
        <v>non-smoker</v>
      </c>
      <c r="F400" s="4" t="s">
        <v>9</v>
      </c>
      <c r="G400" s="5">
        <v>64</v>
      </c>
      <c r="H400" s="5">
        <f>IF(Table13_1[[#This Row],[smoker]]="yes",1,0)</f>
        <v>0</v>
      </c>
      <c r="I400" s="4">
        <v>25.6</v>
      </c>
      <c r="J400" s="4">
        <v>2</v>
      </c>
      <c r="K400" s="12">
        <v>14988.432000000001</v>
      </c>
      <c r="N400">
        <v>245</v>
      </c>
      <c r="O400">
        <v>36881.307344452434</v>
      </c>
      <c r="P400">
        <v>-7358.1417444524341</v>
      </c>
    </row>
    <row r="401" spans="1:16" x14ac:dyDescent="0.25">
      <c r="A401" s="4" t="s">
        <v>7</v>
      </c>
      <c r="B401" s="4">
        <f>ROUND(Table13_1[[#This Row],[bmi]],1)</f>
        <v>38.200000000000003</v>
      </c>
      <c r="C401" s="4" t="str" cm="1">
        <f t="array" ref="C401">_xlfn.IFS(Table13_1[[#This Row],[Round BMI]]&lt;18.5,"Underweight",AND(Table13_1[[#This Row],[Round BMI]]&gt;=18.5,Table13_1[[#This Row],[Round BMI]] &lt;=24.9),"Healthy Weight",AND(Table13_1[[#This Row],[Round BMI]]&gt;=25,Table13_1[[#This Row],[Round BMI]]&lt;=29.9),"Overweight",Table13_1[[#This Row],[Round BMI]]&gt;=30,"Obese")</f>
        <v>Obese</v>
      </c>
      <c r="D401" s="4" t="s">
        <v>11</v>
      </c>
      <c r="E401" s="4" t="str">
        <f>IF(Table13_1[[#This Row],[smoker]]="yes","smoker","non-smoker")</f>
        <v>non-smoker</v>
      </c>
      <c r="F401" s="4" t="s">
        <v>12</v>
      </c>
      <c r="G401" s="5">
        <v>18</v>
      </c>
      <c r="H401" s="5">
        <f>IF(Table13_1[[#This Row],[smoker]]="yes",1,0)</f>
        <v>0</v>
      </c>
      <c r="I401" s="4">
        <v>38.17</v>
      </c>
      <c r="J401" s="4">
        <v>0</v>
      </c>
      <c r="K401" s="12">
        <v>1631.6683</v>
      </c>
      <c r="N401">
        <v>246</v>
      </c>
      <c r="O401">
        <v>11483.083130941668</v>
      </c>
      <c r="P401">
        <v>12993.395369058333</v>
      </c>
    </row>
    <row r="402" spans="1:16" x14ac:dyDescent="0.25">
      <c r="A402" s="4" t="s">
        <v>7</v>
      </c>
      <c r="B402" s="4">
        <f>ROUND(Table13_1[[#This Row],[bmi]],1)</f>
        <v>20.6</v>
      </c>
      <c r="C402" s="4" t="str" cm="1">
        <f t="array" ref="C402">_xlfn.IFS(Table13_1[[#This Row],[Round BMI]]&lt;18.5,"Underweight",AND(Table13_1[[#This Row],[Round BMI]]&gt;=18.5,Table13_1[[#This Row],[Round BMI]] &lt;=24.9),"Healthy Weight",AND(Table13_1[[#This Row],[Round BMI]]&gt;=25,Table13_1[[#This Row],[Round BMI]]&lt;=29.9),"Overweight",Table13_1[[#This Row],[Round BMI]]&gt;=30,"Obese")</f>
        <v>Healthy Weight</v>
      </c>
      <c r="D402" s="4" t="s">
        <v>11</v>
      </c>
      <c r="E402" s="4" t="str">
        <f>IF(Table13_1[[#This Row],[smoker]]="yes","smoker","non-smoker")</f>
        <v>non-smoker</v>
      </c>
      <c r="F402" s="4" t="s">
        <v>9</v>
      </c>
      <c r="G402" s="5">
        <v>51</v>
      </c>
      <c r="H402" s="5">
        <f>IF(Table13_1[[#This Row],[smoker]]="yes",1,0)</f>
        <v>0</v>
      </c>
      <c r="I402" s="4">
        <v>20.6</v>
      </c>
      <c r="J402" s="4">
        <v>0</v>
      </c>
      <c r="K402" s="12">
        <v>9264.7970000000005</v>
      </c>
      <c r="N402">
        <v>247</v>
      </c>
      <c r="O402">
        <v>15617.865453767152</v>
      </c>
      <c r="P402">
        <v>-2969.1620537671515</v>
      </c>
    </row>
    <row r="403" spans="1:16" x14ac:dyDescent="0.25">
      <c r="A403" s="4" t="s">
        <v>10</v>
      </c>
      <c r="B403" s="4">
        <f>ROUND(Table13_1[[#This Row],[bmi]],1)</f>
        <v>47.5</v>
      </c>
      <c r="C403" s="4" t="str" cm="1">
        <f t="array" ref="C403">_xlfn.IFS(Table13_1[[#This Row],[Round BMI]]&lt;18.5,"Underweight",AND(Table13_1[[#This Row],[Round BMI]]&gt;=18.5,Table13_1[[#This Row],[Round BMI]] &lt;=24.9),"Healthy Weight",AND(Table13_1[[#This Row],[Round BMI]]&gt;=25,Table13_1[[#This Row],[Round BMI]]&lt;=29.9),"Overweight",Table13_1[[#This Row],[Round BMI]]&gt;=30,"Obese")</f>
        <v>Obese</v>
      </c>
      <c r="D403" s="4" t="s">
        <v>11</v>
      </c>
      <c r="E403" s="4" t="str">
        <f>IF(Table13_1[[#This Row],[smoker]]="yes","smoker","non-smoker")</f>
        <v>non-smoker</v>
      </c>
      <c r="F403" s="4" t="s">
        <v>12</v>
      </c>
      <c r="G403" s="5">
        <v>47</v>
      </c>
      <c r="H403" s="5">
        <f>IF(Table13_1[[#This Row],[smoker]]="yes",1,0)</f>
        <v>0</v>
      </c>
      <c r="I403" s="4">
        <v>47.52</v>
      </c>
      <c r="J403" s="4">
        <v>1</v>
      </c>
      <c r="K403" s="12">
        <v>8083.9197999999997</v>
      </c>
      <c r="N403">
        <v>248</v>
      </c>
      <c r="O403">
        <v>5627.2101036236709</v>
      </c>
      <c r="P403">
        <v>-3640.276703623671</v>
      </c>
    </row>
    <row r="404" spans="1:16" x14ac:dyDescent="0.25">
      <c r="A404" s="4" t="s">
        <v>7</v>
      </c>
      <c r="B404" s="4">
        <f>ROUND(Table13_1[[#This Row],[bmi]],1)</f>
        <v>33</v>
      </c>
      <c r="C404" s="4" t="str" cm="1">
        <f t="array" ref="C404">_xlfn.IFS(Table13_1[[#This Row],[Round BMI]]&lt;18.5,"Underweight",AND(Table13_1[[#This Row],[Round BMI]]&gt;=18.5,Table13_1[[#This Row],[Round BMI]] &lt;=24.9),"Healthy Weight",AND(Table13_1[[#This Row],[Round BMI]]&gt;=25,Table13_1[[#This Row],[Round BMI]]&lt;=29.9),"Overweight",Table13_1[[#This Row],[Round BMI]]&gt;=30,"Obese")</f>
        <v>Obese</v>
      </c>
      <c r="D404" s="4" t="s">
        <v>11</v>
      </c>
      <c r="E404" s="4" t="str">
        <f>IF(Table13_1[[#This Row],[smoker]]="yes","smoker","non-smoker")</f>
        <v>non-smoker</v>
      </c>
      <c r="F404" s="4" t="s">
        <v>13</v>
      </c>
      <c r="G404" s="5">
        <v>64</v>
      </c>
      <c r="H404" s="5">
        <f>IF(Table13_1[[#This Row],[smoker]]="yes",1,0)</f>
        <v>0</v>
      </c>
      <c r="I404" s="4">
        <v>32.965000000000003</v>
      </c>
      <c r="J404" s="4">
        <v>0</v>
      </c>
      <c r="K404" s="12">
        <v>14692.669400000001</v>
      </c>
      <c r="N404">
        <v>249</v>
      </c>
      <c r="O404">
        <v>-3.4321039868251546</v>
      </c>
      <c r="P404">
        <v>1835.5261039868251</v>
      </c>
    </row>
    <row r="405" spans="1:16" x14ac:dyDescent="0.25">
      <c r="A405" s="4" t="s">
        <v>10</v>
      </c>
      <c r="B405" s="4">
        <f>ROUND(Table13_1[[#This Row],[bmi]],1)</f>
        <v>32.299999999999997</v>
      </c>
      <c r="C405" s="4" t="str" cm="1">
        <f t="array" ref="C405">_xlfn.IFS(Table13_1[[#This Row],[Round BMI]]&lt;18.5,"Underweight",AND(Table13_1[[#This Row],[Round BMI]]&gt;=18.5,Table13_1[[#This Row],[Round BMI]] &lt;=24.9),"Healthy Weight",AND(Table13_1[[#This Row],[Round BMI]]&gt;=25,Table13_1[[#This Row],[Round BMI]]&lt;=29.9),"Overweight",Table13_1[[#This Row],[Round BMI]]&gt;=30,"Obese")</f>
        <v>Obese</v>
      </c>
      <c r="D405" s="4" t="s">
        <v>11</v>
      </c>
      <c r="E405" s="4" t="str">
        <f>IF(Table13_1[[#This Row],[smoker]]="yes","smoker","non-smoker")</f>
        <v>non-smoker</v>
      </c>
      <c r="F405" s="4" t="s">
        <v>13</v>
      </c>
      <c r="G405" s="5">
        <v>49</v>
      </c>
      <c r="H405" s="5">
        <f>IF(Table13_1[[#This Row],[smoker]]="yes",1,0)</f>
        <v>0</v>
      </c>
      <c r="I405" s="4">
        <v>32.299999999999997</v>
      </c>
      <c r="J405" s="4">
        <v>3</v>
      </c>
      <c r="K405" s="12">
        <v>10269.459999999999</v>
      </c>
      <c r="N405">
        <v>250</v>
      </c>
      <c r="O405">
        <v>5174.0130472595256</v>
      </c>
      <c r="P405">
        <v>-1133.4548472595256</v>
      </c>
    </row>
    <row r="406" spans="1:16" x14ac:dyDescent="0.25">
      <c r="A406" s="4" t="s">
        <v>10</v>
      </c>
      <c r="B406" s="4">
        <f>ROUND(Table13_1[[#This Row],[bmi]],1)</f>
        <v>20.399999999999999</v>
      </c>
      <c r="C406" s="4" t="str" cm="1">
        <f t="array" ref="C406">_xlfn.IFS(Table13_1[[#This Row],[Round BMI]]&lt;18.5,"Underweight",AND(Table13_1[[#This Row],[Round BMI]]&gt;=18.5,Table13_1[[#This Row],[Round BMI]] &lt;=24.9),"Healthy Weight",AND(Table13_1[[#This Row],[Round BMI]]&gt;=25,Table13_1[[#This Row],[Round BMI]]&lt;=29.9),"Overweight",Table13_1[[#This Row],[Round BMI]]&gt;=30,"Obese")</f>
        <v>Healthy Weight</v>
      </c>
      <c r="D406" s="4" t="s">
        <v>11</v>
      </c>
      <c r="E406" s="4" t="str">
        <f>IF(Table13_1[[#This Row],[smoker]]="yes","smoker","non-smoker")</f>
        <v>non-smoker</v>
      </c>
      <c r="F406" s="4" t="s">
        <v>9</v>
      </c>
      <c r="G406" s="5">
        <v>31</v>
      </c>
      <c r="H406" s="5">
        <f>IF(Table13_1[[#This Row],[smoker]]="yes",1,0)</f>
        <v>0</v>
      </c>
      <c r="I406" s="4">
        <v>20.399999999999999</v>
      </c>
      <c r="J406" s="4">
        <v>0</v>
      </c>
      <c r="K406" s="12">
        <v>3260.1990000000001</v>
      </c>
      <c r="N406">
        <v>251</v>
      </c>
      <c r="O406">
        <v>22861.736985987391</v>
      </c>
      <c r="P406">
        <v>-10032.281885987391</v>
      </c>
    </row>
    <row r="407" spans="1:16" x14ac:dyDescent="0.25">
      <c r="A407" s="4" t="s">
        <v>7</v>
      </c>
      <c r="B407" s="4">
        <f>ROUND(Table13_1[[#This Row],[bmi]],1)</f>
        <v>38.4</v>
      </c>
      <c r="C407" s="4" t="str" cm="1">
        <f t="array" ref="C407">_xlfn.IFS(Table13_1[[#This Row],[Round BMI]]&lt;18.5,"Underweight",AND(Table13_1[[#This Row],[Round BMI]]&gt;=18.5,Table13_1[[#This Row],[Round BMI]] &lt;=24.9),"Healthy Weight",AND(Table13_1[[#This Row],[Round BMI]]&gt;=25,Table13_1[[#This Row],[Round BMI]]&lt;=29.9),"Overweight",Table13_1[[#This Row],[Round BMI]]&gt;=30,"Obese")</f>
        <v>Obese</v>
      </c>
      <c r="D407" s="4" t="s">
        <v>11</v>
      </c>
      <c r="E407" s="4" t="str">
        <f>IF(Table13_1[[#This Row],[smoker]]="yes","smoker","non-smoker")</f>
        <v>non-smoker</v>
      </c>
      <c r="F407" s="4" t="s">
        <v>14</v>
      </c>
      <c r="G407" s="5">
        <v>52</v>
      </c>
      <c r="H407" s="5">
        <f>IF(Table13_1[[#This Row],[smoker]]="yes",1,0)</f>
        <v>0</v>
      </c>
      <c r="I407" s="4">
        <v>38.380000000000003</v>
      </c>
      <c r="J407" s="4">
        <v>2</v>
      </c>
      <c r="K407" s="12">
        <v>11396.9002</v>
      </c>
      <c r="N407">
        <v>252</v>
      </c>
      <c r="O407">
        <v>39263.769232215884</v>
      </c>
      <c r="P407">
        <v>8041.5357677841166</v>
      </c>
    </row>
    <row r="408" spans="1:16" x14ac:dyDescent="0.25">
      <c r="A408" s="4" t="s">
        <v>7</v>
      </c>
      <c r="B408" s="4">
        <f>ROUND(Table13_1[[#This Row],[bmi]],1)</f>
        <v>24.3</v>
      </c>
      <c r="C408" s="4" t="str" cm="1">
        <f t="array" ref="C408">_xlfn.IFS(Table13_1[[#This Row],[Round BMI]]&lt;18.5,"Underweight",AND(Table13_1[[#This Row],[Round BMI]]&gt;=18.5,Table13_1[[#This Row],[Round BMI]] &lt;=24.9),"Healthy Weight",AND(Table13_1[[#This Row],[Round BMI]]&gt;=25,Table13_1[[#This Row],[Round BMI]]&lt;=29.9),"Overweight",Table13_1[[#This Row],[Round BMI]]&gt;=30,"Obese")</f>
        <v>Healthy Weight</v>
      </c>
      <c r="D408" s="4" t="s">
        <v>11</v>
      </c>
      <c r="E408" s="4" t="str">
        <f>IF(Table13_1[[#This Row],[smoker]]="yes","smoker","non-smoker")</f>
        <v>non-smoker</v>
      </c>
      <c r="F408" s="4" t="s">
        <v>12</v>
      </c>
      <c r="G408" s="5">
        <v>33</v>
      </c>
      <c r="H408" s="5">
        <f>IF(Table13_1[[#This Row],[smoker]]="yes",1,0)</f>
        <v>0</v>
      </c>
      <c r="I408" s="4">
        <v>24.31</v>
      </c>
      <c r="J408" s="4">
        <v>0</v>
      </c>
      <c r="K408" s="12">
        <v>4185.0978999999998</v>
      </c>
      <c r="N408">
        <v>253</v>
      </c>
      <c r="O408">
        <v>37590.044985953515</v>
      </c>
      <c r="P408">
        <v>6670.7049140464878</v>
      </c>
    </row>
    <row r="409" spans="1:16" x14ac:dyDescent="0.25">
      <c r="A409" s="4" t="s">
        <v>7</v>
      </c>
      <c r="B409" s="4">
        <f>ROUND(Table13_1[[#This Row],[bmi]],1)</f>
        <v>23.6</v>
      </c>
      <c r="C409" s="4" t="str" cm="1">
        <f t="array" ref="C409">_xlfn.IFS(Table13_1[[#This Row],[Round BMI]]&lt;18.5,"Underweight",AND(Table13_1[[#This Row],[Round BMI]]&gt;=18.5,Table13_1[[#This Row],[Round BMI]] &lt;=24.9),"Healthy Weight",AND(Table13_1[[#This Row],[Round BMI]]&gt;=25,Table13_1[[#This Row],[Round BMI]]&lt;=29.9),"Overweight",Table13_1[[#This Row],[Round BMI]]&gt;=30,"Obese")</f>
        <v>Healthy Weight</v>
      </c>
      <c r="D409" s="4" t="s">
        <v>11</v>
      </c>
      <c r="E409" s="4" t="str">
        <f>IF(Table13_1[[#This Row],[smoker]]="yes","smoker","non-smoker")</f>
        <v>non-smoker</v>
      </c>
      <c r="F409" s="4" t="s">
        <v>9</v>
      </c>
      <c r="G409" s="5">
        <v>47</v>
      </c>
      <c r="H409" s="5">
        <f>IF(Table13_1[[#This Row],[smoker]]="yes",1,0)</f>
        <v>0</v>
      </c>
      <c r="I409" s="4">
        <v>23.6</v>
      </c>
      <c r="J409" s="4">
        <v>1</v>
      </c>
      <c r="K409" s="12">
        <v>8539.6710000000003</v>
      </c>
      <c r="N409">
        <v>254</v>
      </c>
      <c r="O409">
        <v>6031.7717724550666</v>
      </c>
      <c r="P409">
        <v>-1771.027772455067</v>
      </c>
    </row>
    <row r="410" spans="1:16" x14ac:dyDescent="0.25">
      <c r="A410" s="4" t="s">
        <v>10</v>
      </c>
      <c r="B410" s="4">
        <f>ROUND(Table13_1[[#This Row],[bmi]],1)</f>
        <v>21.1</v>
      </c>
      <c r="C410" s="4" t="str" cm="1">
        <f t="array" ref="C410">_xlfn.IFS(Table13_1[[#This Row],[Round BMI]]&lt;18.5,"Underweight",AND(Table13_1[[#This Row],[Round BMI]]&gt;=18.5,Table13_1[[#This Row],[Round BMI]] &lt;=24.9),"Healthy Weight",AND(Table13_1[[#This Row],[Round BMI]]&gt;=25,Table13_1[[#This Row],[Round BMI]]&lt;=29.9),"Overweight",Table13_1[[#This Row],[Round BMI]]&gt;=30,"Obese")</f>
        <v>Healthy Weight</v>
      </c>
      <c r="D410" s="4" t="s">
        <v>11</v>
      </c>
      <c r="E410" s="4" t="str">
        <f>IF(Table13_1[[#This Row],[smoker]]="yes","smoker","non-smoker")</f>
        <v>non-smoker</v>
      </c>
      <c r="F410" s="4" t="s">
        <v>12</v>
      </c>
      <c r="G410" s="5">
        <v>38</v>
      </c>
      <c r="H410" s="5">
        <f>IF(Table13_1[[#This Row],[smoker]]="yes",1,0)</f>
        <v>0</v>
      </c>
      <c r="I410" s="4">
        <v>21.12</v>
      </c>
      <c r="J410" s="4">
        <v>3</v>
      </c>
      <c r="K410" s="12">
        <v>6652.5288</v>
      </c>
      <c r="N410">
        <v>255</v>
      </c>
      <c r="O410">
        <v>34844.026729764155</v>
      </c>
      <c r="P410">
        <v>6253.1350702358468</v>
      </c>
    </row>
    <row r="411" spans="1:16" x14ac:dyDescent="0.25">
      <c r="A411" s="4" t="s">
        <v>10</v>
      </c>
      <c r="B411" s="4">
        <f>ROUND(Table13_1[[#This Row],[bmi]],1)</f>
        <v>30</v>
      </c>
      <c r="C411" s="4" t="str" cm="1">
        <f t="array" ref="C411">_xlfn.IFS(Table13_1[[#This Row],[Round BMI]]&lt;18.5,"Underweight",AND(Table13_1[[#This Row],[Round BMI]]&gt;=18.5,Table13_1[[#This Row],[Round BMI]] &lt;=24.9),"Healthy Weight",AND(Table13_1[[#This Row],[Round BMI]]&gt;=25,Table13_1[[#This Row],[Round BMI]]&lt;=29.9),"Overweight",Table13_1[[#This Row],[Round BMI]]&gt;=30,"Obese")</f>
        <v>Obese</v>
      </c>
      <c r="D411" s="4" t="s">
        <v>11</v>
      </c>
      <c r="E411" s="4" t="str">
        <f>IF(Table13_1[[#This Row],[smoker]]="yes","smoker","non-smoker")</f>
        <v>non-smoker</v>
      </c>
      <c r="F411" s="4" t="s">
        <v>12</v>
      </c>
      <c r="G411" s="5">
        <v>32</v>
      </c>
      <c r="H411" s="5">
        <f>IF(Table13_1[[#This Row],[smoker]]="yes",1,0)</f>
        <v>0</v>
      </c>
      <c r="I411" s="4">
        <v>30.03</v>
      </c>
      <c r="J411" s="4">
        <v>1</v>
      </c>
      <c r="K411" s="12">
        <v>4074.4537</v>
      </c>
      <c r="N411">
        <v>256</v>
      </c>
      <c r="O411">
        <v>11663.221304683648</v>
      </c>
      <c r="P411">
        <v>1384.1110953163516</v>
      </c>
    </row>
    <row r="412" spans="1:16" x14ac:dyDescent="0.25">
      <c r="A412" s="4" t="s">
        <v>10</v>
      </c>
      <c r="B412" s="4">
        <f>ROUND(Table13_1[[#This Row],[bmi]],1)</f>
        <v>17.5</v>
      </c>
      <c r="C412" s="4" t="str" cm="1">
        <f t="array" ref="C412">_xlfn.IFS(Table13_1[[#This Row],[Round BMI]]&lt;18.5,"Underweight",AND(Table13_1[[#This Row],[Round BMI]]&gt;=18.5,Table13_1[[#This Row],[Round BMI]] &lt;=24.9),"Healthy Weight",AND(Table13_1[[#This Row],[Round BMI]]&gt;=25,Table13_1[[#This Row],[Round BMI]]&lt;=29.9),"Overweight",Table13_1[[#This Row],[Round BMI]]&gt;=30,"Obese")</f>
        <v>Underweight</v>
      </c>
      <c r="D412" s="4" t="s">
        <v>11</v>
      </c>
      <c r="E412" s="4" t="str">
        <f>IF(Table13_1[[#This Row],[smoker]]="yes","smoker","non-smoker")</f>
        <v>non-smoker</v>
      </c>
      <c r="F412" s="4" t="s">
        <v>13</v>
      </c>
      <c r="G412" s="5">
        <v>19</v>
      </c>
      <c r="H412" s="5">
        <f>IF(Table13_1[[#This Row],[smoker]]="yes",1,0)</f>
        <v>0</v>
      </c>
      <c r="I412" s="4">
        <v>17.48</v>
      </c>
      <c r="J412" s="4">
        <v>0</v>
      </c>
      <c r="K412" s="12">
        <v>1621.3402000000001</v>
      </c>
      <c r="N412">
        <v>257</v>
      </c>
      <c r="O412">
        <v>36972.06555587468</v>
      </c>
      <c r="P412">
        <v>6949.1181441253211</v>
      </c>
    </row>
    <row r="413" spans="1:16" x14ac:dyDescent="0.25">
      <c r="A413" s="4" t="s">
        <v>7</v>
      </c>
      <c r="B413" s="4">
        <f>ROUND(Table13_1[[#This Row],[bmi]],1)</f>
        <v>20.2</v>
      </c>
      <c r="C413" s="4" t="str" cm="1">
        <f t="array" ref="C413">_xlfn.IFS(Table13_1[[#This Row],[Round BMI]]&lt;18.5,"Underweight",AND(Table13_1[[#This Row],[Round BMI]]&gt;=18.5,Table13_1[[#This Row],[Round BMI]] &lt;=24.9),"Healthy Weight",AND(Table13_1[[#This Row],[Round BMI]]&gt;=25,Table13_1[[#This Row],[Round BMI]]&lt;=29.9),"Overweight",Table13_1[[#This Row],[Round BMI]]&gt;=30,"Obese")</f>
        <v>Healthy Weight</v>
      </c>
      <c r="D413" s="4" t="s">
        <v>8</v>
      </c>
      <c r="E413" s="4" t="str">
        <f>IF(Table13_1[[#This Row],[smoker]]="yes","smoker","non-smoker")</f>
        <v>smoker</v>
      </c>
      <c r="F413" s="4" t="s">
        <v>14</v>
      </c>
      <c r="G413" s="5">
        <v>44</v>
      </c>
      <c r="H413" s="5">
        <f>IF(Table13_1[[#This Row],[smoker]]="yes",1,0)</f>
        <v>1</v>
      </c>
      <c r="I413" s="4">
        <v>20.234999999999999</v>
      </c>
      <c r="J413" s="4">
        <v>1</v>
      </c>
      <c r="K413" s="12">
        <v>19594.809600000001</v>
      </c>
      <c r="N413">
        <v>258</v>
      </c>
      <c r="O413">
        <v>10617.845724437455</v>
      </c>
      <c r="P413">
        <v>-5216.8652244374553</v>
      </c>
    </row>
    <row r="414" spans="1:16" x14ac:dyDescent="0.25">
      <c r="A414" s="4" t="s">
        <v>7</v>
      </c>
      <c r="B414" s="4">
        <f>ROUND(Table13_1[[#This Row],[bmi]],1)</f>
        <v>17.2</v>
      </c>
      <c r="C414" s="4" t="str" cm="1">
        <f t="array" ref="C414">_xlfn.IFS(Table13_1[[#This Row],[Round BMI]]&lt;18.5,"Underweight",AND(Table13_1[[#This Row],[Round BMI]]&gt;=18.5,Table13_1[[#This Row],[Round BMI]] &lt;=24.9),"Healthy Weight",AND(Table13_1[[#This Row],[Round BMI]]&gt;=25,Table13_1[[#This Row],[Round BMI]]&lt;=29.9),"Overweight",Table13_1[[#This Row],[Round BMI]]&gt;=30,"Obese")</f>
        <v>Underweight</v>
      </c>
      <c r="D414" s="4" t="s">
        <v>8</v>
      </c>
      <c r="E414" s="4" t="str">
        <f>IF(Table13_1[[#This Row],[smoker]]="yes","smoker","non-smoker")</f>
        <v>smoker</v>
      </c>
      <c r="F414" s="4" t="s">
        <v>14</v>
      </c>
      <c r="G414" s="5">
        <v>26</v>
      </c>
      <c r="H414" s="5">
        <f>IF(Table13_1[[#This Row],[smoker]]="yes",1,0)</f>
        <v>1</v>
      </c>
      <c r="I414" s="4">
        <v>17.195</v>
      </c>
      <c r="J414" s="4">
        <v>2</v>
      </c>
      <c r="K414" s="12">
        <v>14455.644</v>
      </c>
      <c r="N414">
        <v>259</v>
      </c>
      <c r="O414">
        <v>10799.566758208895</v>
      </c>
      <c r="P414">
        <v>720.53304179110455</v>
      </c>
    </row>
    <row r="415" spans="1:16" x14ac:dyDescent="0.25">
      <c r="A415" s="4" t="s">
        <v>10</v>
      </c>
      <c r="B415" s="4">
        <f>ROUND(Table13_1[[#This Row],[bmi]],1)</f>
        <v>23.9</v>
      </c>
      <c r="C415" s="4" t="str" cm="1">
        <f t="array" ref="C415">_xlfn.IFS(Table13_1[[#This Row],[Round BMI]]&lt;18.5,"Underweight",AND(Table13_1[[#This Row],[Round BMI]]&gt;=18.5,Table13_1[[#This Row],[Round BMI]] &lt;=24.9),"Healthy Weight",AND(Table13_1[[#This Row],[Round BMI]]&gt;=25,Table13_1[[#This Row],[Round BMI]]&lt;=29.9),"Overweight",Table13_1[[#This Row],[Round BMI]]&gt;=30,"Obese")</f>
        <v>Healthy Weight</v>
      </c>
      <c r="D415" s="4" t="s">
        <v>11</v>
      </c>
      <c r="E415" s="4" t="str">
        <f>IF(Table13_1[[#This Row],[smoker]]="yes","smoker","non-smoker")</f>
        <v>non-smoker</v>
      </c>
      <c r="F415" s="4" t="s">
        <v>9</v>
      </c>
      <c r="G415" s="5">
        <v>25</v>
      </c>
      <c r="H415" s="5">
        <f>IF(Table13_1[[#This Row],[smoker]]="yes",1,0)</f>
        <v>0</v>
      </c>
      <c r="I415" s="4">
        <v>23.9</v>
      </c>
      <c r="J415" s="4">
        <v>5</v>
      </c>
      <c r="K415" s="12">
        <v>5080.0959999999995</v>
      </c>
      <c r="N415">
        <v>260</v>
      </c>
      <c r="O415">
        <v>26881.267885793037</v>
      </c>
      <c r="P415">
        <v>6869.0239142069622</v>
      </c>
    </row>
    <row r="416" spans="1:16" x14ac:dyDescent="0.25">
      <c r="A416" s="4" t="s">
        <v>7</v>
      </c>
      <c r="B416" s="4">
        <f>ROUND(Table13_1[[#This Row],[bmi]],1)</f>
        <v>35.200000000000003</v>
      </c>
      <c r="C416" s="4" t="str" cm="1">
        <f t="array" ref="C416">_xlfn.IFS(Table13_1[[#This Row],[Round BMI]]&lt;18.5,"Underweight",AND(Table13_1[[#This Row],[Round BMI]]&gt;=18.5,Table13_1[[#This Row],[Round BMI]] &lt;=24.9),"Healthy Weight",AND(Table13_1[[#This Row],[Round BMI]]&gt;=25,Table13_1[[#This Row],[Round BMI]]&lt;=29.9),"Overweight",Table13_1[[#This Row],[Round BMI]]&gt;=30,"Obese")</f>
        <v>Obese</v>
      </c>
      <c r="D416" s="4" t="s">
        <v>11</v>
      </c>
      <c r="E416" s="4" t="str">
        <f>IF(Table13_1[[#This Row],[smoker]]="yes","smoker","non-smoker")</f>
        <v>non-smoker</v>
      </c>
      <c r="F416" s="4" t="s">
        <v>13</v>
      </c>
      <c r="G416" s="5">
        <v>19</v>
      </c>
      <c r="H416" s="5">
        <f>IF(Table13_1[[#This Row],[smoker]]="yes",1,0)</f>
        <v>0</v>
      </c>
      <c r="I416" s="4">
        <v>35.15</v>
      </c>
      <c r="J416" s="4">
        <v>0</v>
      </c>
      <c r="K416" s="12">
        <v>2134.9014999999999</v>
      </c>
      <c r="N416">
        <v>261</v>
      </c>
      <c r="O416">
        <v>10963.157398568448</v>
      </c>
      <c r="P416">
        <v>874.00260143155174</v>
      </c>
    </row>
    <row r="417" spans="1:16" x14ac:dyDescent="0.25">
      <c r="A417" s="4" t="s">
        <v>7</v>
      </c>
      <c r="B417" s="4">
        <f>ROUND(Table13_1[[#This Row],[bmi]],1)</f>
        <v>35.6</v>
      </c>
      <c r="C417" s="4" t="str" cm="1">
        <f t="array" ref="C417">_xlfn.IFS(Table13_1[[#This Row],[Round BMI]]&lt;18.5,"Underweight",AND(Table13_1[[#This Row],[Round BMI]]&gt;=18.5,Table13_1[[#This Row],[Round BMI]] &lt;=24.9),"Healthy Weight",AND(Table13_1[[#This Row],[Round BMI]]&gt;=25,Table13_1[[#This Row],[Round BMI]]&lt;=29.9),"Overweight",Table13_1[[#This Row],[Round BMI]]&gt;=30,"Obese")</f>
        <v>Obese</v>
      </c>
      <c r="D417" s="4" t="s">
        <v>11</v>
      </c>
      <c r="E417" s="4" t="str">
        <f>IF(Table13_1[[#This Row],[smoker]]="yes","smoker","non-smoker")</f>
        <v>non-smoker</v>
      </c>
      <c r="F417" s="4" t="s">
        <v>12</v>
      </c>
      <c r="G417" s="5">
        <v>43</v>
      </c>
      <c r="H417" s="5">
        <f>IF(Table13_1[[#This Row],[smoker]]="yes",1,0)</f>
        <v>0</v>
      </c>
      <c r="I417" s="4">
        <v>35.64</v>
      </c>
      <c r="J417" s="4">
        <v>1</v>
      </c>
      <c r="K417" s="12">
        <v>7345.7266</v>
      </c>
      <c r="N417">
        <v>262</v>
      </c>
      <c r="O417">
        <v>25977.614582235856</v>
      </c>
      <c r="P417">
        <v>-8892.3469822358566</v>
      </c>
    </row>
    <row r="418" spans="1:16" x14ac:dyDescent="0.25">
      <c r="A418" s="4" t="s">
        <v>10</v>
      </c>
      <c r="B418" s="4">
        <f>ROUND(Table13_1[[#This Row],[bmi]],1)</f>
        <v>34.1</v>
      </c>
      <c r="C418" s="4" t="str" cm="1">
        <f t="array" ref="C418">_xlfn.IFS(Table13_1[[#This Row],[Round BMI]]&lt;18.5,"Underweight",AND(Table13_1[[#This Row],[Round BMI]]&gt;=18.5,Table13_1[[#This Row],[Round BMI]] &lt;=24.9),"Healthy Weight",AND(Table13_1[[#This Row],[Round BMI]]&gt;=25,Table13_1[[#This Row],[Round BMI]]&lt;=29.9),"Overweight",Table13_1[[#This Row],[Round BMI]]&gt;=30,"Obese")</f>
        <v>Obese</v>
      </c>
      <c r="D418" s="4" t="s">
        <v>11</v>
      </c>
      <c r="E418" s="4" t="str">
        <f>IF(Table13_1[[#This Row],[smoker]]="yes","smoker","non-smoker")</f>
        <v>non-smoker</v>
      </c>
      <c r="F418" s="4" t="s">
        <v>12</v>
      </c>
      <c r="G418" s="5">
        <v>52</v>
      </c>
      <c r="H418" s="5">
        <f>IF(Table13_1[[#This Row],[smoker]]="yes",1,0)</f>
        <v>0</v>
      </c>
      <c r="I418" s="4">
        <v>34.1</v>
      </c>
      <c r="J418" s="4">
        <v>0</v>
      </c>
      <c r="K418" s="12">
        <v>9140.9509999999991</v>
      </c>
      <c r="N418">
        <v>263</v>
      </c>
      <c r="O418">
        <v>34364.737912739038</v>
      </c>
      <c r="P418">
        <v>-9494.9011127390368</v>
      </c>
    </row>
    <row r="419" spans="1:16" x14ac:dyDescent="0.25">
      <c r="A419" s="4" t="s">
        <v>7</v>
      </c>
      <c r="B419" s="4">
        <f>ROUND(Table13_1[[#This Row],[bmi]],1)</f>
        <v>22.6</v>
      </c>
      <c r="C419" s="4" t="str" cm="1">
        <f t="array" ref="C419">_xlfn.IFS(Table13_1[[#This Row],[Round BMI]]&lt;18.5,"Underweight",AND(Table13_1[[#This Row],[Round BMI]]&gt;=18.5,Table13_1[[#This Row],[Round BMI]] &lt;=24.9),"Healthy Weight",AND(Table13_1[[#This Row],[Round BMI]]&gt;=25,Table13_1[[#This Row],[Round BMI]]&lt;=29.9),"Overweight",Table13_1[[#This Row],[Round BMI]]&gt;=30,"Obese")</f>
        <v>Healthy Weight</v>
      </c>
      <c r="D419" s="4" t="s">
        <v>8</v>
      </c>
      <c r="E419" s="4" t="str">
        <f>IF(Table13_1[[#This Row],[smoker]]="yes","smoker","non-smoker")</f>
        <v>smoker</v>
      </c>
      <c r="F419" s="4" t="s">
        <v>9</v>
      </c>
      <c r="G419" s="5">
        <v>36</v>
      </c>
      <c r="H419" s="5">
        <f>IF(Table13_1[[#This Row],[smoker]]="yes",1,0)</f>
        <v>1</v>
      </c>
      <c r="I419" s="4">
        <v>22.6</v>
      </c>
      <c r="J419" s="4">
        <v>2</v>
      </c>
      <c r="K419" s="12">
        <v>18608.261999999999</v>
      </c>
      <c r="N419">
        <v>264</v>
      </c>
      <c r="O419">
        <v>28501.789699098539</v>
      </c>
      <c r="P419">
        <v>7717.6157009014642</v>
      </c>
    </row>
    <row r="420" spans="1:16" x14ac:dyDescent="0.25">
      <c r="A420" s="4" t="s">
        <v>10</v>
      </c>
      <c r="B420" s="4">
        <f>ROUND(Table13_1[[#This Row],[bmi]],1)</f>
        <v>39.200000000000003</v>
      </c>
      <c r="C420" s="4" t="str" cm="1">
        <f t="array" ref="C420">_xlfn.IFS(Table13_1[[#This Row],[Round BMI]]&lt;18.5,"Underweight",AND(Table13_1[[#This Row],[Round BMI]]&gt;=18.5,Table13_1[[#This Row],[Round BMI]] &lt;=24.9),"Healthy Weight",AND(Table13_1[[#This Row],[Round BMI]]&gt;=25,Table13_1[[#This Row],[Round BMI]]&lt;=29.9),"Overweight",Table13_1[[#This Row],[Round BMI]]&gt;=30,"Obese")</f>
        <v>Obese</v>
      </c>
      <c r="D420" s="4" t="s">
        <v>11</v>
      </c>
      <c r="E420" s="4" t="str">
        <f>IF(Table13_1[[#This Row],[smoker]]="yes","smoker","non-smoker")</f>
        <v>non-smoker</v>
      </c>
      <c r="F420" s="4" t="s">
        <v>12</v>
      </c>
      <c r="G420" s="5">
        <v>64</v>
      </c>
      <c r="H420" s="5">
        <f>IF(Table13_1[[#This Row],[smoker]]="yes",1,0)</f>
        <v>0</v>
      </c>
      <c r="I420" s="4">
        <v>39.159999999999997</v>
      </c>
      <c r="J420" s="4">
        <v>1</v>
      </c>
      <c r="K420" s="12">
        <v>14418.2804</v>
      </c>
      <c r="N420">
        <v>265</v>
      </c>
      <c r="O420">
        <v>15233.425849092131</v>
      </c>
      <c r="P420">
        <v>5229.5718509078688</v>
      </c>
    </row>
    <row r="421" spans="1:16" x14ac:dyDescent="0.25">
      <c r="A421" s="4" t="s">
        <v>7</v>
      </c>
      <c r="B421" s="4">
        <f>ROUND(Table13_1[[#This Row],[bmi]],1)</f>
        <v>27</v>
      </c>
      <c r="C421" s="4" t="str" cm="1">
        <f t="array" ref="C421">_xlfn.IFS(Table13_1[[#This Row],[Round BMI]]&lt;18.5,"Underweight",AND(Table13_1[[#This Row],[Round BMI]]&gt;=18.5,Table13_1[[#This Row],[Round BMI]] &lt;=24.9),"Healthy Weight",AND(Table13_1[[#This Row],[Round BMI]]&gt;=25,Table13_1[[#This Row],[Round BMI]]&lt;=29.9),"Overweight",Table13_1[[#This Row],[Round BMI]]&gt;=30,"Obese")</f>
        <v>Overweight</v>
      </c>
      <c r="D421" s="4" t="s">
        <v>8</v>
      </c>
      <c r="E421" s="4" t="str">
        <f>IF(Table13_1[[#This Row],[smoker]]="yes","smoker","non-smoker")</f>
        <v>smoker</v>
      </c>
      <c r="F421" s="4" t="s">
        <v>13</v>
      </c>
      <c r="G421" s="5">
        <v>63</v>
      </c>
      <c r="H421" s="5">
        <f>IF(Table13_1[[#This Row],[smoker]]="yes",1,0)</f>
        <v>1</v>
      </c>
      <c r="I421" s="4">
        <v>26.98</v>
      </c>
      <c r="J421" s="4">
        <v>0</v>
      </c>
      <c r="K421" s="12">
        <v>28950.4692</v>
      </c>
      <c r="N421">
        <v>266</v>
      </c>
      <c r="O421">
        <v>38620.621661983962</v>
      </c>
      <c r="P421">
        <v>7530.5028380160365</v>
      </c>
    </row>
    <row r="422" spans="1:16" x14ac:dyDescent="0.25">
      <c r="A422" s="4" t="s">
        <v>10</v>
      </c>
      <c r="B422" s="4">
        <f>ROUND(Table13_1[[#This Row],[bmi]],1)</f>
        <v>33.9</v>
      </c>
      <c r="C422" s="4" t="str" cm="1">
        <f t="array" ref="C422">_xlfn.IFS(Table13_1[[#This Row],[Round BMI]]&lt;18.5,"Underweight",AND(Table13_1[[#This Row],[Round BMI]]&gt;=18.5,Table13_1[[#This Row],[Round BMI]] &lt;=24.9),"Healthy Weight",AND(Table13_1[[#This Row],[Round BMI]]&gt;=25,Table13_1[[#This Row],[Round BMI]]&lt;=29.9),"Overweight",Table13_1[[#This Row],[Round BMI]]&gt;=30,"Obese")</f>
        <v>Obese</v>
      </c>
      <c r="D422" s="4" t="s">
        <v>8</v>
      </c>
      <c r="E422" s="4" t="str">
        <f>IF(Table13_1[[#This Row],[smoker]]="yes","smoker","non-smoker")</f>
        <v>smoker</v>
      </c>
      <c r="F422" s="4" t="s">
        <v>12</v>
      </c>
      <c r="G422" s="5">
        <v>64</v>
      </c>
      <c r="H422" s="5">
        <f>IF(Table13_1[[#This Row],[smoker]]="yes",1,0)</f>
        <v>1</v>
      </c>
      <c r="I422" s="4">
        <v>33.880000000000003</v>
      </c>
      <c r="J422" s="4">
        <v>0</v>
      </c>
      <c r="K422" s="12">
        <v>46889.261200000001</v>
      </c>
      <c r="N422">
        <v>267</v>
      </c>
      <c r="O422">
        <v>28868.77085284084</v>
      </c>
      <c r="P422">
        <v>-11689.248852840839</v>
      </c>
    </row>
    <row r="423" spans="1:16" x14ac:dyDescent="0.25">
      <c r="A423" s="4" t="s">
        <v>10</v>
      </c>
      <c r="B423" s="4">
        <f>ROUND(Table13_1[[#This Row],[bmi]],1)</f>
        <v>35.9</v>
      </c>
      <c r="C423" s="4" t="str" cm="1">
        <f t="array" ref="C423">_xlfn.IFS(Table13_1[[#This Row],[Round BMI]]&lt;18.5,"Underweight",AND(Table13_1[[#This Row],[Round BMI]]&gt;=18.5,Table13_1[[#This Row],[Round BMI]] &lt;=24.9),"Healthy Weight",AND(Table13_1[[#This Row],[Round BMI]]&gt;=25,Table13_1[[#This Row],[Round BMI]]&lt;=29.9),"Overweight",Table13_1[[#This Row],[Round BMI]]&gt;=30,"Obese")</f>
        <v>Obese</v>
      </c>
      <c r="D423" s="4" t="s">
        <v>8</v>
      </c>
      <c r="E423" s="4" t="str">
        <f>IF(Table13_1[[#This Row],[smoker]]="yes","smoker","non-smoker")</f>
        <v>smoker</v>
      </c>
      <c r="F423" s="4" t="s">
        <v>12</v>
      </c>
      <c r="G423" s="5">
        <v>61</v>
      </c>
      <c r="H423" s="5">
        <f>IF(Table13_1[[#This Row],[smoker]]="yes",1,0)</f>
        <v>1</v>
      </c>
      <c r="I423" s="4">
        <v>35.86</v>
      </c>
      <c r="J423" s="4">
        <v>0</v>
      </c>
      <c r="K423" s="12">
        <v>46599.108399999997</v>
      </c>
      <c r="N423">
        <v>268</v>
      </c>
      <c r="O423">
        <v>14957.234695978799</v>
      </c>
      <c r="P423">
        <v>-366.6026959787996</v>
      </c>
    </row>
    <row r="424" spans="1:16" x14ac:dyDescent="0.25">
      <c r="A424" s="4" t="s">
        <v>10</v>
      </c>
      <c r="B424" s="4">
        <f>ROUND(Table13_1[[#This Row],[bmi]],1)</f>
        <v>32.799999999999997</v>
      </c>
      <c r="C424" s="4" t="str" cm="1">
        <f t="array" ref="C424">_xlfn.IFS(Table13_1[[#This Row],[Round BMI]]&lt;18.5,"Underweight",AND(Table13_1[[#This Row],[Round BMI]]&gt;=18.5,Table13_1[[#This Row],[Round BMI]] &lt;=24.9),"Healthy Weight",AND(Table13_1[[#This Row],[Round BMI]]&gt;=25,Table13_1[[#This Row],[Round BMI]]&lt;=29.9),"Overweight",Table13_1[[#This Row],[Round BMI]]&gt;=30,"Obese")</f>
        <v>Obese</v>
      </c>
      <c r="D424" s="4" t="s">
        <v>8</v>
      </c>
      <c r="E424" s="4" t="str">
        <f>IF(Table13_1[[#This Row],[smoker]]="yes","smoker","non-smoker")</f>
        <v>smoker</v>
      </c>
      <c r="F424" s="4" t="s">
        <v>14</v>
      </c>
      <c r="G424" s="5">
        <v>40</v>
      </c>
      <c r="H424" s="5">
        <f>IF(Table13_1[[#This Row],[smoker]]="yes",1,0)</f>
        <v>1</v>
      </c>
      <c r="I424" s="4">
        <v>32.774999999999999</v>
      </c>
      <c r="J424" s="4">
        <v>1</v>
      </c>
      <c r="K424" s="12">
        <v>39125.332199999997</v>
      </c>
      <c r="N424">
        <v>269</v>
      </c>
      <c r="O424">
        <v>9693.8731330257069</v>
      </c>
      <c r="P424">
        <v>-2252.820133025707</v>
      </c>
    </row>
    <row r="425" spans="1:16" x14ac:dyDescent="0.25">
      <c r="A425" s="4" t="s">
        <v>10</v>
      </c>
      <c r="B425" s="4">
        <f>ROUND(Table13_1[[#This Row],[bmi]],1)</f>
        <v>30.6</v>
      </c>
      <c r="C425" s="4" t="str" cm="1">
        <f t="array" ref="C425">_xlfn.IFS(Table13_1[[#This Row],[Round BMI]]&lt;18.5,"Underweight",AND(Table13_1[[#This Row],[Round BMI]]&gt;=18.5,Table13_1[[#This Row],[Round BMI]] &lt;=24.9),"Healthy Weight",AND(Table13_1[[#This Row],[Round BMI]]&gt;=25,Table13_1[[#This Row],[Round BMI]]&lt;=29.9),"Overweight",Table13_1[[#This Row],[Round BMI]]&gt;=30,"Obese")</f>
        <v>Obese</v>
      </c>
      <c r="D425" s="4" t="s">
        <v>11</v>
      </c>
      <c r="E425" s="4" t="str">
        <f>IF(Table13_1[[#This Row],[smoker]]="yes","smoker","non-smoker")</f>
        <v>non-smoker</v>
      </c>
      <c r="F425" s="4" t="s">
        <v>14</v>
      </c>
      <c r="G425" s="5">
        <v>25</v>
      </c>
      <c r="H425" s="5">
        <f>IF(Table13_1[[#This Row],[smoker]]="yes",1,0)</f>
        <v>0</v>
      </c>
      <c r="I425" s="4">
        <v>30.59</v>
      </c>
      <c r="J425" s="4">
        <v>0</v>
      </c>
      <c r="K425" s="12">
        <v>2727.3951000000002</v>
      </c>
      <c r="N425">
        <v>270</v>
      </c>
      <c r="O425">
        <v>9321.9990459594428</v>
      </c>
      <c r="P425">
        <v>-39.518445959442033</v>
      </c>
    </row>
    <row r="426" spans="1:16" x14ac:dyDescent="0.25">
      <c r="A426" s="4" t="s">
        <v>10</v>
      </c>
      <c r="B426" s="4">
        <f>ROUND(Table13_1[[#This Row],[bmi]],1)</f>
        <v>30.2</v>
      </c>
      <c r="C426" s="4" t="str" cm="1">
        <f t="array" ref="C426">_xlfn.IFS(Table13_1[[#This Row],[Round BMI]]&lt;18.5,"Underweight",AND(Table13_1[[#This Row],[Round BMI]]&gt;=18.5,Table13_1[[#This Row],[Round BMI]] &lt;=24.9),"Healthy Weight",AND(Table13_1[[#This Row],[Round BMI]]&gt;=25,Table13_1[[#This Row],[Round BMI]]&lt;=29.9),"Overweight",Table13_1[[#This Row],[Round BMI]]&gt;=30,"Obese")</f>
        <v>Obese</v>
      </c>
      <c r="D426" s="4" t="s">
        <v>11</v>
      </c>
      <c r="E426" s="4" t="str">
        <f>IF(Table13_1[[#This Row],[smoker]]="yes","smoker","non-smoker")</f>
        <v>non-smoker</v>
      </c>
      <c r="F426" s="4" t="s">
        <v>9</v>
      </c>
      <c r="G426" s="5">
        <v>48</v>
      </c>
      <c r="H426" s="5">
        <f>IF(Table13_1[[#This Row],[smoker]]="yes",1,0)</f>
        <v>0</v>
      </c>
      <c r="I426" s="4">
        <v>30.2</v>
      </c>
      <c r="J426" s="4">
        <v>2</v>
      </c>
      <c r="K426" s="12">
        <v>8968.33</v>
      </c>
      <c r="N426">
        <v>271</v>
      </c>
      <c r="O426">
        <v>2464.7997707478894</v>
      </c>
      <c r="P426">
        <v>-745.36347074788932</v>
      </c>
    </row>
    <row r="427" spans="1:16" x14ac:dyDescent="0.25">
      <c r="A427" s="4" t="s">
        <v>10</v>
      </c>
      <c r="B427" s="4">
        <f>ROUND(Table13_1[[#This Row],[bmi]],1)</f>
        <v>24.3</v>
      </c>
      <c r="C427" s="4" t="str" cm="1">
        <f t="array" ref="C427">_xlfn.IFS(Table13_1[[#This Row],[Round BMI]]&lt;18.5,"Underweight",AND(Table13_1[[#This Row],[Round BMI]]&gt;=18.5,Table13_1[[#This Row],[Round BMI]] &lt;=24.9),"Healthy Weight",AND(Table13_1[[#This Row],[Round BMI]]&gt;=25,Table13_1[[#This Row],[Round BMI]]&lt;=29.9),"Overweight",Table13_1[[#This Row],[Round BMI]]&gt;=30,"Obese")</f>
        <v>Healthy Weight</v>
      </c>
      <c r="D427" s="4" t="s">
        <v>11</v>
      </c>
      <c r="E427" s="4" t="str">
        <f>IF(Table13_1[[#This Row],[smoker]]="yes","smoker","non-smoker")</f>
        <v>non-smoker</v>
      </c>
      <c r="F427" s="4" t="s">
        <v>12</v>
      </c>
      <c r="G427" s="5">
        <v>45</v>
      </c>
      <c r="H427" s="5">
        <f>IF(Table13_1[[#This Row],[smoker]]="yes",1,0)</f>
        <v>0</v>
      </c>
      <c r="I427" s="4">
        <v>24.31</v>
      </c>
      <c r="J427" s="4">
        <v>5</v>
      </c>
      <c r="K427" s="12">
        <v>9788.8659000000007</v>
      </c>
      <c r="N427">
        <v>272</v>
      </c>
      <c r="O427">
        <v>36555.428442603683</v>
      </c>
      <c r="P427">
        <v>6301.4095573963205</v>
      </c>
    </row>
    <row r="428" spans="1:16" x14ac:dyDescent="0.25">
      <c r="A428" s="4" t="s">
        <v>7</v>
      </c>
      <c r="B428" s="4">
        <f>ROUND(Table13_1[[#This Row],[bmi]],1)</f>
        <v>27.3</v>
      </c>
      <c r="C428" s="4" t="str" cm="1">
        <f t="array" ref="C428">_xlfn.IFS(Table13_1[[#This Row],[Round BMI]]&lt;18.5,"Underweight",AND(Table13_1[[#This Row],[Round BMI]]&gt;=18.5,Table13_1[[#This Row],[Round BMI]] &lt;=24.9),"Healthy Weight",AND(Table13_1[[#This Row],[Round BMI]]&gt;=25,Table13_1[[#This Row],[Round BMI]]&lt;=29.9),"Overweight",Table13_1[[#This Row],[Round BMI]]&gt;=30,"Obese")</f>
        <v>Overweight</v>
      </c>
      <c r="D428" s="4" t="s">
        <v>11</v>
      </c>
      <c r="E428" s="4" t="str">
        <f>IF(Table13_1[[#This Row],[smoker]]="yes","smoker","non-smoker")</f>
        <v>non-smoker</v>
      </c>
      <c r="F428" s="4" t="s">
        <v>14</v>
      </c>
      <c r="G428" s="5">
        <v>38</v>
      </c>
      <c r="H428" s="5">
        <f>IF(Table13_1[[#This Row],[smoker]]="yes",1,0)</f>
        <v>0</v>
      </c>
      <c r="I428" s="4">
        <v>27.265000000000001</v>
      </c>
      <c r="J428" s="4">
        <v>1</v>
      </c>
      <c r="K428" s="12">
        <v>6555.0703999999996</v>
      </c>
      <c r="N428">
        <v>273</v>
      </c>
      <c r="O428">
        <v>11340.659528712409</v>
      </c>
      <c r="P428">
        <v>-4074.9570287124088</v>
      </c>
    </row>
    <row r="429" spans="1:16" x14ac:dyDescent="0.25">
      <c r="A429" s="4" t="s">
        <v>7</v>
      </c>
      <c r="B429" s="4">
        <f>ROUND(Table13_1[[#This Row],[bmi]],1)</f>
        <v>29.2</v>
      </c>
      <c r="C429" s="4" t="str" cm="1">
        <f t="array" ref="C429">_xlfn.IFS(Table13_1[[#This Row],[Round BMI]]&lt;18.5,"Underweight",AND(Table13_1[[#This Row],[Round BMI]]&gt;=18.5,Table13_1[[#This Row],[Round BMI]] &lt;=24.9),"Healthy Weight",AND(Table13_1[[#This Row],[Round BMI]]&gt;=25,Table13_1[[#This Row],[Round BMI]]&lt;=29.9),"Overweight",Table13_1[[#This Row],[Round BMI]]&gt;=30,"Obese")</f>
        <v>Overweight</v>
      </c>
      <c r="D429" s="4" t="s">
        <v>11</v>
      </c>
      <c r="E429" s="4" t="str">
        <f>IF(Table13_1[[#This Row],[smoker]]="yes","smoker","non-smoker")</f>
        <v>non-smoker</v>
      </c>
      <c r="F429" s="4" t="s">
        <v>14</v>
      </c>
      <c r="G429" s="5">
        <v>18</v>
      </c>
      <c r="H429" s="5">
        <f>IF(Table13_1[[#This Row],[smoker]]="yes",1,0)</f>
        <v>0</v>
      </c>
      <c r="I429" s="4">
        <v>29.164999999999999</v>
      </c>
      <c r="J429" s="4">
        <v>0</v>
      </c>
      <c r="K429" s="12">
        <v>7323.7348000000002</v>
      </c>
      <c r="N429">
        <v>274</v>
      </c>
      <c r="O429">
        <v>10099.638568878358</v>
      </c>
      <c r="P429">
        <v>-481.97616887835829</v>
      </c>
    </row>
    <row r="430" spans="1:16" x14ac:dyDescent="0.25">
      <c r="A430" s="4" t="s">
        <v>7</v>
      </c>
      <c r="B430" s="4">
        <f>ROUND(Table13_1[[#This Row],[bmi]],1)</f>
        <v>16.8</v>
      </c>
      <c r="C430" s="4" t="str" cm="1">
        <f t="array" ref="C430">_xlfn.IFS(Table13_1[[#This Row],[Round BMI]]&lt;18.5,"Underweight",AND(Table13_1[[#This Row],[Round BMI]]&gt;=18.5,Table13_1[[#This Row],[Round BMI]] &lt;=24.9),"Healthy Weight",AND(Table13_1[[#This Row],[Round BMI]]&gt;=25,Table13_1[[#This Row],[Round BMI]]&lt;=29.9),"Overweight",Table13_1[[#This Row],[Round BMI]]&gt;=30,"Obese")</f>
        <v>Underweight</v>
      </c>
      <c r="D430" s="4" t="s">
        <v>11</v>
      </c>
      <c r="E430" s="4" t="str">
        <f>IF(Table13_1[[#This Row],[smoker]]="yes","smoker","non-smoker")</f>
        <v>non-smoker</v>
      </c>
      <c r="F430" s="4" t="s">
        <v>14</v>
      </c>
      <c r="G430" s="5">
        <v>21</v>
      </c>
      <c r="H430" s="5">
        <f>IF(Table13_1[[#This Row],[smoker]]="yes",1,0)</f>
        <v>0</v>
      </c>
      <c r="I430" s="4">
        <v>16.815000000000001</v>
      </c>
      <c r="J430" s="4">
        <v>1</v>
      </c>
      <c r="K430" s="12">
        <v>3167.4558000000002</v>
      </c>
      <c r="N430">
        <v>275</v>
      </c>
      <c r="O430">
        <v>3210.4744533435505</v>
      </c>
      <c r="P430">
        <v>-687.30495334355055</v>
      </c>
    </row>
    <row r="431" spans="1:16" x14ac:dyDescent="0.25">
      <c r="A431" s="4" t="s">
        <v>7</v>
      </c>
      <c r="B431" s="4">
        <f>ROUND(Table13_1[[#This Row],[bmi]],1)</f>
        <v>30.4</v>
      </c>
      <c r="C431" s="4" t="str" cm="1">
        <f t="array" ref="C431">_xlfn.IFS(Table13_1[[#This Row],[Round BMI]]&lt;18.5,"Underweight",AND(Table13_1[[#This Row],[Round BMI]]&gt;=18.5,Table13_1[[#This Row],[Round BMI]] &lt;=24.9),"Healthy Weight",AND(Table13_1[[#This Row],[Round BMI]]&gt;=25,Table13_1[[#This Row],[Round BMI]]&lt;=29.9),"Overweight",Table13_1[[#This Row],[Round BMI]]&gt;=30,"Obese")</f>
        <v>Obese</v>
      </c>
      <c r="D431" s="4" t="s">
        <v>11</v>
      </c>
      <c r="E431" s="4" t="str">
        <f>IF(Table13_1[[#This Row],[smoker]]="yes","smoker","non-smoker")</f>
        <v>non-smoker</v>
      </c>
      <c r="F431" s="4" t="s">
        <v>13</v>
      </c>
      <c r="G431" s="5">
        <v>27</v>
      </c>
      <c r="H431" s="5">
        <f>IF(Table13_1[[#This Row],[smoker]]="yes",1,0)</f>
        <v>0</v>
      </c>
      <c r="I431" s="4">
        <v>30.4</v>
      </c>
      <c r="J431" s="4">
        <v>3</v>
      </c>
      <c r="K431" s="12">
        <v>18804.752400000001</v>
      </c>
      <c r="N431">
        <v>276</v>
      </c>
      <c r="O431">
        <v>9524.4094130038757</v>
      </c>
      <c r="P431">
        <v>191.43158699612468</v>
      </c>
    </row>
    <row r="432" spans="1:16" x14ac:dyDescent="0.25">
      <c r="A432" s="4" t="s">
        <v>10</v>
      </c>
      <c r="B432" s="4">
        <f>ROUND(Table13_1[[#This Row],[bmi]],1)</f>
        <v>33.1</v>
      </c>
      <c r="C432" s="4" t="str" cm="1">
        <f t="array" ref="C432">_xlfn.IFS(Table13_1[[#This Row],[Round BMI]]&lt;18.5,"Underweight",AND(Table13_1[[#This Row],[Round BMI]]&gt;=18.5,Table13_1[[#This Row],[Round BMI]] &lt;=24.9),"Healthy Weight",AND(Table13_1[[#This Row],[Round BMI]]&gt;=25,Table13_1[[#This Row],[Round BMI]]&lt;=29.9),"Overweight",Table13_1[[#This Row],[Round BMI]]&gt;=30,"Obese")</f>
        <v>Obese</v>
      </c>
      <c r="D432" s="4" t="s">
        <v>11</v>
      </c>
      <c r="E432" s="4" t="str">
        <f>IF(Table13_1[[#This Row],[smoker]]="yes","smoker","non-smoker")</f>
        <v>non-smoker</v>
      </c>
      <c r="F432" s="4" t="s">
        <v>9</v>
      </c>
      <c r="G432" s="5">
        <v>19</v>
      </c>
      <c r="H432" s="5">
        <f>IF(Table13_1[[#This Row],[smoker]]="yes",1,0)</f>
        <v>0</v>
      </c>
      <c r="I432" s="4">
        <v>33.1</v>
      </c>
      <c r="J432" s="4">
        <v>0</v>
      </c>
      <c r="K432" s="12">
        <v>23082.955300000001</v>
      </c>
      <c r="N432">
        <v>277</v>
      </c>
      <c r="O432">
        <v>378.34256174925281</v>
      </c>
      <c r="P432">
        <v>2425.3552382507469</v>
      </c>
    </row>
    <row r="433" spans="1:16" x14ac:dyDescent="0.25">
      <c r="A433" s="4" t="s">
        <v>7</v>
      </c>
      <c r="B433" s="4">
        <f>ROUND(Table13_1[[#This Row],[bmi]],1)</f>
        <v>20.2</v>
      </c>
      <c r="C433" s="4" t="str" cm="1">
        <f t="array" ref="C433">_xlfn.IFS(Table13_1[[#This Row],[Round BMI]]&lt;18.5,"Underweight",AND(Table13_1[[#This Row],[Round BMI]]&gt;=18.5,Table13_1[[#This Row],[Round BMI]] &lt;=24.9),"Healthy Weight",AND(Table13_1[[#This Row],[Round BMI]]&gt;=25,Table13_1[[#This Row],[Round BMI]]&lt;=29.9),"Overweight",Table13_1[[#This Row],[Round BMI]]&gt;=30,"Obese")</f>
        <v>Healthy Weight</v>
      </c>
      <c r="D433" s="4" t="s">
        <v>11</v>
      </c>
      <c r="E433" s="4" t="str">
        <f>IF(Table13_1[[#This Row],[smoker]]="yes","smoker","non-smoker")</f>
        <v>non-smoker</v>
      </c>
      <c r="F433" s="4" t="s">
        <v>13</v>
      </c>
      <c r="G433" s="5">
        <v>29</v>
      </c>
      <c r="H433" s="5">
        <f>IF(Table13_1[[#This Row],[smoker]]="yes",1,0)</f>
        <v>0</v>
      </c>
      <c r="I433" s="4">
        <v>20.234999999999999</v>
      </c>
      <c r="J433" s="4">
        <v>2</v>
      </c>
      <c r="K433" s="12">
        <v>4906.4096</v>
      </c>
      <c r="N433">
        <v>278</v>
      </c>
      <c r="O433">
        <v>1390.9088721185426</v>
      </c>
      <c r="P433">
        <v>759.56012788145745</v>
      </c>
    </row>
    <row r="434" spans="1:16" x14ac:dyDescent="0.25">
      <c r="A434" s="4" t="s">
        <v>10</v>
      </c>
      <c r="B434" s="4">
        <f>ROUND(Table13_1[[#This Row],[bmi]],1)</f>
        <v>26.9</v>
      </c>
      <c r="C434" s="4" t="str" cm="1">
        <f t="array" ref="C434">_xlfn.IFS(Table13_1[[#This Row],[Round BMI]]&lt;18.5,"Underweight",AND(Table13_1[[#This Row],[Round BMI]]&gt;=18.5,Table13_1[[#This Row],[Round BMI]] &lt;=24.9),"Healthy Weight",AND(Table13_1[[#This Row],[Round BMI]]&gt;=25,Table13_1[[#This Row],[Round BMI]]&lt;=29.9),"Overweight",Table13_1[[#This Row],[Round BMI]]&gt;=30,"Obese")</f>
        <v>Overweight</v>
      </c>
      <c r="D434" s="4" t="s">
        <v>11</v>
      </c>
      <c r="E434" s="4" t="str">
        <f>IF(Table13_1[[#This Row],[smoker]]="yes","smoker","non-smoker")</f>
        <v>non-smoker</v>
      </c>
      <c r="F434" s="4" t="s">
        <v>9</v>
      </c>
      <c r="G434" s="5">
        <v>42</v>
      </c>
      <c r="H434" s="5">
        <f>IF(Table13_1[[#This Row],[smoker]]="yes",1,0)</f>
        <v>0</v>
      </c>
      <c r="I434" s="4">
        <v>26.9</v>
      </c>
      <c r="J434" s="4">
        <v>0</v>
      </c>
      <c r="K434" s="12">
        <v>5969.723</v>
      </c>
      <c r="N434">
        <v>279</v>
      </c>
      <c r="O434">
        <v>14289.01228171404</v>
      </c>
      <c r="P434">
        <v>-1360.2211817140396</v>
      </c>
    </row>
    <row r="435" spans="1:16" x14ac:dyDescent="0.25">
      <c r="A435" s="4" t="s">
        <v>7</v>
      </c>
      <c r="B435" s="4">
        <f>ROUND(Table13_1[[#This Row],[bmi]],1)</f>
        <v>30.5</v>
      </c>
      <c r="C435" s="4" t="str" cm="1">
        <f t="array" ref="C435">_xlfn.IFS(Table13_1[[#This Row],[Round BMI]]&lt;18.5,"Underweight",AND(Table13_1[[#This Row],[Round BMI]]&gt;=18.5,Table13_1[[#This Row],[Round BMI]] &lt;=24.9),"Healthy Weight",AND(Table13_1[[#This Row],[Round BMI]]&gt;=25,Table13_1[[#This Row],[Round BMI]]&lt;=29.9),"Overweight",Table13_1[[#This Row],[Round BMI]]&gt;=30,"Obese")</f>
        <v>Obese</v>
      </c>
      <c r="D435" s="4" t="s">
        <v>11</v>
      </c>
      <c r="E435" s="4" t="str">
        <f>IF(Table13_1[[#This Row],[smoker]]="yes","smoker","non-smoker")</f>
        <v>non-smoker</v>
      </c>
      <c r="F435" s="4" t="s">
        <v>9</v>
      </c>
      <c r="G435" s="5">
        <v>60</v>
      </c>
      <c r="H435" s="5">
        <f>IF(Table13_1[[#This Row],[smoker]]="yes",1,0)</f>
        <v>0</v>
      </c>
      <c r="I435" s="4">
        <v>30.5</v>
      </c>
      <c r="J435" s="4">
        <v>0</v>
      </c>
      <c r="K435" s="12">
        <v>12638.195</v>
      </c>
      <c r="N435">
        <v>280</v>
      </c>
      <c r="O435">
        <v>8460.174056459764</v>
      </c>
      <c r="P435">
        <v>1394.9573435402363</v>
      </c>
    </row>
    <row r="436" spans="1:16" x14ac:dyDescent="0.25">
      <c r="A436" s="4" t="s">
        <v>10</v>
      </c>
      <c r="B436" s="4">
        <f>ROUND(Table13_1[[#This Row],[bmi]],1)</f>
        <v>28.6</v>
      </c>
      <c r="C436" s="4" t="str" cm="1">
        <f t="array" ref="C436">_xlfn.IFS(Table13_1[[#This Row],[Round BMI]]&lt;18.5,"Underweight",AND(Table13_1[[#This Row],[Round BMI]]&gt;=18.5,Table13_1[[#This Row],[Round BMI]] &lt;=24.9),"Healthy Weight",AND(Table13_1[[#This Row],[Round BMI]]&gt;=25,Table13_1[[#This Row],[Round BMI]]&lt;=29.9),"Overweight",Table13_1[[#This Row],[Round BMI]]&gt;=30,"Obese")</f>
        <v>Overweight</v>
      </c>
      <c r="D436" s="4" t="s">
        <v>11</v>
      </c>
      <c r="E436" s="4" t="str">
        <f>IF(Table13_1[[#This Row],[smoker]]="yes","smoker","non-smoker")</f>
        <v>non-smoker</v>
      </c>
      <c r="F436" s="4" t="s">
        <v>13</v>
      </c>
      <c r="G436" s="5">
        <v>31</v>
      </c>
      <c r="H436" s="5">
        <f>IF(Table13_1[[#This Row],[smoker]]="yes",1,0)</f>
        <v>0</v>
      </c>
      <c r="I436" s="4">
        <v>28.594999999999999</v>
      </c>
      <c r="J436" s="4">
        <v>1</v>
      </c>
      <c r="K436" s="12">
        <v>4243.59</v>
      </c>
      <c r="N436">
        <v>281</v>
      </c>
      <c r="O436">
        <v>31546.574524479729</v>
      </c>
      <c r="P436">
        <v>-9215.0077244797285</v>
      </c>
    </row>
    <row r="437" spans="1:16" x14ac:dyDescent="0.25">
      <c r="A437" s="4" t="s">
        <v>10</v>
      </c>
      <c r="B437" s="4">
        <f>ROUND(Table13_1[[#This Row],[bmi]],1)</f>
        <v>33.1</v>
      </c>
      <c r="C437" s="4" t="str" cm="1">
        <f t="array" ref="C437">_xlfn.IFS(Table13_1[[#This Row],[Round BMI]]&lt;18.5,"Underweight",AND(Table13_1[[#This Row],[Round BMI]]&gt;=18.5,Table13_1[[#This Row],[Round BMI]] &lt;=24.9),"Healthy Weight",AND(Table13_1[[#This Row],[Round BMI]]&gt;=25,Table13_1[[#This Row],[Round BMI]]&lt;=29.9),"Overweight",Table13_1[[#This Row],[Round BMI]]&gt;=30,"Obese")</f>
        <v>Obese</v>
      </c>
      <c r="D437" s="4" t="s">
        <v>11</v>
      </c>
      <c r="E437" s="4" t="str">
        <f>IF(Table13_1[[#This Row],[smoker]]="yes","smoker","non-smoker")</f>
        <v>non-smoker</v>
      </c>
      <c r="F437" s="4" t="s">
        <v>12</v>
      </c>
      <c r="G437" s="5">
        <v>60</v>
      </c>
      <c r="H437" s="5">
        <f>IF(Table13_1[[#This Row],[smoker]]="yes",1,0)</f>
        <v>0</v>
      </c>
      <c r="I437" s="4">
        <v>33.11</v>
      </c>
      <c r="J437" s="4">
        <v>3</v>
      </c>
      <c r="K437" s="12">
        <v>13919.822899999999</v>
      </c>
      <c r="N437">
        <v>282</v>
      </c>
      <c r="O437">
        <v>40108.912966555246</v>
      </c>
      <c r="P437">
        <v>8440.2654334447507</v>
      </c>
    </row>
    <row r="438" spans="1:16" x14ac:dyDescent="0.25">
      <c r="A438" s="4" t="s">
        <v>10</v>
      </c>
      <c r="B438" s="4">
        <f>ROUND(Table13_1[[#This Row],[bmi]],1)</f>
        <v>31.7</v>
      </c>
      <c r="C438" s="4" t="str" cm="1">
        <f t="array" ref="C438">_xlfn.IFS(Table13_1[[#This Row],[Round BMI]]&lt;18.5,"Underweight",AND(Table13_1[[#This Row],[Round BMI]]&gt;=18.5,Table13_1[[#This Row],[Round BMI]] &lt;=24.9),"Healthy Weight",AND(Table13_1[[#This Row],[Round BMI]]&gt;=25,Table13_1[[#This Row],[Round BMI]]&lt;=29.9),"Overweight",Table13_1[[#This Row],[Round BMI]]&gt;=30,"Obese")</f>
        <v>Obese</v>
      </c>
      <c r="D438" s="4" t="s">
        <v>11</v>
      </c>
      <c r="E438" s="4" t="str">
        <f>IF(Table13_1[[#This Row],[smoker]]="yes","smoker","non-smoker")</f>
        <v>non-smoker</v>
      </c>
      <c r="F438" s="4" t="s">
        <v>14</v>
      </c>
      <c r="G438" s="5">
        <v>22</v>
      </c>
      <c r="H438" s="5">
        <f>IF(Table13_1[[#This Row],[smoker]]="yes",1,0)</f>
        <v>0</v>
      </c>
      <c r="I438" s="4">
        <v>31.73</v>
      </c>
      <c r="J438" s="4">
        <v>0</v>
      </c>
      <c r="K438" s="12">
        <v>2254.7966999999999</v>
      </c>
      <c r="N438">
        <v>283</v>
      </c>
      <c r="O438">
        <v>5003.8001888110684</v>
      </c>
      <c r="P438">
        <v>-766.67358881106884</v>
      </c>
    </row>
    <row r="439" spans="1:16" x14ac:dyDescent="0.25">
      <c r="A439" s="4" t="s">
        <v>10</v>
      </c>
      <c r="B439" s="4">
        <f>ROUND(Table13_1[[#This Row],[bmi]],1)</f>
        <v>28.9</v>
      </c>
      <c r="C439" s="4" t="str" cm="1">
        <f t="array" ref="C439">_xlfn.IFS(Table13_1[[#This Row],[Round BMI]]&lt;18.5,"Underweight",AND(Table13_1[[#This Row],[Round BMI]]&gt;=18.5,Table13_1[[#This Row],[Round BMI]] &lt;=24.9),"Healthy Weight",AND(Table13_1[[#This Row],[Round BMI]]&gt;=25,Table13_1[[#This Row],[Round BMI]]&lt;=29.9),"Overweight",Table13_1[[#This Row],[Round BMI]]&gt;=30,"Obese")</f>
        <v>Overweight</v>
      </c>
      <c r="D439" s="4" t="s">
        <v>11</v>
      </c>
      <c r="E439" s="4" t="str">
        <f>IF(Table13_1[[#This Row],[smoker]]="yes","smoker","non-smoker")</f>
        <v>non-smoker</v>
      </c>
      <c r="F439" s="4" t="s">
        <v>9</v>
      </c>
      <c r="G439" s="5">
        <v>35</v>
      </c>
      <c r="H439" s="5">
        <f>IF(Table13_1[[#This Row],[smoker]]="yes",1,0)</f>
        <v>0</v>
      </c>
      <c r="I439" s="4">
        <v>28.9</v>
      </c>
      <c r="J439" s="4">
        <v>3</v>
      </c>
      <c r="K439" s="12">
        <v>5926.8459999999995</v>
      </c>
      <c r="N439">
        <v>284</v>
      </c>
      <c r="O439">
        <v>12978.832035565729</v>
      </c>
      <c r="P439">
        <v>-1099.7280355657294</v>
      </c>
    </row>
    <row r="440" spans="1:16" x14ac:dyDescent="0.25">
      <c r="A440" s="4" t="s">
        <v>7</v>
      </c>
      <c r="B440" s="4">
        <f>ROUND(Table13_1[[#This Row],[bmi]],1)</f>
        <v>46.8</v>
      </c>
      <c r="C440" s="4" t="str" cm="1">
        <f t="array" ref="C440">_xlfn.IFS(Table13_1[[#This Row],[Round BMI]]&lt;18.5,"Underweight",AND(Table13_1[[#This Row],[Round BMI]]&gt;=18.5,Table13_1[[#This Row],[Round BMI]] &lt;=24.9),"Healthy Weight",AND(Table13_1[[#This Row],[Round BMI]]&gt;=25,Table13_1[[#This Row],[Round BMI]]&lt;=29.9),"Overweight",Table13_1[[#This Row],[Round BMI]]&gt;=30,"Obese")</f>
        <v>Obese</v>
      </c>
      <c r="D440" s="4" t="s">
        <v>11</v>
      </c>
      <c r="E440" s="4" t="str">
        <f>IF(Table13_1[[#This Row],[smoker]]="yes","smoker","non-smoker")</f>
        <v>non-smoker</v>
      </c>
      <c r="F440" s="4" t="s">
        <v>12</v>
      </c>
      <c r="G440" s="5">
        <v>52</v>
      </c>
      <c r="H440" s="5">
        <f>IF(Table13_1[[#This Row],[smoker]]="yes",1,0)</f>
        <v>0</v>
      </c>
      <c r="I440" s="4">
        <v>46.75</v>
      </c>
      <c r="J440" s="4">
        <v>5</v>
      </c>
      <c r="K440" s="12">
        <v>12592.5345</v>
      </c>
      <c r="N440">
        <v>285</v>
      </c>
      <c r="O440">
        <v>11347.168771633587</v>
      </c>
      <c r="P440">
        <v>-1721.2487716335872</v>
      </c>
    </row>
    <row r="441" spans="1:16" x14ac:dyDescent="0.25">
      <c r="A441" s="4" t="s">
        <v>10</v>
      </c>
      <c r="B441" s="4">
        <f>ROUND(Table13_1[[#This Row],[bmi]],1)</f>
        <v>29.5</v>
      </c>
      <c r="C441" s="4" t="str" cm="1">
        <f t="array" ref="C441">_xlfn.IFS(Table13_1[[#This Row],[Round BMI]]&lt;18.5,"Underweight",AND(Table13_1[[#This Row],[Round BMI]]&gt;=18.5,Table13_1[[#This Row],[Round BMI]] &lt;=24.9),"Healthy Weight",AND(Table13_1[[#This Row],[Round BMI]]&gt;=25,Table13_1[[#This Row],[Round BMI]]&lt;=29.9),"Overweight",Table13_1[[#This Row],[Round BMI]]&gt;=30,"Obese")</f>
        <v>Overweight</v>
      </c>
      <c r="D441" s="4" t="s">
        <v>11</v>
      </c>
      <c r="E441" s="4" t="str">
        <f>IF(Table13_1[[#This Row],[smoker]]="yes","smoker","non-smoker")</f>
        <v>non-smoker</v>
      </c>
      <c r="F441" s="4" t="s">
        <v>14</v>
      </c>
      <c r="G441" s="5">
        <v>26</v>
      </c>
      <c r="H441" s="5">
        <f>IF(Table13_1[[#This Row],[smoker]]="yes",1,0)</f>
        <v>0</v>
      </c>
      <c r="I441" s="4">
        <v>29.45</v>
      </c>
      <c r="J441" s="4">
        <v>0</v>
      </c>
      <c r="K441" s="12">
        <v>2897.3235</v>
      </c>
      <c r="N441">
        <v>286</v>
      </c>
      <c r="O441">
        <v>8799.4946181845226</v>
      </c>
      <c r="P441">
        <v>-1057.3848181845224</v>
      </c>
    </row>
    <row r="442" spans="1:16" x14ac:dyDescent="0.25">
      <c r="A442" s="4" t="s">
        <v>7</v>
      </c>
      <c r="B442" s="4">
        <f>ROUND(Table13_1[[#This Row],[bmi]],1)</f>
        <v>32.700000000000003</v>
      </c>
      <c r="C442" s="4" t="str" cm="1">
        <f t="array" ref="C442">_xlfn.IFS(Table13_1[[#This Row],[Round BMI]]&lt;18.5,"Underweight",AND(Table13_1[[#This Row],[Round BMI]]&gt;=18.5,Table13_1[[#This Row],[Round BMI]] &lt;=24.9),"Healthy Weight",AND(Table13_1[[#This Row],[Round BMI]]&gt;=25,Table13_1[[#This Row],[Round BMI]]&lt;=29.9),"Overweight",Table13_1[[#This Row],[Round BMI]]&gt;=30,"Obese")</f>
        <v>Obese</v>
      </c>
      <c r="D442" s="4" t="s">
        <v>11</v>
      </c>
      <c r="E442" s="4" t="str">
        <f>IF(Table13_1[[#This Row],[smoker]]="yes","smoker","non-smoker")</f>
        <v>non-smoker</v>
      </c>
      <c r="F442" s="4" t="s">
        <v>13</v>
      </c>
      <c r="G442" s="5">
        <v>31</v>
      </c>
      <c r="H442" s="5">
        <f>IF(Table13_1[[#This Row],[smoker]]="yes",1,0)</f>
        <v>0</v>
      </c>
      <c r="I442" s="4">
        <v>32.68</v>
      </c>
      <c r="J442" s="4">
        <v>1</v>
      </c>
      <c r="K442" s="12">
        <v>4738.2682000000004</v>
      </c>
      <c r="N442">
        <v>287</v>
      </c>
      <c r="O442">
        <v>16176.709524674352</v>
      </c>
      <c r="P442">
        <v>-6743.7842246743512</v>
      </c>
    </row>
    <row r="443" spans="1:16" x14ac:dyDescent="0.25">
      <c r="A443" s="4" t="s">
        <v>7</v>
      </c>
      <c r="B443" s="4">
        <f>ROUND(Table13_1[[#This Row],[bmi]],1)</f>
        <v>33.5</v>
      </c>
      <c r="C443" s="4" t="str" cm="1">
        <f t="array" ref="C443">_xlfn.IFS(Table13_1[[#This Row],[Round BMI]]&lt;18.5,"Underweight",AND(Table13_1[[#This Row],[Round BMI]]&gt;=18.5,Table13_1[[#This Row],[Round BMI]] &lt;=24.9),"Healthy Weight",AND(Table13_1[[#This Row],[Round BMI]]&gt;=25,Table13_1[[#This Row],[Round BMI]]&lt;=29.9),"Overweight",Table13_1[[#This Row],[Round BMI]]&gt;=30,"Obese")</f>
        <v>Obese</v>
      </c>
      <c r="D443" s="4" t="s">
        <v>8</v>
      </c>
      <c r="E443" s="4" t="str">
        <f>IF(Table13_1[[#This Row],[smoker]]="yes","smoker","non-smoker")</f>
        <v>smoker</v>
      </c>
      <c r="F443" s="4" t="s">
        <v>9</v>
      </c>
      <c r="G443" s="5">
        <v>33</v>
      </c>
      <c r="H443" s="5">
        <f>IF(Table13_1[[#This Row],[smoker]]="yes",1,0)</f>
        <v>1</v>
      </c>
      <c r="I443" s="4">
        <v>33.5</v>
      </c>
      <c r="J443" s="4">
        <v>0</v>
      </c>
      <c r="K443" s="12">
        <v>37079.372000000003</v>
      </c>
      <c r="N443">
        <v>288</v>
      </c>
      <c r="O443">
        <v>12580.693366118263</v>
      </c>
      <c r="P443">
        <v>1675.4994338817378</v>
      </c>
    </row>
    <row r="444" spans="1:16" x14ac:dyDescent="0.25">
      <c r="A444" s="4" t="s">
        <v>10</v>
      </c>
      <c r="B444" s="4">
        <f>ROUND(Table13_1[[#This Row],[bmi]],1)</f>
        <v>43</v>
      </c>
      <c r="C444" s="4" t="str" cm="1">
        <f t="array" ref="C444">_xlfn.IFS(Table13_1[[#This Row],[Round BMI]]&lt;18.5,"Underweight",AND(Table13_1[[#This Row],[Round BMI]]&gt;=18.5,Table13_1[[#This Row],[Round BMI]] &lt;=24.9),"Healthy Weight",AND(Table13_1[[#This Row],[Round BMI]]&gt;=25,Table13_1[[#This Row],[Round BMI]]&lt;=29.9),"Overweight",Table13_1[[#This Row],[Round BMI]]&gt;=30,"Obese")</f>
        <v>Obese</v>
      </c>
      <c r="D444" s="4" t="s">
        <v>11</v>
      </c>
      <c r="E444" s="4" t="str">
        <f>IF(Table13_1[[#This Row],[smoker]]="yes","smoker","non-smoker")</f>
        <v>non-smoker</v>
      </c>
      <c r="F444" s="4" t="s">
        <v>12</v>
      </c>
      <c r="G444" s="5">
        <v>18</v>
      </c>
      <c r="H444" s="5">
        <f>IF(Table13_1[[#This Row],[smoker]]="yes",1,0)</f>
        <v>0</v>
      </c>
      <c r="I444" s="4">
        <v>43.01</v>
      </c>
      <c r="J444" s="4">
        <v>0</v>
      </c>
      <c r="K444" s="12">
        <v>1149.3959</v>
      </c>
      <c r="N444">
        <v>289</v>
      </c>
      <c r="O444">
        <v>39228.120541318778</v>
      </c>
      <c r="P444">
        <v>8668.6708586812238</v>
      </c>
    </row>
    <row r="445" spans="1:16" x14ac:dyDescent="0.25">
      <c r="A445" s="4" t="s">
        <v>7</v>
      </c>
      <c r="B445" s="4">
        <f>ROUND(Table13_1[[#This Row],[bmi]],1)</f>
        <v>36.5</v>
      </c>
      <c r="C445" s="4" t="str" cm="1">
        <f t="array" ref="C445">_xlfn.IFS(Table13_1[[#This Row],[Round BMI]]&lt;18.5,"Underweight",AND(Table13_1[[#This Row],[Round BMI]]&gt;=18.5,Table13_1[[#This Row],[Round BMI]] &lt;=24.9),"Healthy Weight",AND(Table13_1[[#This Row],[Round BMI]]&gt;=25,Table13_1[[#This Row],[Round BMI]]&lt;=29.9),"Overweight",Table13_1[[#This Row],[Round BMI]]&gt;=30,"Obese")</f>
        <v>Obese</v>
      </c>
      <c r="D445" s="4" t="s">
        <v>11</v>
      </c>
      <c r="E445" s="4" t="str">
        <f>IF(Table13_1[[#This Row],[smoker]]="yes","smoker","non-smoker")</f>
        <v>non-smoker</v>
      </c>
      <c r="F445" s="4" t="s">
        <v>12</v>
      </c>
      <c r="G445" s="5">
        <v>59</v>
      </c>
      <c r="H445" s="5">
        <f>IF(Table13_1[[#This Row],[smoker]]="yes",1,0)</f>
        <v>0</v>
      </c>
      <c r="I445" s="4">
        <v>36.520000000000003</v>
      </c>
      <c r="J445" s="4">
        <v>1</v>
      </c>
      <c r="K445" s="12">
        <v>28287.897700000001</v>
      </c>
      <c r="N445">
        <v>290</v>
      </c>
      <c r="O445">
        <v>11222.788984633236</v>
      </c>
      <c r="P445">
        <v>14770.032015366764</v>
      </c>
    </row>
    <row r="446" spans="1:16" x14ac:dyDescent="0.25">
      <c r="A446" s="4" t="s">
        <v>10</v>
      </c>
      <c r="B446" s="4">
        <f>ROUND(Table13_1[[#This Row],[bmi]],1)</f>
        <v>26.7</v>
      </c>
      <c r="C446" s="4" t="str" cm="1">
        <f t="array" ref="C446">_xlfn.IFS(Table13_1[[#This Row],[Round BMI]]&lt;18.5,"Underweight",AND(Table13_1[[#This Row],[Round BMI]]&gt;=18.5,Table13_1[[#This Row],[Round BMI]] &lt;=24.9),"Healthy Weight",AND(Table13_1[[#This Row],[Round BMI]]&gt;=25,Table13_1[[#This Row],[Round BMI]]&lt;=29.9),"Overweight",Table13_1[[#This Row],[Round BMI]]&gt;=30,"Obese")</f>
        <v>Overweight</v>
      </c>
      <c r="D446" s="4" t="s">
        <v>8</v>
      </c>
      <c r="E446" s="4" t="str">
        <f>IF(Table13_1[[#This Row],[smoker]]="yes","smoker","non-smoker")</f>
        <v>smoker</v>
      </c>
      <c r="F446" s="4" t="s">
        <v>13</v>
      </c>
      <c r="G446" s="5">
        <v>56</v>
      </c>
      <c r="H446" s="5">
        <f>IF(Table13_1[[#This Row],[smoker]]="yes",1,0)</f>
        <v>1</v>
      </c>
      <c r="I446" s="4">
        <v>26.695</v>
      </c>
      <c r="J446" s="4">
        <v>1</v>
      </c>
      <c r="K446" s="12">
        <v>26109.329000000002</v>
      </c>
      <c r="N446">
        <v>291</v>
      </c>
      <c r="O446">
        <v>5866.8536819557112</v>
      </c>
      <c r="P446">
        <v>-2694.8356819557112</v>
      </c>
    </row>
    <row r="447" spans="1:16" x14ac:dyDescent="0.25">
      <c r="A447" s="4" t="s">
        <v>7</v>
      </c>
      <c r="B447" s="4">
        <f>ROUND(Table13_1[[#This Row],[bmi]],1)</f>
        <v>33.1</v>
      </c>
      <c r="C447" s="4" t="str" cm="1">
        <f t="array" ref="C447">_xlfn.IFS(Table13_1[[#This Row],[Round BMI]]&lt;18.5,"Underweight",AND(Table13_1[[#This Row],[Round BMI]]&gt;=18.5,Table13_1[[#This Row],[Round BMI]] &lt;=24.9),"Healthy Weight",AND(Table13_1[[#This Row],[Round BMI]]&gt;=25,Table13_1[[#This Row],[Round BMI]]&lt;=29.9),"Overweight",Table13_1[[#This Row],[Round BMI]]&gt;=30,"Obese")</f>
        <v>Obese</v>
      </c>
      <c r="D447" s="4" t="s">
        <v>11</v>
      </c>
      <c r="E447" s="4" t="str">
        <f>IF(Table13_1[[#This Row],[smoker]]="yes","smoker","non-smoker")</f>
        <v>non-smoker</v>
      </c>
      <c r="F447" s="4" t="s">
        <v>9</v>
      </c>
      <c r="G447" s="5">
        <v>45</v>
      </c>
      <c r="H447" s="5">
        <f>IF(Table13_1[[#This Row],[smoker]]="yes",1,0)</f>
        <v>0</v>
      </c>
      <c r="I447" s="4">
        <v>33.1</v>
      </c>
      <c r="J447" s="4">
        <v>0</v>
      </c>
      <c r="K447" s="12">
        <v>7345.0839999999998</v>
      </c>
      <c r="N447">
        <v>292</v>
      </c>
      <c r="O447">
        <v>5388.044230148932</v>
      </c>
      <c r="P447">
        <v>14889.763269851068</v>
      </c>
    </row>
    <row r="448" spans="1:16" x14ac:dyDescent="0.25">
      <c r="A448" s="4" t="s">
        <v>10</v>
      </c>
      <c r="B448" s="4">
        <f>ROUND(Table13_1[[#This Row],[bmi]],1)</f>
        <v>29.6</v>
      </c>
      <c r="C448" s="4" t="str" cm="1">
        <f t="array" ref="C448">_xlfn.IFS(Table13_1[[#This Row],[Round BMI]]&lt;18.5,"Underweight",AND(Table13_1[[#This Row],[Round BMI]]&gt;=18.5,Table13_1[[#This Row],[Round BMI]] &lt;=24.9),"Healthy Weight",AND(Table13_1[[#This Row],[Round BMI]]&gt;=25,Table13_1[[#This Row],[Round BMI]]&lt;=29.9),"Overweight",Table13_1[[#This Row],[Round BMI]]&gt;=30,"Obese")</f>
        <v>Overweight</v>
      </c>
      <c r="D448" s="4" t="s">
        <v>11</v>
      </c>
      <c r="E448" s="4" t="str">
        <f>IF(Table13_1[[#This Row],[smoker]]="yes","smoker","non-smoker")</f>
        <v>non-smoker</v>
      </c>
      <c r="F448" s="4" t="s">
        <v>14</v>
      </c>
      <c r="G448" s="5">
        <v>60</v>
      </c>
      <c r="H448" s="5">
        <f>IF(Table13_1[[#This Row],[smoker]]="yes",1,0)</f>
        <v>0</v>
      </c>
      <c r="I448" s="4">
        <v>29.64</v>
      </c>
      <c r="J448" s="4">
        <v>0</v>
      </c>
      <c r="K448" s="12">
        <v>12730.999599999999</v>
      </c>
      <c r="N448">
        <v>293</v>
      </c>
      <c r="O448">
        <v>33758.985667564128</v>
      </c>
      <c r="P448">
        <v>8353.2499324358723</v>
      </c>
    </row>
    <row r="449" spans="1:16" x14ac:dyDescent="0.25">
      <c r="A449" s="4" t="s">
        <v>7</v>
      </c>
      <c r="B449" s="4">
        <f>ROUND(Table13_1[[#This Row],[bmi]],1)</f>
        <v>25.7</v>
      </c>
      <c r="C449" s="4" t="str" cm="1">
        <f t="array" ref="C449">_xlfn.IFS(Table13_1[[#This Row],[Round BMI]]&lt;18.5,"Underweight",AND(Table13_1[[#This Row],[Round BMI]]&gt;=18.5,Table13_1[[#This Row],[Round BMI]] &lt;=24.9),"Healthy Weight",AND(Table13_1[[#This Row],[Round BMI]]&gt;=25,Table13_1[[#This Row],[Round BMI]]&lt;=29.9),"Overweight",Table13_1[[#This Row],[Round BMI]]&gt;=30,"Obese")</f>
        <v>Overweight</v>
      </c>
      <c r="D449" s="4" t="s">
        <v>11</v>
      </c>
      <c r="E449" s="4" t="str">
        <f>IF(Table13_1[[#This Row],[smoker]]="yes","smoker","non-smoker")</f>
        <v>non-smoker</v>
      </c>
      <c r="F449" s="4" t="s">
        <v>13</v>
      </c>
      <c r="G449" s="5">
        <v>56</v>
      </c>
      <c r="H449" s="5">
        <f>IF(Table13_1[[#This Row],[smoker]]="yes",1,0)</f>
        <v>0</v>
      </c>
      <c r="I449" s="4">
        <v>25.65</v>
      </c>
      <c r="J449" s="4">
        <v>0</v>
      </c>
      <c r="K449" s="12">
        <v>11454.021500000001</v>
      </c>
      <c r="N449">
        <v>294</v>
      </c>
      <c r="O449">
        <v>2845.6772129608225</v>
      </c>
      <c r="P449">
        <v>-688.92541296082254</v>
      </c>
    </row>
    <row r="450" spans="1:16" x14ac:dyDescent="0.25">
      <c r="A450" s="4" t="s">
        <v>7</v>
      </c>
      <c r="B450" s="4">
        <f>ROUND(Table13_1[[#This Row],[bmi]],1)</f>
        <v>29.6</v>
      </c>
      <c r="C450" s="4" t="str" cm="1">
        <f t="array" ref="C450">_xlfn.IFS(Table13_1[[#This Row],[Round BMI]]&lt;18.5,"Underweight",AND(Table13_1[[#This Row],[Round BMI]]&gt;=18.5,Table13_1[[#This Row],[Round BMI]] &lt;=24.9),"Healthy Weight",AND(Table13_1[[#This Row],[Round BMI]]&gt;=25,Table13_1[[#This Row],[Round BMI]]&lt;=29.9),"Overweight",Table13_1[[#This Row],[Round BMI]]&gt;=30,"Obese")</f>
        <v>Overweight</v>
      </c>
      <c r="D450" s="4" t="s">
        <v>11</v>
      </c>
      <c r="E450" s="4" t="str">
        <f>IF(Table13_1[[#This Row],[smoker]]="yes","smoker","non-smoker")</f>
        <v>non-smoker</v>
      </c>
      <c r="F450" s="4" t="s">
        <v>9</v>
      </c>
      <c r="G450" s="5">
        <v>40</v>
      </c>
      <c r="H450" s="5">
        <f>IF(Table13_1[[#This Row],[smoker]]="yes",1,0)</f>
        <v>0</v>
      </c>
      <c r="I450" s="4">
        <v>29.6</v>
      </c>
      <c r="J450" s="4">
        <v>0</v>
      </c>
      <c r="K450" s="12">
        <v>5910.9440000000004</v>
      </c>
      <c r="N450">
        <v>295</v>
      </c>
      <c r="O450">
        <v>4389.592847850111</v>
      </c>
      <c r="P450">
        <v>-483.465847850111</v>
      </c>
    </row>
    <row r="451" spans="1:16" x14ac:dyDescent="0.25">
      <c r="A451" s="4" t="s">
        <v>10</v>
      </c>
      <c r="B451" s="4">
        <f>ROUND(Table13_1[[#This Row],[bmi]],1)</f>
        <v>38.6</v>
      </c>
      <c r="C451" s="4" t="str" cm="1">
        <f t="array" ref="C451">_xlfn.IFS(Table13_1[[#This Row],[Round BMI]]&lt;18.5,"Underweight",AND(Table13_1[[#This Row],[Round BMI]]&gt;=18.5,Table13_1[[#This Row],[Round BMI]] &lt;=24.9),"Healthy Weight",AND(Table13_1[[#This Row],[Round BMI]]&gt;=25,Table13_1[[#This Row],[Round BMI]]&lt;=29.9),"Overweight",Table13_1[[#This Row],[Round BMI]]&gt;=30,"Obese")</f>
        <v>Obese</v>
      </c>
      <c r="D451" s="4" t="s">
        <v>11</v>
      </c>
      <c r="E451" s="4" t="str">
        <f>IF(Table13_1[[#This Row],[smoker]]="yes","smoker","non-smoker")</f>
        <v>non-smoker</v>
      </c>
      <c r="F451" s="4" t="s">
        <v>9</v>
      </c>
      <c r="G451" s="5">
        <v>35</v>
      </c>
      <c r="H451" s="5">
        <f>IF(Table13_1[[#This Row],[smoker]]="yes",1,0)</f>
        <v>0</v>
      </c>
      <c r="I451" s="4">
        <v>38.6</v>
      </c>
      <c r="J451" s="4">
        <v>1</v>
      </c>
      <c r="K451" s="12">
        <v>4762.3289999999997</v>
      </c>
      <c r="N451">
        <v>296</v>
      </c>
      <c r="O451">
        <v>-62.114494924870087</v>
      </c>
      <c r="P451">
        <v>1766.68259492487</v>
      </c>
    </row>
    <row r="452" spans="1:16" x14ac:dyDescent="0.25">
      <c r="A452" s="4" t="s">
        <v>10</v>
      </c>
      <c r="B452" s="4">
        <f>ROUND(Table13_1[[#This Row],[bmi]],1)</f>
        <v>29.6</v>
      </c>
      <c r="C452" s="4" t="str" cm="1">
        <f t="array" ref="C452">_xlfn.IFS(Table13_1[[#This Row],[Round BMI]]&lt;18.5,"Underweight",AND(Table13_1[[#This Row],[Round BMI]]&gt;=18.5,Table13_1[[#This Row],[Round BMI]] &lt;=24.9),"Healthy Weight",AND(Table13_1[[#This Row],[Round BMI]]&gt;=25,Table13_1[[#This Row],[Round BMI]]&lt;=29.9),"Overweight",Table13_1[[#This Row],[Round BMI]]&gt;=30,"Obese")</f>
        <v>Overweight</v>
      </c>
      <c r="D452" s="4" t="s">
        <v>11</v>
      </c>
      <c r="E452" s="4" t="str">
        <f>IF(Table13_1[[#This Row],[smoker]]="yes","smoker","non-smoker")</f>
        <v>non-smoker</v>
      </c>
      <c r="F452" s="4" t="s">
        <v>9</v>
      </c>
      <c r="G452" s="5">
        <v>39</v>
      </c>
      <c r="H452" s="5">
        <f>IF(Table13_1[[#This Row],[smoker]]="yes",1,0)</f>
        <v>0</v>
      </c>
      <c r="I452" s="4">
        <v>29.6</v>
      </c>
      <c r="J452" s="4">
        <v>4</v>
      </c>
      <c r="K452" s="12">
        <v>7512.2669999999998</v>
      </c>
      <c r="N452">
        <v>297</v>
      </c>
      <c r="O452">
        <v>25523.05496580312</v>
      </c>
      <c r="P452">
        <v>-9225.20896580312</v>
      </c>
    </row>
    <row r="453" spans="1:16" x14ac:dyDescent="0.25">
      <c r="A453" s="4" t="s">
        <v>10</v>
      </c>
      <c r="B453" s="4">
        <f>ROUND(Table13_1[[#This Row],[bmi]],1)</f>
        <v>24.1</v>
      </c>
      <c r="C453" s="4" t="str" cm="1">
        <f t="array" ref="C453">_xlfn.IFS(Table13_1[[#This Row],[Round BMI]]&lt;18.5,"Underweight",AND(Table13_1[[#This Row],[Round BMI]]&gt;=18.5,Table13_1[[#This Row],[Round BMI]] &lt;=24.9),"Healthy Weight",AND(Table13_1[[#This Row],[Round BMI]]&gt;=25,Table13_1[[#This Row],[Round BMI]]&lt;=29.9),"Overweight",Table13_1[[#This Row],[Round BMI]]&gt;=30,"Obese")</f>
        <v>Healthy Weight</v>
      </c>
      <c r="D453" s="4" t="s">
        <v>11</v>
      </c>
      <c r="E453" s="4" t="str">
        <f>IF(Table13_1[[#This Row],[smoker]]="yes","smoker","non-smoker")</f>
        <v>non-smoker</v>
      </c>
      <c r="F453" s="4" t="s">
        <v>13</v>
      </c>
      <c r="G453" s="5">
        <v>30</v>
      </c>
      <c r="H453" s="5">
        <f>IF(Table13_1[[#This Row],[smoker]]="yes",1,0)</f>
        <v>0</v>
      </c>
      <c r="I453" s="4">
        <v>24.13</v>
      </c>
      <c r="J453" s="4">
        <v>1</v>
      </c>
      <c r="K453" s="12">
        <v>4032.2406999999998</v>
      </c>
      <c r="N453">
        <v>298</v>
      </c>
      <c r="O453">
        <v>32479.303774092532</v>
      </c>
      <c r="P453">
        <v>-10500.626874092533</v>
      </c>
    </row>
    <row r="454" spans="1:16" x14ac:dyDescent="0.25">
      <c r="A454" s="4" t="s">
        <v>10</v>
      </c>
      <c r="B454" s="4">
        <f>ROUND(Table13_1[[#This Row],[bmi]],1)</f>
        <v>23.4</v>
      </c>
      <c r="C454" s="4" t="str" cm="1">
        <f t="array" ref="C454">_xlfn.IFS(Table13_1[[#This Row],[Round BMI]]&lt;18.5,"Underweight",AND(Table13_1[[#This Row],[Round BMI]]&gt;=18.5,Table13_1[[#This Row],[Round BMI]] &lt;=24.9),"Healthy Weight",AND(Table13_1[[#This Row],[Round BMI]]&gt;=25,Table13_1[[#This Row],[Round BMI]]&lt;=29.9),"Overweight",Table13_1[[#This Row],[Round BMI]]&gt;=30,"Obese")</f>
        <v>Healthy Weight</v>
      </c>
      <c r="D454" s="4" t="s">
        <v>11</v>
      </c>
      <c r="E454" s="4" t="str">
        <f>IF(Table13_1[[#This Row],[smoker]]="yes","smoker","non-smoker")</f>
        <v>non-smoker</v>
      </c>
      <c r="F454" s="4" t="s">
        <v>9</v>
      </c>
      <c r="G454" s="5">
        <v>24</v>
      </c>
      <c r="H454" s="5">
        <f>IF(Table13_1[[#This Row],[smoker]]="yes",1,0)</f>
        <v>0</v>
      </c>
      <c r="I454" s="4">
        <v>23.4</v>
      </c>
      <c r="J454" s="4">
        <v>0</v>
      </c>
      <c r="K454" s="12">
        <v>1969.614</v>
      </c>
      <c r="N454">
        <v>299</v>
      </c>
      <c r="O454">
        <v>32190.941885412572</v>
      </c>
      <c r="P454">
        <v>6555.4132145874282</v>
      </c>
    </row>
    <row r="455" spans="1:16" x14ac:dyDescent="0.25">
      <c r="A455" s="4" t="s">
        <v>10</v>
      </c>
      <c r="B455" s="4">
        <f>ROUND(Table13_1[[#This Row],[bmi]],1)</f>
        <v>29.7</v>
      </c>
      <c r="C455" s="4" t="str" cm="1">
        <f t="array" ref="C455">_xlfn.IFS(Table13_1[[#This Row],[Round BMI]]&lt;18.5,"Underweight",AND(Table13_1[[#This Row],[Round BMI]]&gt;=18.5,Table13_1[[#This Row],[Round BMI]] &lt;=24.9),"Healthy Weight",AND(Table13_1[[#This Row],[Round BMI]]&gt;=25,Table13_1[[#This Row],[Round BMI]]&lt;=29.9),"Overweight",Table13_1[[#This Row],[Round BMI]]&gt;=30,"Obese")</f>
        <v>Overweight</v>
      </c>
      <c r="D455" s="4" t="s">
        <v>11</v>
      </c>
      <c r="E455" s="4" t="str">
        <f>IF(Table13_1[[#This Row],[smoker]]="yes","smoker","non-smoker")</f>
        <v>non-smoker</v>
      </c>
      <c r="F455" s="4" t="s">
        <v>13</v>
      </c>
      <c r="G455" s="5">
        <v>20</v>
      </c>
      <c r="H455" s="5">
        <f>IF(Table13_1[[#This Row],[smoker]]="yes",1,0)</f>
        <v>0</v>
      </c>
      <c r="I455" s="4">
        <v>29.734999999999999</v>
      </c>
      <c r="J455" s="4">
        <v>0</v>
      </c>
      <c r="K455" s="12">
        <v>1769.5316</v>
      </c>
      <c r="N455">
        <v>300</v>
      </c>
      <c r="O455">
        <v>10042.577803266375</v>
      </c>
      <c r="P455">
        <v>-793.08260326637537</v>
      </c>
    </row>
    <row r="456" spans="1:16" x14ac:dyDescent="0.25">
      <c r="A456" s="4" t="s">
        <v>10</v>
      </c>
      <c r="B456" s="4">
        <f>ROUND(Table13_1[[#This Row],[bmi]],1)</f>
        <v>46.5</v>
      </c>
      <c r="C456" s="4" t="str" cm="1">
        <f t="array" ref="C456">_xlfn.IFS(Table13_1[[#This Row],[Round BMI]]&lt;18.5,"Underweight",AND(Table13_1[[#This Row],[Round BMI]]&gt;=18.5,Table13_1[[#This Row],[Round BMI]] &lt;=24.9),"Healthy Weight",AND(Table13_1[[#This Row],[Round BMI]]&gt;=25,Table13_1[[#This Row],[Round BMI]]&lt;=29.9),"Overweight",Table13_1[[#This Row],[Round BMI]]&gt;=30,"Obese")</f>
        <v>Obese</v>
      </c>
      <c r="D456" s="4" t="s">
        <v>11</v>
      </c>
      <c r="E456" s="4" t="str">
        <f>IF(Table13_1[[#This Row],[smoker]]="yes","smoker","non-smoker")</f>
        <v>non-smoker</v>
      </c>
      <c r="F456" s="4" t="s">
        <v>12</v>
      </c>
      <c r="G456" s="5">
        <v>32</v>
      </c>
      <c r="H456" s="5">
        <f>IF(Table13_1[[#This Row],[smoker]]="yes",1,0)</f>
        <v>0</v>
      </c>
      <c r="I456" s="4">
        <v>46.53</v>
      </c>
      <c r="J456" s="4">
        <v>2</v>
      </c>
      <c r="K456" s="12">
        <v>4686.3887000000004</v>
      </c>
      <c r="N456">
        <v>301</v>
      </c>
      <c r="O456">
        <v>7467.3259806149363</v>
      </c>
      <c r="P456">
        <v>-720.58348061493598</v>
      </c>
    </row>
    <row r="457" spans="1:16" x14ac:dyDescent="0.25">
      <c r="A457" s="4" t="s">
        <v>10</v>
      </c>
      <c r="B457" s="4">
        <f>ROUND(Table13_1[[#This Row],[bmi]],1)</f>
        <v>37.4</v>
      </c>
      <c r="C457" s="4" t="str" cm="1">
        <f t="array" ref="C457">_xlfn.IFS(Table13_1[[#This Row],[Round BMI]]&lt;18.5,"Underweight",AND(Table13_1[[#This Row],[Round BMI]]&gt;=18.5,Table13_1[[#This Row],[Round BMI]] &lt;=24.9),"Healthy Weight",AND(Table13_1[[#This Row],[Round BMI]]&gt;=25,Table13_1[[#This Row],[Round BMI]]&lt;=29.9),"Overweight",Table13_1[[#This Row],[Round BMI]]&gt;=30,"Obese")</f>
        <v>Obese</v>
      </c>
      <c r="D457" s="4" t="s">
        <v>11</v>
      </c>
      <c r="E457" s="4" t="str">
        <f>IF(Table13_1[[#This Row],[smoker]]="yes","smoker","non-smoker")</f>
        <v>non-smoker</v>
      </c>
      <c r="F457" s="4" t="s">
        <v>9</v>
      </c>
      <c r="G457" s="5">
        <v>59</v>
      </c>
      <c r="H457" s="5">
        <f>IF(Table13_1[[#This Row],[smoker]]="yes",1,0)</f>
        <v>0</v>
      </c>
      <c r="I457" s="4">
        <v>37.4</v>
      </c>
      <c r="J457" s="4">
        <v>0</v>
      </c>
      <c r="K457" s="12">
        <v>21797.000400000001</v>
      </c>
      <c r="N457">
        <v>302</v>
      </c>
      <c r="O457">
        <v>34072.221521210922</v>
      </c>
      <c r="P457">
        <v>-9198.8366212109213</v>
      </c>
    </row>
    <row r="458" spans="1:16" x14ac:dyDescent="0.25">
      <c r="A458" s="4" t="s">
        <v>7</v>
      </c>
      <c r="B458" s="4">
        <f>ROUND(Table13_1[[#This Row],[bmi]],1)</f>
        <v>30.1</v>
      </c>
      <c r="C458" s="4" t="str" cm="1">
        <f t="array" ref="C458">_xlfn.IFS(Table13_1[[#This Row],[Round BMI]]&lt;18.5,"Underweight",AND(Table13_1[[#This Row],[Round BMI]]&gt;=18.5,Table13_1[[#This Row],[Round BMI]] &lt;=24.9),"Healthy Weight",AND(Table13_1[[#This Row],[Round BMI]]&gt;=25,Table13_1[[#This Row],[Round BMI]]&lt;=29.9),"Overweight",Table13_1[[#This Row],[Round BMI]]&gt;=30,"Obese")</f>
        <v>Obese</v>
      </c>
      <c r="D458" s="4" t="s">
        <v>11</v>
      </c>
      <c r="E458" s="4" t="str">
        <f>IF(Table13_1[[#This Row],[smoker]]="yes","smoker","non-smoker")</f>
        <v>non-smoker</v>
      </c>
      <c r="F458" s="4" t="s">
        <v>12</v>
      </c>
      <c r="G458" s="5">
        <v>55</v>
      </c>
      <c r="H458" s="5">
        <f>IF(Table13_1[[#This Row],[smoker]]="yes",1,0)</f>
        <v>0</v>
      </c>
      <c r="I458" s="4">
        <v>30.14</v>
      </c>
      <c r="J458" s="4">
        <v>2</v>
      </c>
      <c r="K458" s="12">
        <v>11881.9696</v>
      </c>
      <c r="N458">
        <v>303</v>
      </c>
      <c r="O458">
        <v>15356.453783974708</v>
      </c>
      <c r="P458">
        <v>-3090.9468839747078</v>
      </c>
    </row>
    <row r="459" spans="1:16" x14ac:dyDescent="0.25">
      <c r="A459" s="4" t="s">
        <v>7</v>
      </c>
      <c r="B459" s="4">
        <f>ROUND(Table13_1[[#This Row],[bmi]],1)</f>
        <v>30.5</v>
      </c>
      <c r="C459" s="4" t="str" cm="1">
        <f t="array" ref="C459">_xlfn.IFS(Table13_1[[#This Row],[Round BMI]]&lt;18.5,"Underweight",AND(Table13_1[[#This Row],[Round BMI]]&gt;=18.5,Table13_1[[#This Row],[Round BMI]] &lt;=24.9),"Healthy Weight",AND(Table13_1[[#This Row],[Round BMI]]&gt;=25,Table13_1[[#This Row],[Round BMI]]&lt;=29.9),"Overweight",Table13_1[[#This Row],[Round BMI]]&gt;=30,"Obese")</f>
        <v>Obese</v>
      </c>
      <c r="D459" s="4" t="s">
        <v>11</v>
      </c>
      <c r="E459" s="4" t="str">
        <f>IF(Table13_1[[#This Row],[smoker]]="yes","smoker","non-smoker")</f>
        <v>non-smoker</v>
      </c>
      <c r="F459" s="4" t="s">
        <v>13</v>
      </c>
      <c r="G459" s="5">
        <v>57</v>
      </c>
      <c r="H459" s="5">
        <f>IF(Table13_1[[#This Row],[smoker]]="yes",1,0)</f>
        <v>0</v>
      </c>
      <c r="I459" s="4">
        <v>30.495000000000001</v>
      </c>
      <c r="J459" s="4">
        <v>0</v>
      </c>
      <c r="K459" s="12">
        <v>11840.775</v>
      </c>
      <c r="N459">
        <v>304</v>
      </c>
      <c r="O459">
        <v>6685.1177519108733</v>
      </c>
      <c r="P459">
        <v>-2335.6557519108728</v>
      </c>
    </row>
    <row r="460" spans="1:16" x14ac:dyDescent="0.25">
      <c r="A460" s="4" t="s">
        <v>10</v>
      </c>
      <c r="B460" s="4">
        <f>ROUND(Table13_1[[#This Row],[bmi]],1)</f>
        <v>39.6</v>
      </c>
      <c r="C460" s="4" t="str" cm="1">
        <f t="array" ref="C460">_xlfn.IFS(Table13_1[[#This Row],[Round BMI]]&lt;18.5,"Underweight",AND(Table13_1[[#This Row],[Round BMI]]&gt;=18.5,Table13_1[[#This Row],[Round BMI]] &lt;=24.9),"Healthy Weight",AND(Table13_1[[#This Row],[Round BMI]]&gt;=25,Table13_1[[#This Row],[Round BMI]]&lt;=29.9),"Overweight",Table13_1[[#This Row],[Round BMI]]&gt;=30,"Obese")</f>
        <v>Obese</v>
      </c>
      <c r="D460" s="4" t="s">
        <v>11</v>
      </c>
      <c r="E460" s="4" t="str">
        <f>IF(Table13_1[[#This Row],[smoker]]="yes","smoker","non-smoker")</f>
        <v>non-smoker</v>
      </c>
      <c r="F460" s="4" t="s">
        <v>9</v>
      </c>
      <c r="G460" s="5">
        <v>56</v>
      </c>
      <c r="H460" s="5">
        <f>IF(Table13_1[[#This Row],[smoker]]="yes",1,0)</f>
        <v>0</v>
      </c>
      <c r="I460" s="4">
        <v>39.6</v>
      </c>
      <c r="J460" s="4">
        <v>0</v>
      </c>
      <c r="K460" s="12">
        <v>10601.412</v>
      </c>
      <c r="N460">
        <v>305</v>
      </c>
      <c r="O460">
        <v>15772.010478697257</v>
      </c>
      <c r="P460">
        <v>-3125.8034786972567</v>
      </c>
    </row>
    <row r="461" spans="1:16" x14ac:dyDescent="0.25">
      <c r="A461" s="4" t="s">
        <v>7</v>
      </c>
      <c r="B461" s="4">
        <f>ROUND(Table13_1[[#This Row],[bmi]],1)</f>
        <v>33</v>
      </c>
      <c r="C461" s="4" t="str" cm="1">
        <f t="array" ref="C461">_xlfn.IFS(Table13_1[[#This Row],[Round BMI]]&lt;18.5,"Underweight",AND(Table13_1[[#This Row],[Round BMI]]&gt;=18.5,Table13_1[[#This Row],[Round BMI]] &lt;=24.9),"Healthy Weight",AND(Table13_1[[#This Row],[Round BMI]]&gt;=25,Table13_1[[#This Row],[Round BMI]]&lt;=29.9),"Overweight",Table13_1[[#This Row],[Round BMI]]&gt;=30,"Obese")</f>
        <v>Obese</v>
      </c>
      <c r="D461" s="4" t="s">
        <v>11</v>
      </c>
      <c r="E461" s="4" t="str">
        <f>IF(Table13_1[[#This Row],[smoker]]="yes","smoker","non-smoker")</f>
        <v>non-smoker</v>
      </c>
      <c r="F461" s="4" t="s">
        <v>12</v>
      </c>
      <c r="G461" s="5">
        <v>40</v>
      </c>
      <c r="H461" s="5">
        <f>IF(Table13_1[[#This Row],[smoker]]="yes",1,0)</f>
        <v>0</v>
      </c>
      <c r="I461" s="4">
        <v>33</v>
      </c>
      <c r="J461" s="4">
        <v>3</v>
      </c>
      <c r="K461" s="12">
        <v>7682.67</v>
      </c>
      <c r="N461">
        <v>306</v>
      </c>
      <c r="O461">
        <v>7054.0059932214472</v>
      </c>
      <c r="P461">
        <v>12388.347506778555</v>
      </c>
    </row>
    <row r="462" spans="1:16" x14ac:dyDescent="0.25">
      <c r="A462" s="4" t="s">
        <v>7</v>
      </c>
      <c r="B462" s="4">
        <f>ROUND(Table13_1[[#This Row],[bmi]],1)</f>
        <v>36.6</v>
      </c>
      <c r="C462" s="4" t="str" cm="1">
        <f t="array" ref="C462">_xlfn.IFS(Table13_1[[#This Row],[Round BMI]]&lt;18.5,"Underweight",AND(Table13_1[[#This Row],[Round BMI]]&gt;=18.5,Table13_1[[#This Row],[Round BMI]] &lt;=24.9),"Healthy Weight",AND(Table13_1[[#This Row],[Round BMI]]&gt;=25,Table13_1[[#This Row],[Round BMI]]&lt;=29.9),"Overweight",Table13_1[[#This Row],[Round BMI]]&gt;=30,"Obese")</f>
        <v>Obese</v>
      </c>
      <c r="D462" s="4" t="s">
        <v>11</v>
      </c>
      <c r="E462" s="4" t="str">
        <f>IF(Table13_1[[#This Row],[smoker]]="yes","smoker","non-smoker")</f>
        <v>non-smoker</v>
      </c>
      <c r="F462" s="4" t="s">
        <v>12</v>
      </c>
      <c r="G462" s="5">
        <v>49</v>
      </c>
      <c r="H462" s="5">
        <f>IF(Table13_1[[#This Row],[smoker]]="yes",1,0)</f>
        <v>0</v>
      </c>
      <c r="I462" s="4">
        <v>36.630000000000003</v>
      </c>
      <c r="J462" s="4">
        <v>3</v>
      </c>
      <c r="K462" s="12">
        <v>10381.4787</v>
      </c>
      <c r="N462">
        <v>307</v>
      </c>
      <c r="O462">
        <v>4914.9350362842051</v>
      </c>
      <c r="P462">
        <v>15262.736063715794</v>
      </c>
    </row>
    <row r="463" spans="1:16" x14ac:dyDescent="0.25">
      <c r="A463" s="4" t="s">
        <v>10</v>
      </c>
      <c r="B463" s="4">
        <f>ROUND(Table13_1[[#This Row],[bmi]],1)</f>
        <v>30</v>
      </c>
      <c r="C463" s="4" t="str" cm="1">
        <f t="array" ref="C463">_xlfn.IFS(Table13_1[[#This Row],[Round BMI]]&lt;18.5,"Underweight",AND(Table13_1[[#This Row],[Round BMI]]&gt;=18.5,Table13_1[[#This Row],[Round BMI]] &lt;=24.9),"Healthy Weight",AND(Table13_1[[#This Row],[Round BMI]]&gt;=25,Table13_1[[#This Row],[Round BMI]]&lt;=29.9),"Overweight",Table13_1[[#This Row],[Round BMI]]&gt;=30,"Obese")</f>
        <v>Obese</v>
      </c>
      <c r="D463" s="4" t="s">
        <v>8</v>
      </c>
      <c r="E463" s="4" t="str">
        <f>IF(Table13_1[[#This Row],[smoker]]="yes","smoker","non-smoker")</f>
        <v>smoker</v>
      </c>
      <c r="F463" s="4" t="s">
        <v>9</v>
      </c>
      <c r="G463" s="5">
        <v>42</v>
      </c>
      <c r="H463" s="5">
        <f>IF(Table13_1[[#This Row],[smoker]]="yes",1,0)</f>
        <v>1</v>
      </c>
      <c r="I463" s="4">
        <v>30</v>
      </c>
      <c r="J463" s="4">
        <v>0</v>
      </c>
      <c r="K463" s="12">
        <v>22144.031999999999</v>
      </c>
      <c r="N463">
        <v>308</v>
      </c>
      <c r="O463">
        <v>6833.5254139633616</v>
      </c>
      <c r="P463">
        <v>-2682.4967139633618</v>
      </c>
    </row>
    <row r="464" spans="1:16" x14ac:dyDescent="0.25">
      <c r="A464" s="4" t="s">
        <v>7</v>
      </c>
      <c r="B464" s="4">
        <f>ROUND(Table13_1[[#This Row],[bmi]],1)</f>
        <v>38.1</v>
      </c>
      <c r="C464" s="4" t="str" cm="1">
        <f t="array" ref="C464">_xlfn.IFS(Table13_1[[#This Row],[Round BMI]]&lt;18.5,"Underweight",AND(Table13_1[[#This Row],[Round BMI]]&gt;=18.5,Table13_1[[#This Row],[Round BMI]] &lt;=24.9),"Healthy Weight",AND(Table13_1[[#This Row],[Round BMI]]&gt;=25,Table13_1[[#This Row],[Round BMI]]&lt;=29.9),"Overweight",Table13_1[[#This Row],[Round BMI]]&gt;=30,"Obese")</f>
        <v>Obese</v>
      </c>
      <c r="D464" s="4" t="s">
        <v>11</v>
      </c>
      <c r="E464" s="4" t="str">
        <f>IF(Table13_1[[#This Row],[smoker]]="yes","smoker","non-smoker")</f>
        <v>non-smoker</v>
      </c>
      <c r="F464" s="4" t="s">
        <v>14</v>
      </c>
      <c r="G464" s="5">
        <v>62</v>
      </c>
      <c r="H464" s="5">
        <f>IF(Table13_1[[#This Row],[smoker]]="yes",1,0)</f>
        <v>0</v>
      </c>
      <c r="I464" s="4">
        <v>38.094999999999999</v>
      </c>
      <c r="J464" s="4">
        <v>2</v>
      </c>
      <c r="K464" s="12">
        <v>15230.324000000001</v>
      </c>
      <c r="N464">
        <v>309</v>
      </c>
      <c r="O464">
        <v>14073.851207028767</v>
      </c>
      <c r="P464">
        <v>-2129.2568070287671</v>
      </c>
    </row>
    <row r="465" spans="1:16" x14ac:dyDescent="0.25">
      <c r="A465" s="4" t="s">
        <v>10</v>
      </c>
      <c r="B465" s="4">
        <f>ROUND(Table13_1[[#This Row],[bmi]],1)</f>
        <v>25.9</v>
      </c>
      <c r="C465" s="4" t="str" cm="1">
        <f t="array" ref="C465">_xlfn.IFS(Table13_1[[#This Row],[Round BMI]]&lt;18.5,"Underweight",AND(Table13_1[[#This Row],[Round BMI]]&gt;=18.5,Table13_1[[#This Row],[Round BMI]] &lt;=24.9),"Healthy Weight",AND(Table13_1[[#This Row],[Round BMI]]&gt;=25,Table13_1[[#This Row],[Round BMI]]&lt;=29.9),"Overweight",Table13_1[[#This Row],[Round BMI]]&gt;=30,"Obese")</f>
        <v>Overweight</v>
      </c>
      <c r="D465" s="4" t="s">
        <v>11</v>
      </c>
      <c r="E465" s="4" t="str">
        <f>IF(Table13_1[[#This Row],[smoker]]="yes","smoker","non-smoker")</f>
        <v>non-smoker</v>
      </c>
      <c r="F465" s="4" t="s">
        <v>14</v>
      </c>
      <c r="G465" s="5">
        <v>56</v>
      </c>
      <c r="H465" s="5">
        <f>IF(Table13_1[[#This Row],[smoker]]="yes",1,0)</f>
        <v>0</v>
      </c>
      <c r="I465" s="4">
        <v>25.934999999999999</v>
      </c>
      <c r="J465" s="4">
        <v>0</v>
      </c>
      <c r="K465" s="12">
        <v>11165.417600000001</v>
      </c>
      <c r="N465">
        <v>310</v>
      </c>
      <c r="O465">
        <v>10056.472431375974</v>
      </c>
      <c r="P465">
        <v>-2307.3160313759745</v>
      </c>
    </row>
    <row r="466" spans="1:16" x14ac:dyDescent="0.25">
      <c r="A466" s="4" t="s">
        <v>10</v>
      </c>
      <c r="B466" s="4">
        <f>ROUND(Table13_1[[#This Row],[bmi]],1)</f>
        <v>25.2</v>
      </c>
      <c r="C466" s="4" t="str" cm="1">
        <f t="array" ref="C466">_xlfn.IFS(Table13_1[[#This Row],[Round BMI]]&lt;18.5,"Underweight",AND(Table13_1[[#This Row],[Round BMI]]&gt;=18.5,Table13_1[[#This Row],[Round BMI]] &lt;=24.9),"Healthy Weight",AND(Table13_1[[#This Row],[Round BMI]]&gt;=25,Table13_1[[#This Row],[Round BMI]]&lt;=29.9),"Overweight",Table13_1[[#This Row],[Round BMI]]&gt;=30,"Obese")</f>
        <v>Overweight</v>
      </c>
      <c r="D466" s="4" t="s">
        <v>11</v>
      </c>
      <c r="E466" s="4" t="str">
        <f>IF(Table13_1[[#This Row],[smoker]]="yes","smoker","non-smoker")</f>
        <v>non-smoker</v>
      </c>
      <c r="F466" s="4" t="s">
        <v>13</v>
      </c>
      <c r="G466" s="5">
        <v>19</v>
      </c>
      <c r="H466" s="5">
        <f>IF(Table13_1[[#This Row],[smoker]]="yes",1,0)</f>
        <v>0</v>
      </c>
      <c r="I466" s="4">
        <v>25.175000000000001</v>
      </c>
      <c r="J466" s="4">
        <v>0</v>
      </c>
      <c r="K466" s="12">
        <v>1632.0362</v>
      </c>
      <c r="N466">
        <v>311</v>
      </c>
      <c r="O466">
        <v>9350.9533039032976</v>
      </c>
      <c r="P466">
        <v>-906.47930390329748</v>
      </c>
    </row>
    <row r="467" spans="1:16" x14ac:dyDescent="0.25">
      <c r="A467" s="4" t="s">
        <v>7</v>
      </c>
      <c r="B467" s="4">
        <f>ROUND(Table13_1[[#This Row],[bmi]],1)</f>
        <v>28.4</v>
      </c>
      <c r="C467" s="4" t="str" cm="1">
        <f t="array" ref="C467">_xlfn.IFS(Table13_1[[#This Row],[Round BMI]]&lt;18.5,"Underweight",AND(Table13_1[[#This Row],[Round BMI]]&gt;=18.5,Table13_1[[#This Row],[Round BMI]] &lt;=24.9),"Healthy Weight",AND(Table13_1[[#This Row],[Round BMI]]&gt;=25,Table13_1[[#This Row],[Round BMI]]&lt;=29.9),"Overweight",Table13_1[[#This Row],[Round BMI]]&gt;=30,"Obese")</f>
        <v>Overweight</v>
      </c>
      <c r="D467" s="4" t="s">
        <v>8</v>
      </c>
      <c r="E467" s="4" t="str">
        <f>IF(Table13_1[[#This Row],[smoker]]="yes","smoker","non-smoker")</f>
        <v>smoker</v>
      </c>
      <c r="F467" s="4" t="s">
        <v>12</v>
      </c>
      <c r="G467" s="5">
        <v>30</v>
      </c>
      <c r="H467" s="5">
        <f>IF(Table13_1[[#This Row],[smoker]]="yes",1,0)</f>
        <v>1</v>
      </c>
      <c r="I467" s="4">
        <v>28.38</v>
      </c>
      <c r="J467" s="4">
        <v>1</v>
      </c>
      <c r="K467" s="12">
        <v>19521.968199999999</v>
      </c>
      <c r="N467">
        <v>312</v>
      </c>
      <c r="O467">
        <v>746.10091126395946</v>
      </c>
      <c r="P467">
        <v>991.27508873604052</v>
      </c>
    </row>
    <row r="468" spans="1:16" x14ac:dyDescent="0.25">
      <c r="A468" s="4" t="s">
        <v>7</v>
      </c>
      <c r="B468" s="4">
        <f>ROUND(Table13_1[[#This Row],[bmi]],1)</f>
        <v>28.7</v>
      </c>
      <c r="C468" s="4" t="str" cm="1">
        <f t="array" ref="C468">_xlfn.IFS(Table13_1[[#This Row],[Round BMI]]&lt;18.5,"Underweight",AND(Table13_1[[#This Row],[Round BMI]]&gt;=18.5,Table13_1[[#This Row],[Round BMI]] &lt;=24.9),"Healthy Weight",AND(Table13_1[[#This Row],[Round BMI]]&gt;=25,Table13_1[[#This Row],[Round BMI]]&lt;=29.9),"Overweight",Table13_1[[#This Row],[Round BMI]]&gt;=30,"Obese")</f>
        <v>Overweight</v>
      </c>
      <c r="D468" s="4" t="s">
        <v>11</v>
      </c>
      <c r="E468" s="4" t="str">
        <f>IF(Table13_1[[#This Row],[smoker]]="yes","smoker","non-smoker")</f>
        <v>non-smoker</v>
      </c>
      <c r="F468" s="4" t="s">
        <v>9</v>
      </c>
      <c r="G468" s="5">
        <v>60</v>
      </c>
      <c r="H468" s="5">
        <f>IF(Table13_1[[#This Row],[smoker]]="yes",1,0)</f>
        <v>0</v>
      </c>
      <c r="I468" s="4">
        <v>28.7</v>
      </c>
      <c r="J468" s="4">
        <v>1</v>
      </c>
      <c r="K468" s="12">
        <v>13224.692999999999</v>
      </c>
      <c r="N468">
        <v>313</v>
      </c>
      <c r="O468">
        <v>35793.661189865961</v>
      </c>
      <c r="P468">
        <v>6330.8541101340379</v>
      </c>
    </row>
    <row r="469" spans="1:16" x14ac:dyDescent="0.25">
      <c r="A469" s="4" t="s">
        <v>7</v>
      </c>
      <c r="B469" s="4">
        <f>ROUND(Table13_1[[#This Row],[bmi]],1)</f>
        <v>33.799999999999997</v>
      </c>
      <c r="C469" s="4" t="str" cm="1">
        <f t="array" ref="C469">_xlfn.IFS(Table13_1[[#This Row],[Round BMI]]&lt;18.5,"Underweight",AND(Table13_1[[#This Row],[Round BMI]]&gt;=18.5,Table13_1[[#This Row],[Round BMI]] &lt;=24.9),"Healthy Weight",AND(Table13_1[[#This Row],[Round BMI]]&gt;=25,Table13_1[[#This Row],[Round BMI]]&lt;=29.9),"Overweight",Table13_1[[#This Row],[Round BMI]]&gt;=30,"Obese")</f>
        <v>Obese</v>
      </c>
      <c r="D469" s="4" t="s">
        <v>11</v>
      </c>
      <c r="E469" s="4" t="str">
        <f>IF(Table13_1[[#This Row],[smoker]]="yes","smoker","non-smoker")</f>
        <v>non-smoker</v>
      </c>
      <c r="F469" s="4" t="s">
        <v>13</v>
      </c>
      <c r="G469" s="5">
        <v>56</v>
      </c>
      <c r="H469" s="5">
        <f>IF(Table13_1[[#This Row],[smoker]]="yes",1,0)</f>
        <v>0</v>
      </c>
      <c r="I469" s="4">
        <v>33.82</v>
      </c>
      <c r="J469" s="4">
        <v>2</v>
      </c>
      <c r="K469" s="12">
        <v>12643.3778</v>
      </c>
      <c r="N469">
        <v>314</v>
      </c>
      <c r="O469">
        <v>12073.447786882569</v>
      </c>
      <c r="P469">
        <v>-3949.0393868825686</v>
      </c>
    </row>
    <row r="470" spans="1:16" x14ac:dyDescent="0.25">
      <c r="A470" s="4" t="s">
        <v>7</v>
      </c>
      <c r="B470" s="4">
        <f>ROUND(Table13_1[[#This Row],[bmi]],1)</f>
        <v>24.3</v>
      </c>
      <c r="C470" s="4" t="str" cm="1">
        <f t="array" ref="C470">_xlfn.IFS(Table13_1[[#This Row],[Round BMI]]&lt;18.5,"Underweight",AND(Table13_1[[#This Row],[Round BMI]]&gt;=18.5,Table13_1[[#This Row],[Round BMI]] &lt;=24.9),"Healthy Weight",AND(Table13_1[[#This Row],[Round BMI]]&gt;=25,Table13_1[[#This Row],[Round BMI]]&lt;=29.9),"Overweight",Table13_1[[#This Row],[Round BMI]]&gt;=30,"Obese")</f>
        <v>Healthy Weight</v>
      </c>
      <c r="D470" s="4" t="s">
        <v>11</v>
      </c>
      <c r="E470" s="4" t="str">
        <f>IF(Table13_1[[#This Row],[smoker]]="yes","smoker","non-smoker")</f>
        <v>non-smoker</v>
      </c>
      <c r="F470" s="4" t="s">
        <v>14</v>
      </c>
      <c r="G470" s="5">
        <v>28</v>
      </c>
      <c r="H470" s="5">
        <f>IF(Table13_1[[#This Row],[smoker]]="yes",1,0)</f>
        <v>0</v>
      </c>
      <c r="I470" s="4">
        <v>24.32</v>
      </c>
      <c r="J470" s="4">
        <v>1</v>
      </c>
      <c r="K470" s="12">
        <v>23288.928400000001</v>
      </c>
      <c r="N470">
        <v>315</v>
      </c>
      <c r="O470">
        <v>28776.701214958455</v>
      </c>
      <c r="P470">
        <v>6062.1717850415444</v>
      </c>
    </row>
    <row r="471" spans="1:16" x14ac:dyDescent="0.25">
      <c r="A471" s="4" t="s">
        <v>7</v>
      </c>
      <c r="B471" s="4">
        <f>ROUND(Table13_1[[#This Row],[bmi]],1)</f>
        <v>24.1</v>
      </c>
      <c r="C471" s="4" t="str" cm="1">
        <f t="array" ref="C471">_xlfn.IFS(Table13_1[[#This Row],[Round BMI]]&lt;18.5,"Underweight",AND(Table13_1[[#This Row],[Round BMI]]&gt;=18.5,Table13_1[[#This Row],[Round BMI]] &lt;=24.9),"Healthy Weight",AND(Table13_1[[#This Row],[Round BMI]]&gt;=25,Table13_1[[#This Row],[Round BMI]]&lt;=29.9),"Overweight",Table13_1[[#This Row],[Round BMI]]&gt;=30,"Obese")</f>
        <v>Healthy Weight</v>
      </c>
      <c r="D471" s="4" t="s">
        <v>11</v>
      </c>
      <c r="E471" s="4" t="str">
        <f>IF(Table13_1[[#This Row],[smoker]]="yes","smoker","non-smoker")</f>
        <v>non-smoker</v>
      </c>
      <c r="F471" s="4" t="s">
        <v>12</v>
      </c>
      <c r="G471" s="5">
        <v>18</v>
      </c>
      <c r="H471" s="5">
        <f>IF(Table13_1[[#This Row],[smoker]]="yes",1,0)</f>
        <v>0</v>
      </c>
      <c r="I471" s="4">
        <v>24.09</v>
      </c>
      <c r="J471" s="4">
        <v>1</v>
      </c>
      <c r="K471" s="12">
        <v>2201.0971</v>
      </c>
      <c r="N471">
        <v>316</v>
      </c>
      <c r="O471">
        <v>12006.964147458073</v>
      </c>
      <c r="P471">
        <v>-2284.1946474580727</v>
      </c>
    </row>
    <row r="472" spans="1:16" x14ac:dyDescent="0.25">
      <c r="A472" s="4" t="s">
        <v>10</v>
      </c>
      <c r="B472" s="4">
        <f>ROUND(Table13_1[[#This Row],[bmi]],1)</f>
        <v>32.700000000000003</v>
      </c>
      <c r="C472" s="4" t="str" cm="1">
        <f t="array" ref="C472">_xlfn.IFS(Table13_1[[#This Row],[Round BMI]]&lt;18.5,"Underweight",AND(Table13_1[[#This Row],[Round BMI]]&gt;=18.5,Table13_1[[#This Row],[Round BMI]] &lt;=24.9),"Healthy Weight",AND(Table13_1[[#This Row],[Round BMI]]&gt;=25,Table13_1[[#This Row],[Round BMI]]&lt;=29.9),"Overweight",Table13_1[[#This Row],[Round BMI]]&gt;=30,"Obese")</f>
        <v>Obese</v>
      </c>
      <c r="D472" s="4" t="s">
        <v>11</v>
      </c>
      <c r="E472" s="4" t="str">
        <f>IF(Table13_1[[#This Row],[smoker]]="yes","smoker","non-smoker")</f>
        <v>non-smoker</v>
      </c>
      <c r="F472" s="4" t="s">
        <v>12</v>
      </c>
      <c r="G472" s="5">
        <v>27</v>
      </c>
      <c r="H472" s="5">
        <f>IF(Table13_1[[#This Row],[smoker]]="yes",1,0)</f>
        <v>0</v>
      </c>
      <c r="I472" s="4">
        <v>32.67</v>
      </c>
      <c r="J472" s="4">
        <v>0</v>
      </c>
      <c r="K472" s="12">
        <v>2497.0383000000002</v>
      </c>
      <c r="N472">
        <v>317</v>
      </c>
      <c r="O472">
        <v>11154.930416828294</v>
      </c>
      <c r="P472">
        <v>-2319.6654168282948</v>
      </c>
    </row>
    <row r="473" spans="1:16" x14ac:dyDescent="0.25">
      <c r="A473" s="4" t="s">
        <v>7</v>
      </c>
      <c r="B473" s="4">
        <f>ROUND(Table13_1[[#This Row],[bmi]],1)</f>
        <v>30.1</v>
      </c>
      <c r="C473" s="4" t="str" cm="1">
        <f t="array" ref="C473">_xlfn.IFS(Table13_1[[#This Row],[Round BMI]]&lt;18.5,"Underweight",AND(Table13_1[[#This Row],[Round BMI]]&gt;=18.5,Table13_1[[#This Row],[Round BMI]] &lt;=24.9),"Healthy Weight",AND(Table13_1[[#This Row],[Round BMI]]&gt;=25,Table13_1[[#This Row],[Round BMI]]&lt;=29.9),"Overweight",Table13_1[[#This Row],[Round BMI]]&gt;=30,"Obese")</f>
        <v>Obese</v>
      </c>
      <c r="D473" s="4" t="s">
        <v>11</v>
      </c>
      <c r="E473" s="4" t="str">
        <f>IF(Table13_1[[#This Row],[smoker]]="yes","smoker","non-smoker")</f>
        <v>non-smoker</v>
      </c>
      <c r="F473" s="4" t="s">
        <v>14</v>
      </c>
      <c r="G473" s="5">
        <v>18</v>
      </c>
      <c r="H473" s="5">
        <f>IF(Table13_1[[#This Row],[smoker]]="yes",1,0)</f>
        <v>0</v>
      </c>
      <c r="I473" s="4">
        <v>30.114999999999998</v>
      </c>
      <c r="J473" s="4">
        <v>0</v>
      </c>
      <c r="K473" s="12">
        <v>2203.4717999999998</v>
      </c>
      <c r="N473">
        <v>318</v>
      </c>
      <c r="O473">
        <v>12369.783745769208</v>
      </c>
      <c r="P473">
        <v>-1934.7185457692085</v>
      </c>
    </row>
    <row r="474" spans="1:16" x14ac:dyDescent="0.25">
      <c r="A474" s="4" t="s">
        <v>7</v>
      </c>
      <c r="B474" s="4">
        <f>ROUND(Table13_1[[#This Row],[bmi]],1)</f>
        <v>29.8</v>
      </c>
      <c r="C474" s="4" t="str" cm="1">
        <f t="array" ref="C474">_xlfn.IFS(Table13_1[[#This Row],[Round BMI]]&lt;18.5,"Underweight",AND(Table13_1[[#This Row],[Round BMI]]&gt;=18.5,Table13_1[[#This Row],[Round BMI]] &lt;=24.9),"Healthy Weight",AND(Table13_1[[#This Row],[Round BMI]]&gt;=25,Table13_1[[#This Row],[Round BMI]]&lt;=29.9),"Overweight",Table13_1[[#This Row],[Round BMI]]&gt;=30,"Obese")</f>
        <v>Overweight</v>
      </c>
      <c r="D474" s="4" t="s">
        <v>11</v>
      </c>
      <c r="E474" s="4" t="str">
        <f>IF(Table13_1[[#This Row],[smoker]]="yes","smoker","non-smoker")</f>
        <v>non-smoker</v>
      </c>
      <c r="F474" s="4" t="s">
        <v>9</v>
      </c>
      <c r="G474" s="5">
        <v>19</v>
      </c>
      <c r="H474" s="5">
        <f>IF(Table13_1[[#This Row],[smoker]]="yes",1,0)</f>
        <v>0</v>
      </c>
      <c r="I474" s="4">
        <v>29.8</v>
      </c>
      <c r="J474" s="4">
        <v>0</v>
      </c>
      <c r="K474" s="12">
        <v>1744.4649999999999</v>
      </c>
      <c r="N474">
        <v>319</v>
      </c>
      <c r="O474">
        <v>8140.1909758902293</v>
      </c>
      <c r="P474">
        <v>-718.9963758902295</v>
      </c>
    </row>
    <row r="475" spans="1:16" x14ac:dyDescent="0.25">
      <c r="A475" s="4" t="s">
        <v>7</v>
      </c>
      <c r="B475" s="4">
        <f>ROUND(Table13_1[[#This Row],[bmi]],1)</f>
        <v>33.299999999999997</v>
      </c>
      <c r="C475" s="4" t="str" cm="1">
        <f t="array" ref="C475">_xlfn.IFS(Table13_1[[#This Row],[Round BMI]]&lt;18.5,"Underweight",AND(Table13_1[[#This Row],[Round BMI]]&gt;=18.5,Table13_1[[#This Row],[Round BMI]] &lt;=24.9),"Healthy Weight",AND(Table13_1[[#This Row],[Round BMI]]&gt;=25,Table13_1[[#This Row],[Round BMI]]&lt;=29.9),"Overweight",Table13_1[[#This Row],[Round BMI]]&gt;=30,"Obese")</f>
        <v>Obese</v>
      </c>
      <c r="D475" s="4" t="s">
        <v>11</v>
      </c>
      <c r="E475" s="4" t="str">
        <f>IF(Table13_1[[#This Row],[smoker]]="yes","smoker","non-smoker")</f>
        <v>non-smoker</v>
      </c>
      <c r="F475" s="4" t="s">
        <v>14</v>
      </c>
      <c r="G475" s="5">
        <v>47</v>
      </c>
      <c r="H475" s="5">
        <f>IF(Table13_1[[#This Row],[smoker]]="yes",1,0)</f>
        <v>0</v>
      </c>
      <c r="I475" s="4">
        <v>33.344999999999999</v>
      </c>
      <c r="J475" s="4">
        <v>0</v>
      </c>
      <c r="K475" s="12">
        <v>20878.7844</v>
      </c>
      <c r="N475">
        <v>320</v>
      </c>
      <c r="O475">
        <v>8638.2392970031306</v>
      </c>
      <c r="P475">
        <v>-3970.6316970031303</v>
      </c>
    </row>
    <row r="476" spans="1:16" x14ac:dyDescent="0.25">
      <c r="A476" s="4" t="s">
        <v>10</v>
      </c>
      <c r="B476" s="4">
        <f>ROUND(Table13_1[[#This Row],[bmi]],1)</f>
        <v>25.1</v>
      </c>
      <c r="C476" s="4" t="str" cm="1">
        <f t="array" ref="C476">_xlfn.IFS(Table13_1[[#This Row],[Round BMI]]&lt;18.5,"Underweight",AND(Table13_1[[#This Row],[Round BMI]]&gt;=18.5,Table13_1[[#This Row],[Round BMI]] &lt;=24.9),"Healthy Weight",AND(Table13_1[[#This Row],[Round BMI]]&gt;=25,Table13_1[[#This Row],[Round BMI]]&lt;=29.9),"Overweight",Table13_1[[#This Row],[Round BMI]]&gt;=30,"Obese")</f>
        <v>Overweight</v>
      </c>
      <c r="D476" s="4" t="s">
        <v>8</v>
      </c>
      <c r="E476" s="4" t="str">
        <f>IF(Table13_1[[#This Row],[smoker]]="yes","smoker","non-smoker")</f>
        <v>smoker</v>
      </c>
      <c r="F476" s="4" t="s">
        <v>9</v>
      </c>
      <c r="G476" s="5">
        <v>54</v>
      </c>
      <c r="H476" s="5">
        <f>IF(Table13_1[[#This Row],[smoker]]="yes",1,0)</f>
        <v>1</v>
      </c>
      <c r="I476" s="4">
        <v>25.1</v>
      </c>
      <c r="J476" s="4">
        <v>3</v>
      </c>
      <c r="K476" s="12">
        <v>25382.296999999999</v>
      </c>
      <c r="N476">
        <v>321</v>
      </c>
      <c r="O476">
        <v>5270.8011363846117</v>
      </c>
      <c r="P476">
        <v>-376.0478363846114</v>
      </c>
    </row>
    <row r="477" spans="1:16" x14ac:dyDescent="0.25">
      <c r="A477" s="4" t="s">
        <v>10</v>
      </c>
      <c r="B477" s="4">
        <f>ROUND(Table13_1[[#This Row],[bmi]],1)</f>
        <v>28.3</v>
      </c>
      <c r="C477" s="4" t="str" cm="1">
        <f t="array" ref="C477">_xlfn.IFS(Table13_1[[#This Row],[Round BMI]]&lt;18.5,"Underweight",AND(Table13_1[[#This Row],[Round BMI]]&gt;=18.5,Table13_1[[#This Row],[Round BMI]] &lt;=24.9),"Healthy Weight",AND(Table13_1[[#This Row],[Round BMI]]&gt;=25,Table13_1[[#This Row],[Round BMI]]&lt;=29.9),"Overweight",Table13_1[[#This Row],[Round BMI]]&gt;=30,"Obese")</f>
        <v>Overweight</v>
      </c>
      <c r="D477" s="4" t="s">
        <v>8</v>
      </c>
      <c r="E477" s="4" t="str">
        <f>IF(Table13_1[[#This Row],[smoker]]="yes","smoker","non-smoker")</f>
        <v>smoker</v>
      </c>
      <c r="F477" s="4" t="s">
        <v>13</v>
      </c>
      <c r="G477" s="5">
        <v>61</v>
      </c>
      <c r="H477" s="5">
        <f>IF(Table13_1[[#This Row],[smoker]]="yes",1,0)</f>
        <v>1</v>
      </c>
      <c r="I477" s="4">
        <v>28.31</v>
      </c>
      <c r="J477" s="4">
        <v>1</v>
      </c>
      <c r="K477" s="12">
        <v>28868.6639</v>
      </c>
      <c r="N477">
        <v>322</v>
      </c>
      <c r="O477">
        <v>6035.0026547953348</v>
      </c>
      <c r="P477">
        <v>18636.660645204665</v>
      </c>
    </row>
    <row r="478" spans="1:16" x14ac:dyDescent="0.25">
      <c r="A478" s="4" t="s">
        <v>10</v>
      </c>
      <c r="B478" s="4">
        <f>ROUND(Table13_1[[#This Row],[bmi]],1)</f>
        <v>28.5</v>
      </c>
      <c r="C478" s="4" t="str" cm="1">
        <f t="array" ref="C478">_xlfn.IFS(Table13_1[[#This Row],[Round BMI]]&lt;18.5,"Underweight",AND(Table13_1[[#This Row],[Round BMI]]&gt;=18.5,Table13_1[[#This Row],[Round BMI]] &lt;=24.9),"Healthy Weight",AND(Table13_1[[#This Row],[Round BMI]]&gt;=25,Table13_1[[#This Row],[Round BMI]]&lt;=29.9),"Overweight",Table13_1[[#This Row],[Round BMI]]&gt;=30,"Obese")</f>
        <v>Overweight</v>
      </c>
      <c r="D478" s="4" t="s">
        <v>8</v>
      </c>
      <c r="E478" s="4" t="str">
        <f>IF(Table13_1[[#This Row],[smoker]]="yes","smoker","non-smoker")</f>
        <v>smoker</v>
      </c>
      <c r="F478" s="4" t="s">
        <v>14</v>
      </c>
      <c r="G478" s="5">
        <v>24</v>
      </c>
      <c r="H478" s="5">
        <f>IF(Table13_1[[#This Row],[smoker]]="yes",1,0)</f>
        <v>1</v>
      </c>
      <c r="I478" s="4">
        <v>28.5</v>
      </c>
      <c r="J478" s="4">
        <v>0</v>
      </c>
      <c r="K478" s="12">
        <v>35147.5285</v>
      </c>
      <c r="N478">
        <v>323</v>
      </c>
      <c r="O478">
        <v>30388.536924566215</v>
      </c>
      <c r="P478">
        <v>5103.1030754337844</v>
      </c>
    </row>
    <row r="479" spans="1:16" x14ac:dyDescent="0.25">
      <c r="A479" s="4" t="s">
        <v>10</v>
      </c>
      <c r="B479" s="4">
        <f>ROUND(Table13_1[[#This Row],[bmi]],1)</f>
        <v>35.6</v>
      </c>
      <c r="C479" s="4" t="str" cm="1">
        <f t="array" ref="C479">_xlfn.IFS(Table13_1[[#This Row],[Round BMI]]&lt;18.5,"Underweight",AND(Table13_1[[#This Row],[Round BMI]]&gt;=18.5,Table13_1[[#This Row],[Round BMI]] &lt;=24.9),"Healthy Weight",AND(Table13_1[[#This Row],[Round BMI]]&gt;=25,Table13_1[[#This Row],[Round BMI]]&lt;=29.9),"Overweight",Table13_1[[#This Row],[Round BMI]]&gt;=30,"Obese")</f>
        <v>Obese</v>
      </c>
      <c r="D479" s="4" t="s">
        <v>11</v>
      </c>
      <c r="E479" s="4" t="str">
        <f>IF(Table13_1[[#This Row],[smoker]]="yes","smoker","non-smoker")</f>
        <v>non-smoker</v>
      </c>
      <c r="F479" s="4" t="s">
        <v>13</v>
      </c>
      <c r="G479" s="5">
        <v>25</v>
      </c>
      <c r="H479" s="5">
        <f>IF(Table13_1[[#This Row],[smoker]]="yes",1,0)</f>
        <v>0</v>
      </c>
      <c r="I479" s="4">
        <v>35.625</v>
      </c>
      <c r="J479" s="4">
        <v>0</v>
      </c>
      <c r="K479" s="12">
        <v>2534.3937999999998</v>
      </c>
      <c r="N479">
        <v>324</v>
      </c>
      <c r="O479">
        <v>15772.858228972982</v>
      </c>
      <c r="P479">
        <v>-4206.5576289729815</v>
      </c>
    </row>
    <row r="480" spans="1:16" x14ac:dyDescent="0.25">
      <c r="A480" s="4" t="s">
        <v>10</v>
      </c>
      <c r="B480" s="4">
        <f>ROUND(Table13_1[[#This Row],[bmi]],1)</f>
        <v>36.9</v>
      </c>
      <c r="C480" s="4" t="str" cm="1">
        <f t="array" ref="C480">_xlfn.IFS(Table13_1[[#This Row],[Round BMI]]&lt;18.5,"Underweight",AND(Table13_1[[#This Row],[Round BMI]]&gt;=18.5,Table13_1[[#This Row],[Round BMI]] &lt;=24.9),"Healthy Weight",AND(Table13_1[[#This Row],[Round BMI]]&gt;=25,Table13_1[[#This Row],[Round BMI]]&lt;=29.9),"Overweight",Table13_1[[#This Row],[Round BMI]]&gt;=30,"Obese")</f>
        <v>Obese</v>
      </c>
      <c r="D480" s="4" t="s">
        <v>11</v>
      </c>
      <c r="E480" s="4" t="str">
        <f>IF(Table13_1[[#This Row],[smoker]]="yes","smoker","non-smoker")</f>
        <v>non-smoker</v>
      </c>
      <c r="F480" s="4" t="s">
        <v>12</v>
      </c>
      <c r="G480" s="5">
        <v>21</v>
      </c>
      <c r="H480" s="5">
        <f>IF(Table13_1[[#This Row],[smoker]]="yes",1,0)</f>
        <v>0</v>
      </c>
      <c r="I480" s="4">
        <v>36.85</v>
      </c>
      <c r="J480" s="4">
        <v>0</v>
      </c>
      <c r="K480" s="12">
        <v>1534.3045</v>
      </c>
      <c r="N480">
        <v>325</v>
      </c>
      <c r="O480">
        <v>4129.2244916705495</v>
      </c>
      <c r="P480">
        <v>-1263.1334916705496</v>
      </c>
    </row>
    <row r="481" spans="1:16" x14ac:dyDescent="0.25">
      <c r="A481" s="4" t="s">
        <v>10</v>
      </c>
      <c r="B481" s="4">
        <f>ROUND(Table13_1[[#This Row],[bmi]],1)</f>
        <v>32.6</v>
      </c>
      <c r="C481" s="4" t="str" cm="1">
        <f t="array" ref="C481">_xlfn.IFS(Table13_1[[#This Row],[Round BMI]]&lt;18.5,"Underweight",AND(Table13_1[[#This Row],[Round BMI]]&gt;=18.5,Table13_1[[#This Row],[Round BMI]] &lt;=24.9),"Healthy Weight",AND(Table13_1[[#This Row],[Round BMI]]&gt;=25,Table13_1[[#This Row],[Round BMI]]&lt;=29.9),"Overweight",Table13_1[[#This Row],[Round BMI]]&gt;=30,"Obese")</f>
        <v>Obese</v>
      </c>
      <c r="D481" s="4" t="s">
        <v>11</v>
      </c>
      <c r="E481" s="4" t="str">
        <f>IF(Table13_1[[#This Row],[smoker]]="yes","smoker","non-smoker")</f>
        <v>non-smoker</v>
      </c>
      <c r="F481" s="4" t="s">
        <v>12</v>
      </c>
      <c r="G481" s="5">
        <v>23</v>
      </c>
      <c r="H481" s="5">
        <f>IF(Table13_1[[#This Row],[smoker]]="yes",1,0)</f>
        <v>0</v>
      </c>
      <c r="I481" s="4">
        <v>32.56</v>
      </c>
      <c r="J481" s="4">
        <v>0</v>
      </c>
      <c r="K481" s="12">
        <v>1824.2854</v>
      </c>
      <c r="N481">
        <v>326</v>
      </c>
      <c r="O481">
        <v>9661.4553244688595</v>
      </c>
      <c r="P481">
        <v>-3061.2493244688594</v>
      </c>
    </row>
    <row r="482" spans="1:16" x14ac:dyDescent="0.25">
      <c r="A482" s="4" t="s">
        <v>10</v>
      </c>
      <c r="B482" s="4">
        <f>ROUND(Table13_1[[#This Row],[bmi]],1)</f>
        <v>41.3</v>
      </c>
      <c r="C482" s="4" t="str" cm="1">
        <f t="array" ref="C482">_xlfn.IFS(Table13_1[[#This Row],[Round BMI]]&lt;18.5,"Underweight",AND(Table13_1[[#This Row],[Round BMI]]&gt;=18.5,Table13_1[[#This Row],[Round BMI]] &lt;=24.9),"Healthy Weight",AND(Table13_1[[#This Row],[Round BMI]]&gt;=25,Table13_1[[#This Row],[Round BMI]]&lt;=29.9),"Overweight",Table13_1[[#This Row],[Round BMI]]&gt;=30,"Obese")</f>
        <v>Obese</v>
      </c>
      <c r="D482" s="4" t="s">
        <v>11</v>
      </c>
      <c r="E482" s="4" t="str">
        <f>IF(Table13_1[[#This Row],[smoker]]="yes","smoker","non-smoker")</f>
        <v>non-smoker</v>
      </c>
      <c r="F482" s="4" t="s">
        <v>13</v>
      </c>
      <c r="G482" s="5">
        <v>63</v>
      </c>
      <c r="H482" s="5">
        <f>IF(Table13_1[[#This Row],[smoker]]="yes",1,0)</f>
        <v>0</v>
      </c>
      <c r="I482" s="4">
        <v>41.325000000000003</v>
      </c>
      <c r="J482" s="4">
        <v>3</v>
      </c>
      <c r="K482" s="12">
        <v>15555.1888</v>
      </c>
      <c r="N482">
        <v>327</v>
      </c>
      <c r="O482">
        <v>2802.840695219224</v>
      </c>
      <c r="P482">
        <v>759.0482047807759</v>
      </c>
    </row>
    <row r="483" spans="1:16" x14ac:dyDescent="0.25">
      <c r="A483" s="4" t="s">
        <v>10</v>
      </c>
      <c r="B483" s="4">
        <f>ROUND(Table13_1[[#This Row],[bmi]],1)</f>
        <v>37.5</v>
      </c>
      <c r="C483" s="4" t="str" cm="1">
        <f t="array" ref="C483">_xlfn.IFS(Table13_1[[#This Row],[Round BMI]]&lt;18.5,"Underweight",AND(Table13_1[[#This Row],[Round BMI]]&gt;=18.5,Table13_1[[#This Row],[Round BMI]] &lt;=24.9),"Healthy Weight",AND(Table13_1[[#This Row],[Round BMI]]&gt;=25,Table13_1[[#This Row],[Round BMI]]&lt;=29.9),"Overweight",Table13_1[[#This Row],[Round BMI]]&gt;=30,"Obese")</f>
        <v>Obese</v>
      </c>
      <c r="D483" s="4" t="s">
        <v>11</v>
      </c>
      <c r="E483" s="4" t="str">
        <f>IF(Table13_1[[#This Row],[smoker]]="yes","smoker","non-smoker")</f>
        <v>non-smoker</v>
      </c>
      <c r="F483" s="4" t="s">
        <v>12</v>
      </c>
      <c r="G483" s="5">
        <v>49</v>
      </c>
      <c r="H483" s="5">
        <f>IF(Table13_1[[#This Row],[smoker]]="yes",1,0)</f>
        <v>0</v>
      </c>
      <c r="I483" s="4">
        <v>37.51</v>
      </c>
      <c r="J483" s="4">
        <v>2</v>
      </c>
      <c r="K483" s="12">
        <v>9304.7019</v>
      </c>
      <c r="N483">
        <v>328</v>
      </c>
      <c r="O483">
        <v>36000.002104429863</v>
      </c>
      <c r="P483">
        <v>6760.5000955701398</v>
      </c>
    </row>
    <row r="484" spans="1:16" x14ac:dyDescent="0.25">
      <c r="A484" s="4" t="s">
        <v>7</v>
      </c>
      <c r="B484" s="4">
        <f>ROUND(Table13_1[[#This Row],[bmi]],1)</f>
        <v>31.4</v>
      </c>
      <c r="C484" s="4" t="str" cm="1">
        <f t="array" ref="C484">_xlfn.IFS(Table13_1[[#This Row],[Round BMI]]&lt;18.5,"Underweight",AND(Table13_1[[#This Row],[Round BMI]]&gt;=18.5,Table13_1[[#This Row],[Round BMI]] &lt;=24.9),"Healthy Weight",AND(Table13_1[[#This Row],[Round BMI]]&gt;=25,Table13_1[[#This Row],[Round BMI]]&lt;=29.9),"Overweight",Table13_1[[#This Row],[Round BMI]]&gt;=30,"Obese")</f>
        <v>Obese</v>
      </c>
      <c r="D484" s="4" t="s">
        <v>11</v>
      </c>
      <c r="E484" s="4" t="str">
        <f>IF(Table13_1[[#This Row],[smoker]]="yes","smoker","non-smoker")</f>
        <v>non-smoker</v>
      </c>
      <c r="F484" s="4" t="s">
        <v>12</v>
      </c>
      <c r="G484" s="5">
        <v>18</v>
      </c>
      <c r="H484" s="5">
        <f>IF(Table13_1[[#This Row],[smoker]]="yes",1,0)</f>
        <v>0</v>
      </c>
      <c r="I484" s="4">
        <v>31.35</v>
      </c>
      <c r="J484" s="4">
        <v>0</v>
      </c>
      <c r="K484" s="12">
        <v>1622.1885</v>
      </c>
      <c r="N484">
        <v>329</v>
      </c>
      <c r="O484">
        <v>39563.078668546361</v>
      </c>
      <c r="P484">
        <v>8364.951331453638</v>
      </c>
    </row>
    <row r="485" spans="1:16" x14ac:dyDescent="0.25">
      <c r="A485" s="4" t="s">
        <v>7</v>
      </c>
      <c r="B485" s="4">
        <f>ROUND(Table13_1[[#This Row],[bmi]],1)</f>
        <v>39.5</v>
      </c>
      <c r="C485" s="4" t="str" cm="1">
        <f t="array" ref="C485">_xlfn.IFS(Table13_1[[#This Row],[Round BMI]]&lt;18.5,"Underweight",AND(Table13_1[[#This Row],[Round BMI]]&gt;=18.5,Table13_1[[#This Row],[Round BMI]] &lt;=24.9),"Healthy Weight",AND(Table13_1[[#This Row],[Round BMI]]&gt;=25,Table13_1[[#This Row],[Round BMI]]&lt;=29.9),"Overweight",Table13_1[[#This Row],[Round BMI]]&gt;=30,"Obese")</f>
        <v>Obese</v>
      </c>
      <c r="D485" s="4" t="s">
        <v>11</v>
      </c>
      <c r="E485" s="4" t="str">
        <f>IF(Table13_1[[#This Row],[smoker]]="yes","smoker","non-smoker")</f>
        <v>non-smoker</v>
      </c>
      <c r="F485" s="4" t="s">
        <v>9</v>
      </c>
      <c r="G485" s="5">
        <v>51</v>
      </c>
      <c r="H485" s="5">
        <f>IF(Table13_1[[#This Row],[smoker]]="yes",1,0)</f>
        <v>0</v>
      </c>
      <c r="I485" s="4">
        <v>39.5</v>
      </c>
      <c r="J485" s="4">
        <v>1</v>
      </c>
      <c r="K485" s="12">
        <v>9880.0679999999993</v>
      </c>
      <c r="N485">
        <v>330</v>
      </c>
      <c r="O485">
        <v>13117.351487260257</v>
      </c>
      <c r="P485">
        <v>-3972.7864872602568</v>
      </c>
    </row>
    <row r="486" spans="1:16" x14ac:dyDescent="0.25">
      <c r="A486" s="4" t="s">
        <v>10</v>
      </c>
      <c r="B486" s="4">
        <f>ROUND(Table13_1[[#This Row],[bmi]],1)</f>
        <v>34.299999999999997</v>
      </c>
      <c r="C486" s="4" t="str" cm="1">
        <f t="array" ref="C486">_xlfn.IFS(Table13_1[[#This Row],[Round BMI]]&lt;18.5,"Underweight",AND(Table13_1[[#This Row],[Round BMI]]&gt;=18.5,Table13_1[[#This Row],[Round BMI]] &lt;=24.9),"Healthy Weight",AND(Table13_1[[#This Row],[Round BMI]]&gt;=25,Table13_1[[#This Row],[Round BMI]]&lt;=29.9),"Overweight",Table13_1[[#This Row],[Round BMI]]&gt;=30,"Obese")</f>
        <v>Obese</v>
      </c>
      <c r="D486" s="4" t="s">
        <v>11</v>
      </c>
      <c r="E486" s="4" t="str">
        <f>IF(Table13_1[[#This Row],[smoker]]="yes","smoker","non-smoker")</f>
        <v>non-smoker</v>
      </c>
      <c r="F486" s="4" t="s">
        <v>9</v>
      </c>
      <c r="G486" s="5">
        <v>48</v>
      </c>
      <c r="H486" s="5">
        <f>IF(Table13_1[[#This Row],[smoker]]="yes",1,0)</f>
        <v>0</v>
      </c>
      <c r="I486" s="4">
        <v>34.299999999999997</v>
      </c>
      <c r="J486" s="4">
        <v>3</v>
      </c>
      <c r="K486" s="12">
        <v>9563.0290000000005</v>
      </c>
      <c r="N486">
        <v>331</v>
      </c>
      <c r="O486">
        <v>39621.516022899828</v>
      </c>
      <c r="P486">
        <v>8896.0471771001685</v>
      </c>
    </row>
    <row r="487" spans="1:16" x14ac:dyDescent="0.25">
      <c r="A487" s="4" t="s">
        <v>7</v>
      </c>
      <c r="B487" s="4">
        <f>ROUND(Table13_1[[#This Row],[bmi]],1)</f>
        <v>31.1</v>
      </c>
      <c r="C487" s="4" t="str" cm="1">
        <f t="array" ref="C487">_xlfn.IFS(Table13_1[[#This Row],[Round BMI]]&lt;18.5,"Underweight",AND(Table13_1[[#This Row],[Round BMI]]&gt;=18.5,Table13_1[[#This Row],[Round BMI]] &lt;=24.9),"Healthy Weight",AND(Table13_1[[#This Row],[Round BMI]]&gt;=25,Table13_1[[#This Row],[Round BMI]]&lt;=29.9),"Overweight",Table13_1[[#This Row],[Round BMI]]&gt;=30,"Obese")</f>
        <v>Obese</v>
      </c>
      <c r="D487" s="4" t="s">
        <v>11</v>
      </c>
      <c r="E487" s="4" t="str">
        <f>IF(Table13_1[[#This Row],[smoker]]="yes","smoker","non-smoker")</f>
        <v>non-smoker</v>
      </c>
      <c r="F487" s="4" t="s">
        <v>14</v>
      </c>
      <c r="G487" s="5">
        <v>31</v>
      </c>
      <c r="H487" s="5">
        <f>IF(Table13_1[[#This Row],[smoker]]="yes",1,0)</f>
        <v>0</v>
      </c>
      <c r="I487" s="4">
        <v>31.065000000000001</v>
      </c>
      <c r="J487" s="4">
        <v>0</v>
      </c>
      <c r="K487" s="12">
        <v>4347.0234</v>
      </c>
      <c r="N487">
        <v>332</v>
      </c>
      <c r="O487">
        <v>33922.659230738856</v>
      </c>
      <c r="P487">
        <v>-9529.0368307388562</v>
      </c>
    </row>
    <row r="488" spans="1:16" x14ac:dyDescent="0.25">
      <c r="A488" s="4" t="s">
        <v>7</v>
      </c>
      <c r="B488" s="4">
        <f>ROUND(Table13_1[[#This Row],[bmi]],1)</f>
        <v>21.5</v>
      </c>
      <c r="C488" s="4" t="str" cm="1">
        <f t="array" ref="C488">_xlfn.IFS(Table13_1[[#This Row],[Round BMI]]&lt;18.5,"Underweight",AND(Table13_1[[#This Row],[Round BMI]]&gt;=18.5,Table13_1[[#This Row],[Round BMI]] &lt;=24.9),"Healthy Weight",AND(Table13_1[[#This Row],[Round BMI]]&gt;=25,Table13_1[[#This Row],[Round BMI]]&lt;=29.9),"Overweight",Table13_1[[#This Row],[Round BMI]]&gt;=30,"Obese")</f>
        <v>Healthy Weight</v>
      </c>
      <c r="D488" s="4" t="s">
        <v>11</v>
      </c>
      <c r="E488" s="4" t="str">
        <f>IF(Table13_1[[#This Row],[smoker]]="yes","smoker","non-smoker")</f>
        <v>non-smoker</v>
      </c>
      <c r="F488" s="4" t="s">
        <v>13</v>
      </c>
      <c r="G488" s="5">
        <v>54</v>
      </c>
      <c r="H488" s="5">
        <f>IF(Table13_1[[#This Row],[smoker]]="yes",1,0)</f>
        <v>0</v>
      </c>
      <c r="I488" s="4">
        <v>21.47</v>
      </c>
      <c r="J488" s="4">
        <v>3</v>
      </c>
      <c r="K488" s="12">
        <v>12475.3513</v>
      </c>
      <c r="N488">
        <v>333</v>
      </c>
      <c r="O488">
        <v>13654.940281493142</v>
      </c>
      <c r="P488">
        <v>-225.90488149314115</v>
      </c>
    </row>
    <row r="489" spans="1:16" x14ac:dyDescent="0.25">
      <c r="A489" s="4" t="s">
        <v>10</v>
      </c>
      <c r="B489" s="4">
        <f>ROUND(Table13_1[[#This Row],[bmi]],1)</f>
        <v>28.7</v>
      </c>
      <c r="C489" s="4" t="str" cm="1">
        <f t="array" ref="C489">_xlfn.IFS(Table13_1[[#This Row],[Round BMI]]&lt;18.5,"Underweight",AND(Table13_1[[#This Row],[Round BMI]]&gt;=18.5,Table13_1[[#This Row],[Round BMI]] &lt;=24.9),"Healthy Weight",AND(Table13_1[[#This Row],[Round BMI]]&gt;=25,Table13_1[[#This Row],[Round BMI]]&lt;=29.9),"Overweight",Table13_1[[#This Row],[Round BMI]]&gt;=30,"Obese")</f>
        <v>Overweight</v>
      </c>
      <c r="D489" s="4" t="s">
        <v>11</v>
      </c>
      <c r="E489" s="4" t="str">
        <f>IF(Table13_1[[#This Row],[smoker]]="yes","smoker","non-smoker")</f>
        <v>non-smoker</v>
      </c>
      <c r="F489" s="4" t="s">
        <v>9</v>
      </c>
      <c r="G489" s="5">
        <v>19</v>
      </c>
      <c r="H489" s="5">
        <f>IF(Table13_1[[#This Row],[smoker]]="yes",1,0)</f>
        <v>0</v>
      </c>
      <c r="I489" s="4">
        <v>28.7</v>
      </c>
      <c r="J489" s="4">
        <v>0</v>
      </c>
      <c r="K489" s="12">
        <v>1253.9359999999999</v>
      </c>
      <c r="N489">
        <v>334</v>
      </c>
      <c r="O489">
        <v>11601.295663093482</v>
      </c>
      <c r="P489">
        <v>57.083536906517111</v>
      </c>
    </row>
    <row r="490" spans="1:16" x14ac:dyDescent="0.25">
      <c r="A490" s="4" t="s">
        <v>7</v>
      </c>
      <c r="B490" s="4">
        <f>ROUND(Table13_1[[#This Row],[bmi]],1)</f>
        <v>38.1</v>
      </c>
      <c r="C490" s="4" t="str" cm="1">
        <f t="array" ref="C490">_xlfn.IFS(Table13_1[[#This Row],[Round BMI]]&lt;18.5,"Underweight",AND(Table13_1[[#This Row],[Round BMI]]&gt;=18.5,Table13_1[[#This Row],[Round BMI]] &lt;=24.9),"Healthy Weight",AND(Table13_1[[#This Row],[Round BMI]]&gt;=25,Table13_1[[#This Row],[Round BMI]]&lt;=29.9),"Overweight",Table13_1[[#This Row],[Round BMI]]&gt;=30,"Obese")</f>
        <v>Obese</v>
      </c>
      <c r="D490" s="4" t="s">
        <v>8</v>
      </c>
      <c r="E490" s="4" t="str">
        <f>IF(Table13_1[[#This Row],[smoker]]="yes","smoker","non-smoker")</f>
        <v>smoker</v>
      </c>
      <c r="F490" s="4" t="s">
        <v>12</v>
      </c>
      <c r="G490" s="5">
        <v>44</v>
      </c>
      <c r="H490" s="5">
        <f>IF(Table13_1[[#This Row],[smoker]]="yes",1,0)</f>
        <v>1</v>
      </c>
      <c r="I490" s="4">
        <v>38.06</v>
      </c>
      <c r="J490" s="4">
        <v>0</v>
      </c>
      <c r="K490" s="12">
        <v>48885.135600000001</v>
      </c>
      <c r="N490">
        <v>335</v>
      </c>
      <c r="O490">
        <v>11428.296177594309</v>
      </c>
      <c r="P490">
        <v>7716.2803224056897</v>
      </c>
    </row>
    <row r="491" spans="1:16" x14ac:dyDescent="0.25">
      <c r="A491" s="4" t="s">
        <v>10</v>
      </c>
      <c r="B491" s="4">
        <f>ROUND(Table13_1[[#This Row],[bmi]],1)</f>
        <v>31.2</v>
      </c>
      <c r="C491" s="4" t="str" cm="1">
        <f t="array" ref="C491">_xlfn.IFS(Table13_1[[#This Row],[Round BMI]]&lt;18.5,"Underweight",AND(Table13_1[[#This Row],[Round BMI]]&gt;=18.5,Table13_1[[#This Row],[Round BMI]] &lt;=24.9),"Healthy Weight",AND(Table13_1[[#This Row],[Round BMI]]&gt;=25,Table13_1[[#This Row],[Round BMI]]&lt;=29.9),"Overweight",Table13_1[[#This Row],[Round BMI]]&gt;=30,"Obese")</f>
        <v>Obese</v>
      </c>
      <c r="D491" s="4" t="s">
        <v>11</v>
      </c>
      <c r="E491" s="4" t="str">
        <f>IF(Table13_1[[#This Row],[smoker]]="yes","smoker","non-smoker")</f>
        <v>non-smoker</v>
      </c>
      <c r="F491" s="4" t="s">
        <v>13</v>
      </c>
      <c r="G491" s="5">
        <v>53</v>
      </c>
      <c r="H491" s="5">
        <f>IF(Table13_1[[#This Row],[smoker]]="yes",1,0)</f>
        <v>0</v>
      </c>
      <c r="I491" s="4">
        <v>31.16</v>
      </c>
      <c r="J491" s="4">
        <v>1</v>
      </c>
      <c r="K491" s="12">
        <v>10461.9794</v>
      </c>
      <c r="N491">
        <v>336</v>
      </c>
      <c r="O491">
        <v>15503.472488973859</v>
      </c>
      <c r="P491">
        <v>-1680.6694889738592</v>
      </c>
    </row>
    <row r="492" spans="1:16" x14ac:dyDescent="0.25">
      <c r="A492" s="4" t="s">
        <v>7</v>
      </c>
      <c r="B492" s="4">
        <f>ROUND(Table13_1[[#This Row],[bmi]],1)</f>
        <v>32.9</v>
      </c>
      <c r="C492" s="4" t="str" cm="1">
        <f t="array" ref="C492">_xlfn.IFS(Table13_1[[#This Row],[Round BMI]]&lt;18.5,"Underweight",AND(Table13_1[[#This Row],[Round BMI]]&gt;=18.5,Table13_1[[#This Row],[Round BMI]] &lt;=24.9),"Healthy Weight",AND(Table13_1[[#This Row],[Round BMI]]&gt;=25,Table13_1[[#This Row],[Round BMI]]&lt;=29.9),"Overweight",Table13_1[[#This Row],[Round BMI]]&gt;=30,"Obese")</f>
        <v>Obese</v>
      </c>
      <c r="D492" s="4" t="s">
        <v>11</v>
      </c>
      <c r="E492" s="4" t="str">
        <f>IF(Table13_1[[#This Row],[smoker]]="yes","smoker","non-smoker")</f>
        <v>non-smoker</v>
      </c>
      <c r="F492" s="4" t="s">
        <v>9</v>
      </c>
      <c r="G492" s="5">
        <v>19</v>
      </c>
      <c r="H492" s="5">
        <f>IF(Table13_1[[#This Row],[smoker]]="yes",1,0)</f>
        <v>0</v>
      </c>
      <c r="I492" s="4">
        <v>32.9</v>
      </c>
      <c r="J492" s="4">
        <v>0</v>
      </c>
      <c r="K492" s="12">
        <v>1748.7739999999999</v>
      </c>
      <c r="N492">
        <v>337</v>
      </c>
      <c r="O492">
        <v>11652.656170763414</v>
      </c>
      <c r="P492">
        <v>489.92242923658705</v>
      </c>
    </row>
    <row r="493" spans="1:16" x14ac:dyDescent="0.25">
      <c r="A493" s="4" t="s">
        <v>7</v>
      </c>
      <c r="B493" s="4">
        <f>ROUND(Table13_1[[#This Row],[bmi]],1)</f>
        <v>25.1</v>
      </c>
      <c r="C493" s="4" t="str" cm="1">
        <f t="array" ref="C493">_xlfn.IFS(Table13_1[[#This Row],[Round BMI]]&lt;18.5,"Underweight",AND(Table13_1[[#This Row],[Round BMI]]&gt;=18.5,Table13_1[[#This Row],[Round BMI]] &lt;=24.9),"Healthy Weight",AND(Table13_1[[#This Row],[Round BMI]]&gt;=25,Table13_1[[#This Row],[Round BMI]]&lt;=29.9),"Overweight",Table13_1[[#This Row],[Round BMI]]&gt;=30,"Obese")</f>
        <v>Overweight</v>
      </c>
      <c r="D493" s="4" t="s">
        <v>11</v>
      </c>
      <c r="E493" s="4" t="str">
        <f>IF(Table13_1[[#This Row],[smoker]]="yes","smoker","non-smoker")</f>
        <v>non-smoker</v>
      </c>
      <c r="F493" s="4" t="s">
        <v>12</v>
      </c>
      <c r="G493" s="5">
        <v>61</v>
      </c>
      <c r="H493" s="5">
        <f>IF(Table13_1[[#This Row],[smoker]]="yes",1,0)</f>
        <v>0</v>
      </c>
      <c r="I493" s="4">
        <v>25.08</v>
      </c>
      <c r="J493" s="4">
        <v>0</v>
      </c>
      <c r="K493" s="12">
        <v>24513.0913</v>
      </c>
      <c r="N493">
        <v>338</v>
      </c>
      <c r="O493">
        <v>13224.408540112545</v>
      </c>
      <c r="P493">
        <v>713.25795988745449</v>
      </c>
    </row>
    <row r="494" spans="1:16" x14ac:dyDescent="0.25">
      <c r="A494" s="4" t="s">
        <v>7</v>
      </c>
      <c r="B494" s="4">
        <f>ROUND(Table13_1[[#This Row],[bmi]],1)</f>
        <v>25.1</v>
      </c>
      <c r="C494" s="4" t="str" cm="1">
        <f t="array" ref="C494">_xlfn.IFS(Table13_1[[#This Row],[Round BMI]]&lt;18.5,"Underweight",AND(Table13_1[[#This Row],[Round BMI]]&gt;=18.5,Table13_1[[#This Row],[Round BMI]] &lt;=24.9),"Healthy Weight",AND(Table13_1[[#This Row],[Round BMI]]&gt;=25,Table13_1[[#This Row],[Round BMI]]&lt;=29.9),"Overweight",Table13_1[[#This Row],[Round BMI]]&gt;=30,"Obese")</f>
        <v>Overweight</v>
      </c>
      <c r="D494" s="4" t="s">
        <v>11</v>
      </c>
      <c r="E494" s="4" t="str">
        <f>IF(Table13_1[[#This Row],[smoker]]="yes","smoker","non-smoker")</f>
        <v>non-smoker</v>
      </c>
      <c r="F494" s="4" t="s">
        <v>14</v>
      </c>
      <c r="G494" s="5">
        <v>18</v>
      </c>
      <c r="H494" s="5">
        <f>IF(Table13_1[[#This Row],[smoker]]="yes",1,0)</f>
        <v>0</v>
      </c>
      <c r="I494" s="4">
        <v>25.08</v>
      </c>
      <c r="J494" s="4">
        <v>0</v>
      </c>
      <c r="K494" s="12">
        <v>2196.4731999999999</v>
      </c>
      <c r="N494">
        <v>339</v>
      </c>
      <c r="O494">
        <v>35470.408461659557</v>
      </c>
      <c r="P494">
        <v>6448.6885383404442</v>
      </c>
    </row>
    <row r="495" spans="1:16" x14ac:dyDescent="0.25">
      <c r="A495" s="4" t="s">
        <v>10</v>
      </c>
      <c r="B495" s="4">
        <f>ROUND(Table13_1[[#This Row],[bmi]],1)</f>
        <v>43.4</v>
      </c>
      <c r="C495" s="4" t="str" cm="1">
        <f t="array" ref="C495">_xlfn.IFS(Table13_1[[#This Row],[Round BMI]]&lt;18.5,"Underweight",AND(Table13_1[[#This Row],[Round BMI]]&gt;=18.5,Table13_1[[#This Row],[Round BMI]] &lt;=24.9),"Healthy Weight",AND(Table13_1[[#This Row],[Round BMI]]&gt;=25,Table13_1[[#This Row],[Round BMI]]&lt;=29.9),"Overweight",Table13_1[[#This Row],[Round BMI]]&gt;=30,"Obese")</f>
        <v>Obese</v>
      </c>
      <c r="D495" s="4" t="s">
        <v>11</v>
      </c>
      <c r="E495" s="4" t="str">
        <f>IF(Table13_1[[#This Row],[smoker]]="yes","smoker","non-smoker")</f>
        <v>non-smoker</v>
      </c>
      <c r="F495" s="4" t="s">
        <v>9</v>
      </c>
      <c r="G495" s="5">
        <v>61</v>
      </c>
      <c r="H495" s="5">
        <f>IF(Table13_1[[#This Row],[smoker]]="yes",1,0)</f>
        <v>0</v>
      </c>
      <c r="I495" s="4">
        <v>43.4</v>
      </c>
      <c r="J495" s="4">
        <v>0</v>
      </c>
      <c r="K495" s="12">
        <v>12574.049000000001</v>
      </c>
      <c r="N495">
        <v>340</v>
      </c>
      <c r="O495">
        <v>9153.5311613098547</v>
      </c>
      <c r="P495">
        <v>-920.8923613098541</v>
      </c>
    </row>
    <row r="496" spans="1:16" x14ac:dyDescent="0.25">
      <c r="A496" s="4" t="s">
        <v>10</v>
      </c>
      <c r="B496" s="4">
        <f>ROUND(Table13_1[[#This Row],[bmi]],1)</f>
        <v>25.7</v>
      </c>
      <c r="C496" s="4" t="str" cm="1">
        <f t="array" ref="C496">_xlfn.IFS(Table13_1[[#This Row],[Round BMI]]&lt;18.5,"Underweight",AND(Table13_1[[#This Row],[Round BMI]]&gt;=18.5,Table13_1[[#This Row],[Round BMI]] &lt;=24.9),"Healthy Weight",AND(Table13_1[[#This Row],[Round BMI]]&gt;=25,Table13_1[[#This Row],[Round BMI]]&lt;=29.9),"Overweight",Table13_1[[#This Row],[Round BMI]]&gt;=30,"Obese")</f>
        <v>Overweight</v>
      </c>
      <c r="D496" s="4" t="s">
        <v>8</v>
      </c>
      <c r="E496" s="4" t="str">
        <f>IF(Table13_1[[#This Row],[smoker]]="yes","smoker","non-smoker")</f>
        <v>smoker</v>
      </c>
      <c r="F496" s="4" t="s">
        <v>9</v>
      </c>
      <c r="G496" s="5">
        <v>21</v>
      </c>
      <c r="H496" s="5">
        <f>IF(Table13_1[[#This Row],[smoker]]="yes",1,0)</f>
        <v>1</v>
      </c>
      <c r="I496" s="4">
        <v>25.7</v>
      </c>
      <c r="J496" s="4">
        <v>4</v>
      </c>
      <c r="K496" s="12">
        <v>17942.106</v>
      </c>
      <c r="N496">
        <v>341</v>
      </c>
      <c r="O496">
        <v>2968.7175161552568</v>
      </c>
      <c r="P496">
        <v>15986.502683844743</v>
      </c>
    </row>
    <row r="497" spans="1:16" x14ac:dyDescent="0.25">
      <c r="A497" s="4" t="s">
        <v>10</v>
      </c>
      <c r="B497" s="4">
        <f>ROUND(Table13_1[[#This Row],[bmi]],1)</f>
        <v>27.9</v>
      </c>
      <c r="C497" s="4" t="str" cm="1">
        <f t="array" ref="C497">_xlfn.IFS(Table13_1[[#This Row],[Round BMI]]&lt;18.5,"Underweight",AND(Table13_1[[#This Row],[Round BMI]]&gt;=18.5,Table13_1[[#This Row],[Round BMI]] &lt;=24.9),"Healthy Weight",AND(Table13_1[[#This Row],[Round BMI]]&gt;=25,Table13_1[[#This Row],[Round BMI]]&lt;=29.9),"Overweight",Table13_1[[#This Row],[Round BMI]]&gt;=30,"Obese")</f>
        <v>Overweight</v>
      </c>
      <c r="D497" s="4" t="s">
        <v>11</v>
      </c>
      <c r="E497" s="4" t="str">
        <f>IF(Table13_1[[#This Row],[smoker]]="yes","smoker","non-smoker")</f>
        <v>non-smoker</v>
      </c>
      <c r="F497" s="4" t="s">
        <v>14</v>
      </c>
      <c r="G497" s="5">
        <v>20</v>
      </c>
      <c r="H497" s="5">
        <f>IF(Table13_1[[#This Row],[smoker]]="yes",1,0)</f>
        <v>0</v>
      </c>
      <c r="I497" s="4">
        <v>27.93</v>
      </c>
      <c r="J497" s="4">
        <v>0</v>
      </c>
      <c r="K497" s="12">
        <v>1967.0227</v>
      </c>
      <c r="N497">
        <v>342</v>
      </c>
      <c r="O497">
        <v>13545.879189584517</v>
      </c>
      <c r="P497">
        <v>-193.77938958451705</v>
      </c>
    </row>
    <row r="498" spans="1:16" x14ac:dyDescent="0.25">
      <c r="A498" s="4" t="s">
        <v>7</v>
      </c>
      <c r="B498" s="4">
        <f>ROUND(Table13_1[[#This Row],[bmi]],1)</f>
        <v>23.6</v>
      </c>
      <c r="C498" s="4" t="str" cm="1">
        <f t="array" ref="C498">_xlfn.IFS(Table13_1[[#This Row],[Round BMI]]&lt;18.5,"Underweight",AND(Table13_1[[#This Row],[Round BMI]]&gt;=18.5,Table13_1[[#This Row],[Round BMI]] &lt;=24.9),"Healthy Weight",AND(Table13_1[[#This Row],[Round BMI]]&gt;=25,Table13_1[[#This Row],[Round BMI]]&lt;=29.9),"Overweight",Table13_1[[#This Row],[Round BMI]]&gt;=30,"Obese")</f>
        <v>Healthy Weight</v>
      </c>
      <c r="D498" s="4" t="s">
        <v>11</v>
      </c>
      <c r="E498" s="4" t="str">
        <f>IF(Table13_1[[#This Row],[smoker]]="yes","smoker","non-smoker")</f>
        <v>non-smoker</v>
      </c>
      <c r="F498" s="4" t="s">
        <v>9</v>
      </c>
      <c r="G498" s="5">
        <v>31</v>
      </c>
      <c r="H498" s="5">
        <f>IF(Table13_1[[#This Row],[smoker]]="yes",1,0)</f>
        <v>0</v>
      </c>
      <c r="I498" s="4">
        <v>23.6</v>
      </c>
      <c r="J498" s="4">
        <v>2</v>
      </c>
      <c r="K498" s="12">
        <v>4931.6469999999999</v>
      </c>
      <c r="N498">
        <v>343</v>
      </c>
      <c r="O498">
        <v>12235.207209906008</v>
      </c>
      <c r="P498">
        <v>981.8872900939914</v>
      </c>
    </row>
    <row r="499" spans="1:16" x14ac:dyDescent="0.25">
      <c r="A499" s="4" t="s">
        <v>10</v>
      </c>
      <c r="B499" s="4">
        <f>ROUND(Table13_1[[#This Row],[bmi]],1)</f>
        <v>28.7</v>
      </c>
      <c r="C499" s="4" t="str" cm="1">
        <f t="array" ref="C499">_xlfn.IFS(Table13_1[[#This Row],[Round BMI]]&lt;18.5,"Underweight",AND(Table13_1[[#This Row],[Round BMI]]&gt;=18.5,Table13_1[[#This Row],[Round BMI]] &lt;=24.9),"Healthy Weight",AND(Table13_1[[#This Row],[Round BMI]]&gt;=25,Table13_1[[#This Row],[Round BMI]]&lt;=29.9),"Overweight",Table13_1[[#This Row],[Round BMI]]&gt;=30,"Obese")</f>
        <v>Overweight</v>
      </c>
      <c r="D499" s="4" t="s">
        <v>11</v>
      </c>
      <c r="E499" s="4" t="str">
        <f>IF(Table13_1[[#This Row],[smoker]]="yes","smoker","non-smoker")</f>
        <v>non-smoker</v>
      </c>
      <c r="F499" s="4" t="s">
        <v>9</v>
      </c>
      <c r="G499" s="5">
        <v>45</v>
      </c>
      <c r="H499" s="5">
        <f>IF(Table13_1[[#This Row],[smoker]]="yes",1,0)</f>
        <v>0</v>
      </c>
      <c r="I499" s="4">
        <v>28.7</v>
      </c>
      <c r="J499" s="4">
        <v>2</v>
      </c>
      <c r="K499" s="12">
        <v>8027.9679999999998</v>
      </c>
      <c r="N499">
        <v>344</v>
      </c>
      <c r="O499">
        <v>15974.61640907885</v>
      </c>
      <c r="P499">
        <v>-1992.7660090788504</v>
      </c>
    </row>
    <row r="500" spans="1:16" x14ac:dyDescent="0.25">
      <c r="A500" s="4" t="s">
        <v>7</v>
      </c>
      <c r="B500" s="4">
        <f>ROUND(Table13_1[[#This Row],[bmi]],1)</f>
        <v>24</v>
      </c>
      <c r="C500" s="4" t="str" cm="1">
        <f t="array" ref="C500">_xlfn.IFS(Table13_1[[#This Row],[Round BMI]]&lt;18.5,"Underweight",AND(Table13_1[[#This Row],[Round BMI]]&gt;=18.5,Table13_1[[#This Row],[Round BMI]] &lt;=24.9),"Healthy Weight",AND(Table13_1[[#This Row],[Round BMI]]&gt;=25,Table13_1[[#This Row],[Round BMI]]&lt;=29.9),"Overweight",Table13_1[[#This Row],[Round BMI]]&gt;=30,"Obese")</f>
        <v>Healthy Weight</v>
      </c>
      <c r="D500" s="4" t="s">
        <v>11</v>
      </c>
      <c r="E500" s="4" t="str">
        <f>IF(Table13_1[[#This Row],[smoker]]="yes","smoker","non-smoker")</f>
        <v>non-smoker</v>
      </c>
      <c r="F500" s="4" t="s">
        <v>12</v>
      </c>
      <c r="G500" s="5">
        <v>44</v>
      </c>
      <c r="H500" s="5">
        <f>IF(Table13_1[[#This Row],[smoker]]="yes",1,0)</f>
        <v>0</v>
      </c>
      <c r="I500" s="4">
        <v>23.98</v>
      </c>
      <c r="J500" s="4">
        <v>2</v>
      </c>
      <c r="K500" s="12">
        <v>8211.1002000000008</v>
      </c>
      <c r="N500">
        <v>345</v>
      </c>
      <c r="O500">
        <v>15773.043419005066</v>
      </c>
      <c r="P500">
        <v>-4795.8371190050657</v>
      </c>
    </row>
    <row r="501" spans="1:16" x14ac:dyDescent="0.25">
      <c r="A501" s="4" t="s">
        <v>7</v>
      </c>
      <c r="B501" s="4">
        <f>ROUND(Table13_1[[#This Row],[bmi]],1)</f>
        <v>39.200000000000003</v>
      </c>
      <c r="C501" s="4" t="str" cm="1">
        <f t="array" ref="C501">_xlfn.IFS(Table13_1[[#This Row],[Round BMI]]&lt;18.5,"Underweight",AND(Table13_1[[#This Row],[Round BMI]]&gt;=18.5,Table13_1[[#This Row],[Round BMI]] &lt;=24.9),"Healthy Weight",AND(Table13_1[[#This Row],[Round BMI]]&gt;=25,Table13_1[[#This Row],[Round BMI]]&lt;=29.9),"Overweight",Table13_1[[#This Row],[Round BMI]]&gt;=30,"Obese")</f>
        <v>Obese</v>
      </c>
      <c r="D501" s="4" t="s">
        <v>11</v>
      </c>
      <c r="E501" s="4" t="str">
        <f>IF(Table13_1[[#This Row],[smoker]]="yes","smoker","non-smoker")</f>
        <v>non-smoker</v>
      </c>
      <c r="F501" s="4" t="s">
        <v>9</v>
      </c>
      <c r="G501" s="5">
        <v>62</v>
      </c>
      <c r="H501" s="5">
        <f>IF(Table13_1[[#This Row],[smoker]]="yes",1,0)</f>
        <v>0</v>
      </c>
      <c r="I501" s="4">
        <v>39.200000000000003</v>
      </c>
      <c r="J501" s="4">
        <v>0</v>
      </c>
      <c r="K501" s="12">
        <v>13470.86</v>
      </c>
      <c r="N501">
        <v>346</v>
      </c>
      <c r="O501">
        <v>7501.992864812697</v>
      </c>
      <c r="P501">
        <v>-1317.6934648126971</v>
      </c>
    </row>
    <row r="502" spans="1:16" x14ac:dyDescent="0.25">
      <c r="A502" s="4" t="s">
        <v>10</v>
      </c>
      <c r="B502" s="4">
        <f>ROUND(Table13_1[[#This Row],[bmi]],1)</f>
        <v>34.4</v>
      </c>
      <c r="C502" s="4" t="str" cm="1">
        <f t="array" ref="C502">_xlfn.IFS(Table13_1[[#This Row],[Round BMI]]&lt;18.5,"Underweight",AND(Table13_1[[#This Row],[Round BMI]]&gt;=18.5,Table13_1[[#This Row],[Round BMI]] &lt;=24.9),"Healthy Weight",AND(Table13_1[[#This Row],[Round BMI]]&gt;=25,Table13_1[[#This Row],[Round BMI]]&lt;=29.9),"Overweight",Table13_1[[#This Row],[Round BMI]]&gt;=30,"Obese")</f>
        <v>Obese</v>
      </c>
      <c r="D502" s="4" t="s">
        <v>8</v>
      </c>
      <c r="E502" s="4" t="str">
        <f>IF(Table13_1[[#This Row],[smoker]]="yes","smoker","non-smoker")</f>
        <v>smoker</v>
      </c>
      <c r="F502" s="4" t="s">
        <v>9</v>
      </c>
      <c r="G502" s="5">
        <v>29</v>
      </c>
      <c r="H502" s="5">
        <f>IF(Table13_1[[#This Row],[smoker]]="yes",1,0)</f>
        <v>1</v>
      </c>
      <c r="I502" s="4">
        <v>34.4</v>
      </c>
      <c r="J502" s="4">
        <v>0</v>
      </c>
      <c r="K502" s="12">
        <v>36197.699000000001</v>
      </c>
      <c r="N502">
        <v>347</v>
      </c>
      <c r="O502">
        <v>8859.4566463759875</v>
      </c>
      <c r="P502">
        <v>-3969.4571463759876</v>
      </c>
    </row>
    <row r="503" spans="1:16" x14ac:dyDescent="0.25">
      <c r="A503" s="4" t="s">
        <v>10</v>
      </c>
      <c r="B503" s="4">
        <f>ROUND(Table13_1[[#This Row],[bmi]],1)</f>
        <v>26</v>
      </c>
      <c r="C503" s="4" t="str" cm="1">
        <f t="array" ref="C503">_xlfn.IFS(Table13_1[[#This Row],[Round BMI]]&lt;18.5,"Underweight",AND(Table13_1[[#This Row],[Round BMI]]&gt;=18.5,Table13_1[[#This Row],[Round BMI]] &lt;=24.9),"Healthy Weight",AND(Table13_1[[#This Row],[Round BMI]]&gt;=25,Table13_1[[#This Row],[Round BMI]]&lt;=29.9),"Overweight",Table13_1[[#This Row],[Round BMI]]&gt;=30,"Obese")</f>
        <v>Overweight</v>
      </c>
      <c r="D503" s="4" t="s">
        <v>11</v>
      </c>
      <c r="E503" s="4" t="str">
        <f>IF(Table13_1[[#This Row],[smoker]]="yes","smoker","non-smoker")</f>
        <v>non-smoker</v>
      </c>
      <c r="F503" s="4" t="s">
        <v>14</v>
      </c>
      <c r="G503" s="5">
        <v>43</v>
      </c>
      <c r="H503" s="5">
        <f>IF(Table13_1[[#This Row],[smoker]]="yes",1,0)</f>
        <v>0</v>
      </c>
      <c r="I503" s="4">
        <v>26.03</v>
      </c>
      <c r="J503" s="4">
        <v>0</v>
      </c>
      <c r="K503" s="12">
        <v>6837.3687</v>
      </c>
      <c r="N503">
        <v>348</v>
      </c>
      <c r="O503">
        <v>10963.945302291675</v>
      </c>
      <c r="P503">
        <v>-2629.4877022916753</v>
      </c>
    </row>
    <row r="504" spans="1:16" x14ac:dyDescent="0.25">
      <c r="A504" s="4" t="s">
        <v>10</v>
      </c>
      <c r="B504" s="4">
        <f>ROUND(Table13_1[[#This Row],[bmi]],1)</f>
        <v>23.2</v>
      </c>
      <c r="C504" s="4" t="str" cm="1">
        <f t="array" ref="C504">_xlfn.IFS(Table13_1[[#This Row],[Round BMI]]&lt;18.5,"Underweight",AND(Table13_1[[#This Row],[Round BMI]]&gt;=18.5,Table13_1[[#This Row],[Round BMI]] &lt;=24.9),"Healthy Weight",AND(Table13_1[[#This Row],[Round BMI]]&gt;=25,Table13_1[[#This Row],[Round BMI]]&lt;=29.9),"Overweight",Table13_1[[#This Row],[Round BMI]]&gt;=30,"Obese")</f>
        <v>Healthy Weight</v>
      </c>
      <c r="D504" s="4" t="s">
        <v>8</v>
      </c>
      <c r="E504" s="4" t="str">
        <f>IF(Table13_1[[#This Row],[smoker]]="yes","smoker","non-smoker")</f>
        <v>smoker</v>
      </c>
      <c r="F504" s="4" t="s">
        <v>12</v>
      </c>
      <c r="G504" s="5">
        <v>51</v>
      </c>
      <c r="H504" s="5">
        <f>IF(Table13_1[[#This Row],[smoker]]="yes",1,0)</f>
        <v>1</v>
      </c>
      <c r="I504" s="4">
        <v>23.21</v>
      </c>
      <c r="J504" s="4">
        <v>1</v>
      </c>
      <c r="K504" s="12">
        <v>22218.1149</v>
      </c>
      <c r="N504">
        <v>349</v>
      </c>
      <c r="O504">
        <v>7283.1091742569633</v>
      </c>
      <c r="P504">
        <v>-1805.0723742569635</v>
      </c>
    </row>
    <row r="505" spans="1:16" x14ac:dyDescent="0.25">
      <c r="A505" s="4" t="s">
        <v>10</v>
      </c>
      <c r="B505" s="4">
        <f>ROUND(Table13_1[[#This Row],[bmi]],1)</f>
        <v>30.3</v>
      </c>
      <c r="C505" s="4" t="str" cm="1">
        <f t="array" ref="C505">_xlfn.IFS(Table13_1[[#This Row],[Round BMI]]&lt;18.5,"Underweight",AND(Table13_1[[#This Row],[Round BMI]]&gt;=18.5,Table13_1[[#This Row],[Round BMI]] &lt;=24.9),"Healthy Weight",AND(Table13_1[[#This Row],[Round BMI]]&gt;=25,Table13_1[[#This Row],[Round BMI]]&lt;=29.9),"Overweight",Table13_1[[#This Row],[Round BMI]]&gt;=30,"Obese")</f>
        <v>Obese</v>
      </c>
      <c r="D505" s="4" t="s">
        <v>8</v>
      </c>
      <c r="E505" s="4" t="str">
        <f>IF(Table13_1[[#This Row],[smoker]]="yes","smoker","non-smoker")</f>
        <v>smoker</v>
      </c>
      <c r="F505" s="4" t="s">
        <v>12</v>
      </c>
      <c r="G505" s="5">
        <v>19</v>
      </c>
      <c r="H505" s="5">
        <f>IF(Table13_1[[#This Row],[smoker]]="yes",1,0)</f>
        <v>1</v>
      </c>
      <c r="I505" s="4">
        <v>30.25</v>
      </c>
      <c r="J505" s="4">
        <v>0</v>
      </c>
      <c r="K505" s="12">
        <v>32548.340499999998</v>
      </c>
      <c r="N505">
        <v>350</v>
      </c>
      <c r="O505">
        <v>1755.1050591711601</v>
      </c>
      <c r="P505">
        <v>-119.37145917116004</v>
      </c>
    </row>
    <row r="506" spans="1:16" x14ac:dyDescent="0.25">
      <c r="A506" s="4" t="s">
        <v>7</v>
      </c>
      <c r="B506" s="4">
        <f>ROUND(Table13_1[[#This Row],[bmi]],1)</f>
        <v>28.9</v>
      </c>
      <c r="C506" s="4" t="str" cm="1">
        <f t="array" ref="C506">_xlfn.IFS(Table13_1[[#This Row],[Round BMI]]&lt;18.5,"Underweight",AND(Table13_1[[#This Row],[Round BMI]]&gt;=18.5,Table13_1[[#This Row],[Round BMI]] &lt;=24.9),"Healthy Weight",AND(Table13_1[[#This Row],[Round BMI]]&gt;=25,Table13_1[[#This Row],[Round BMI]]&lt;=29.9),"Overweight",Table13_1[[#This Row],[Round BMI]]&gt;=30,"Obese")</f>
        <v>Overweight</v>
      </c>
      <c r="D506" s="4" t="s">
        <v>11</v>
      </c>
      <c r="E506" s="4" t="str">
        <f>IF(Table13_1[[#This Row],[smoker]]="yes","smoker","non-smoker")</f>
        <v>non-smoker</v>
      </c>
      <c r="F506" s="4" t="s">
        <v>12</v>
      </c>
      <c r="G506" s="5">
        <v>38</v>
      </c>
      <c r="H506" s="5">
        <f>IF(Table13_1[[#This Row],[smoker]]="yes",1,0)</f>
        <v>0</v>
      </c>
      <c r="I506" s="4">
        <v>28.93</v>
      </c>
      <c r="J506" s="4">
        <v>1</v>
      </c>
      <c r="K506" s="12">
        <v>5974.3846999999996</v>
      </c>
      <c r="N506">
        <v>351</v>
      </c>
      <c r="O506">
        <v>10055.168057498842</v>
      </c>
      <c r="P506">
        <v>1775.4391425011581</v>
      </c>
    </row>
    <row r="507" spans="1:16" x14ac:dyDescent="0.25">
      <c r="A507" s="4" t="s">
        <v>10</v>
      </c>
      <c r="B507" s="4">
        <f>ROUND(Table13_1[[#This Row],[bmi]],1)</f>
        <v>30.9</v>
      </c>
      <c r="C507" s="4" t="str" cm="1">
        <f t="array" ref="C507">_xlfn.IFS(Table13_1[[#This Row],[Round BMI]]&lt;18.5,"Underweight",AND(Table13_1[[#This Row],[Round BMI]]&gt;=18.5,Table13_1[[#This Row],[Round BMI]] &lt;=24.9),"Healthy Weight",AND(Table13_1[[#This Row],[Round BMI]]&gt;=25,Table13_1[[#This Row],[Round BMI]]&lt;=29.9),"Overweight",Table13_1[[#This Row],[Round BMI]]&gt;=30,"Obese")</f>
        <v>Obese</v>
      </c>
      <c r="D507" s="4" t="s">
        <v>11</v>
      </c>
      <c r="E507" s="4" t="str">
        <f>IF(Table13_1[[#This Row],[smoker]]="yes","smoker","non-smoker")</f>
        <v>non-smoker</v>
      </c>
      <c r="F507" s="4" t="s">
        <v>13</v>
      </c>
      <c r="G507" s="5">
        <v>37</v>
      </c>
      <c r="H507" s="5">
        <f>IF(Table13_1[[#This Row],[smoker]]="yes",1,0)</f>
        <v>0</v>
      </c>
      <c r="I507" s="4">
        <v>30.875</v>
      </c>
      <c r="J507" s="4">
        <v>3</v>
      </c>
      <c r="K507" s="12">
        <v>6796.8631999999998</v>
      </c>
      <c r="N507">
        <v>352</v>
      </c>
      <c r="O507">
        <v>9029.1019010620857</v>
      </c>
      <c r="P507">
        <v>-97.017901062085002</v>
      </c>
    </row>
    <row r="508" spans="1:16" x14ac:dyDescent="0.25">
      <c r="A508" s="4" t="s">
        <v>10</v>
      </c>
      <c r="B508" s="4">
        <f>ROUND(Table13_1[[#This Row],[bmi]],1)</f>
        <v>31.4</v>
      </c>
      <c r="C508" s="4" t="str" cm="1">
        <f t="array" ref="C508">_xlfn.IFS(Table13_1[[#This Row],[Round BMI]]&lt;18.5,"Underweight",AND(Table13_1[[#This Row],[Round BMI]]&gt;=18.5,Table13_1[[#This Row],[Round BMI]] &lt;=24.9),"Healthy Weight",AND(Table13_1[[#This Row],[Round BMI]]&gt;=25,Table13_1[[#This Row],[Round BMI]]&lt;=29.9),"Overweight",Table13_1[[#This Row],[Round BMI]]&gt;=30,"Obese")</f>
        <v>Obese</v>
      </c>
      <c r="D508" s="4" t="s">
        <v>11</v>
      </c>
      <c r="E508" s="4" t="str">
        <f>IF(Table13_1[[#This Row],[smoker]]="yes","smoker","non-smoker")</f>
        <v>non-smoker</v>
      </c>
      <c r="F508" s="4" t="s">
        <v>13</v>
      </c>
      <c r="G508" s="5">
        <v>22</v>
      </c>
      <c r="H508" s="5">
        <f>IF(Table13_1[[#This Row],[smoker]]="yes",1,0)</f>
        <v>0</v>
      </c>
      <c r="I508" s="4">
        <v>31.35</v>
      </c>
      <c r="J508" s="4">
        <v>1</v>
      </c>
      <c r="K508" s="12">
        <v>2643.2685000000001</v>
      </c>
      <c r="N508">
        <v>353</v>
      </c>
      <c r="O508">
        <v>4547.999700421512</v>
      </c>
      <c r="P508">
        <v>-993.79670042151201</v>
      </c>
    </row>
    <row r="509" spans="1:16" x14ac:dyDescent="0.25">
      <c r="A509" s="4" t="s">
        <v>10</v>
      </c>
      <c r="B509" s="4">
        <f>ROUND(Table13_1[[#This Row],[bmi]],1)</f>
        <v>23.8</v>
      </c>
      <c r="C509" s="4" t="str" cm="1">
        <f t="array" ref="C509">_xlfn.IFS(Table13_1[[#This Row],[Round BMI]]&lt;18.5,"Underweight",AND(Table13_1[[#This Row],[Round BMI]]&gt;=18.5,Table13_1[[#This Row],[Round BMI]] &lt;=24.9),"Healthy Weight",AND(Table13_1[[#This Row],[Round BMI]]&gt;=25,Table13_1[[#This Row],[Round BMI]]&lt;=29.9),"Overweight",Table13_1[[#This Row],[Round BMI]]&gt;=30,"Obese")</f>
        <v>Healthy Weight</v>
      </c>
      <c r="D509" s="4" t="s">
        <v>11</v>
      </c>
      <c r="E509" s="4" t="str">
        <f>IF(Table13_1[[#This Row],[smoker]]="yes","smoker","non-smoker")</f>
        <v>non-smoker</v>
      </c>
      <c r="F509" s="4" t="s">
        <v>13</v>
      </c>
      <c r="G509" s="5">
        <v>21</v>
      </c>
      <c r="H509" s="5">
        <f>IF(Table13_1[[#This Row],[smoker]]="yes",1,0)</f>
        <v>0</v>
      </c>
      <c r="I509" s="4">
        <v>23.75</v>
      </c>
      <c r="J509" s="4">
        <v>2</v>
      </c>
      <c r="K509" s="12">
        <v>3077.0954999999999</v>
      </c>
      <c r="N509">
        <v>354</v>
      </c>
      <c r="O509">
        <v>7749.9170568495283</v>
      </c>
      <c r="P509">
        <v>4654.9620431504718</v>
      </c>
    </row>
    <row r="510" spans="1:16" x14ac:dyDescent="0.25">
      <c r="A510" s="4" t="s">
        <v>7</v>
      </c>
      <c r="B510" s="4">
        <f>ROUND(Table13_1[[#This Row],[bmi]],1)</f>
        <v>25.3</v>
      </c>
      <c r="C510" s="4" t="str" cm="1">
        <f t="array" ref="C510">_xlfn.IFS(Table13_1[[#This Row],[Round BMI]]&lt;18.5,"Underweight",AND(Table13_1[[#This Row],[Round BMI]]&gt;=18.5,Table13_1[[#This Row],[Round BMI]] &lt;=24.9),"Healthy Weight",AND(Table13_1[[#This Row],[Round BMI]]&gt;=25,Table13_1[[#This Row],[Round BMI]]&lt;=29.9),"Overweight",Table13_1[[#This Row],[Round BMI]]&gt;=30,"Obese")</f>
        <v>Overweight</v>
      </c>
      <c r="D510" s="4" t="s">
        <v>11</v>
      </c>
      <c r="E510" s="4" t="str">
        <f>IF(Table13_1[[#This Row],[smoker]]="yes","smoker","non-smoker")</f>
        <v>non-smoker</v>
      </c>
      <c r="F510" s="4" t="s">
        <v>14</v>
      </c>
      <c r="G510" s="5">
        <v>24</v>
      </c>
      <c r="H510" s="5">
        <f>IF(Table13_1[[#This Row],[smoker]]="yes",1,0)</f>
        <v>0</v>
      </c>
      <c r="I510" s="4">
        <v>25.27</v>
      </c>
      <c r="J510" s="4">
        <v>0</v>
      </c>
      <c r="K510" s="12">
        <v>3044.2132999999999</v>
      </c>
      <c r="N510">
        <v>355</v>
      </c>
      <c r="O510">
        <v>4858.9934545172709</v>
      </c>
      <c r="P510">
        <v>9274.0443454827291</v>
      </c>
    </row>
    <row r="511" spans="1:16" x14ac:dyDescent="0.25">
      <c r="A511" s="4" t="s">
        <v>7</v>
      </c>
      <c r="B511" s="4">
        <f>ROUND(Table13_1[[#This Row],[bmi]],1)</f>
        <v>28.7</v>
      </c>
      <c r="C511" s="4" t="str" cm="1">
        <f t="array" ref="C511">_xlfn.IFS(Table13_1[[#This Row],[Round BMI]]&lt;18.5,"Underweight",AND(Table13_1[[#This Row],[Round BMI]]&gt;=18.5,Table13_1[[#This Row],[Round BMI]] &lt;=24.9),"Healthy Weight",AND(Table13_1[[#This Row],[Round BMI]]&gt;=25,Table13_1[[#This Row],[Round BMI]]&lt;=29.9),"Overweight",Table13_1[[#This Row],[Round BMI]]&gt;=30,"Obese")</f>
        <v>Overweight</v>
      </c>
      <c r="D511" s="4" t="s">
        <v>11</v>
      </c>
      <c r="E511" s="4" t="str">
        <f>IF(Table13_1[[#This Row],[smoker]]="yes","smoker","non-smoker")</f>
        <v>non-smoker</v>
      </c>
      <c r="F511" s="4" t="s">
        <v>9</v>
      </c>
      <c r="G511" s="5">
        <v>57</v>
      </c>
      <c r="H511" s="5">
        <f>IF(Table13_1[[#This Row],[smoker]]="yes",1,0)</f>
        <v>0</v>
      </c>
      <c r="I511" s="4">
        <v>28.7</v>
      </c>
      <c r="J511" s="4">
        <v>0</v>
      </c>
      <c r="K511" s="12">
        <v>11455.28</v>
      </c>
      <c r="N511">
        <v>356</v>
      </c>
      <c r="O511">
        <v>8641.4066774230869</v>
      </c>
      <c r="P511">
        <v>15961.641722576913</v>
      </c>
    </row>
    <row r="512" spans="1:16" x14ac:dyDescent="0.25">
      <c r="A512" s="4" t="s">
        <v>10</v>
      </c>
      <c r="B512" s="4">
        <f>ROUND(Table13_1[[#This Row],[bmi]],1)</f>
        <v>32.1</v>
      </c>
      <c r="C512" s="4" t="str" cm="1">
        <f t="array" ref="C512">_xlfn.IFS(Table13_1[[#This Row],[Round BMI]]&lt;18.5,"Underweight",AND(Table13_1[[#This Row],[Round BMI]]&gt;=18.5,Table13_1[[#This Row],[Round BMI]] &lt;=24.9),"Healthy Weight",AND(Table13_1[[#This Row],[Round BMI]]&gt;=25,Table13_1[[#This Row],[Round BMI]]&lt;=29.9),"Overweight",Table13_1[[#This Row],[Round BMI]]&gt;=30,"Obese")</f>
        <v>Obese</v>
      </c>
      <c r="D512" s="4" t="s">
        <v>11</v>
      </c>
      <c r="E512" s="4" t="str">
        <f>IF(Table13_1[[#This Row],[smoker]]="yes","smoker","non-smoker")</f>
        <v>non-smoker</v>
      </c>
      <c r="F512" s="4" t="s">
        <v>14</v>
      </c>
      <c r="G512" s="5">
        <v>56</v>
      </c>
      <c r="H512" s="5">
        <f>IF(Table13_1[[#This Row],[smoker]]="yes",1,0)</f>
        <v>0</v>
      </c>
      <c r="I512" s="4">
        <v>32.11</v>
      </c>
      <c r="J512" s="4">
        <v>1</v>
      </c>
      <c r="K512" s="12">
        <v>11763.000899999999</v>
      </c>
      <c r="N512">
        <v>357</v>
      </c>
      <c r="O512">
        <v>15304.872976343908</v>
      </c>
      <c r="P512">
        <v>-6360.7578763439069</v>
      </c>
    </row>
    <row r="513" spans="1:16" x14ac:dyDescent="0.25">
      <c r="A513" s="4" t="s">
        <v>10</v>
      </c>
      <c r="B513" s="4">
        <f>ROUND(Table13_1[[#This Row],[bmi]],1)</f>
        <v>33.700000000000003</v>
      </c>
      <c r="C513" s="4" t="str" cm="1">
        <f t="array" ref="C513">_xlfn.IFS(Table13_1[[#This Row],[Round BMI]]&lt;18.5,"Underweight",AND(Table13_1[[#This Row],[Round BMI]]&gt;=18.5,Table13_1[[#This Row],[Round BMI]] &lt;=24.9),"Healthy Weight",AND(Table13_1[[#This Row],[Round BMI]]&gt;=25,Table13_1[[#This Row],[Round BMI]]&lt;=29.9),"Overweight",Table13_1[[#This Row],[Round BMI]]&gt;=30,"Obese")</f>
        <v>Obese</v>
      </c>
      <c r="D513" s="4" t="s">
        <v>11</v>
      </c>
      <c r="E513" s="4" t="str">
        <f>IF(Table13_1[[#This Row],[smoker]]="yes","smoker","non-smoker")</f>
        <v>non-smoker</v>
      </c>
      <c r="F513" s="4" t="s">
        <v>12</v>
      </c>
      <c r="G513" s="5">
        <v>27</v>
      </c>
      <c r="H513" s="5">
        <f>IF(Table13_1[[#This Row],[smoker]]="yes",1,0)</f>
        <v>0</v>
      </c>
      <c r="I513" s="4">
        <v>33.659999999999997</v>
      </c>
      <c r="J513" s="4">
        <v>0</v>
      </c>
      <c r="K513" s="12">
        <v>2498.4144000000001</v>
      </c>
      <c r="N513">
        <v>358</v>
      </c>
      <c r="O513">
        <v>11037.491759726816</v>
      </c>
      <c r="P513">
        <v>-1417.1610597268154</v>
      </c>
    </row>
    <row r="514" spans="1:16" x14ac:dyDescent="0.25">
      <c r="A514" s="4" t="s">
        <v>10</v>
      </c>
      <c r="B514" s="4">
        <f>ROUND(Table13_1[[#This Row],[bmi]],1)</f>
        <v>22.4</v>
      </c>
      <c r="C514" s="4" t="str" cm="1">
        <f t="array" ref="C514">_xlfn.IFS(Table13_1[[#This Row],[Round BMI]]&lt;18.5,"Underweight",AND(Table13_1[[#This Row],[Round BMI]]&gt;=18.5,Table13_1[[#This Row],[Round BMI]] &lt;=24.9),"Healthy Weight",AND(Table13_1[[#This Row],[Round BMI]]&gt;=25,Table13_1[[#This Row],[Round BMI]]&lt;=29.9),"Overweight",Table13_1[[#This Row],[Round BMI]]&gt;=30,"Obese")</f>
        <v>Healthy Weight</v>
      </c>
      <c r="D514" s="4" t="s">
        <v>11</v>
      </c>
      <c r="E514" s="4" t="str">
        <f>IF(Table13_1[[#This Row],[smoker]]="yes","smoker","non-smoker")</f>
        <v>non-smoker</v>
      </c>
      <c r="F514" s="4" t="s">
        <v>14</v>
      </c>
      <c r="G514" s="5">
        <v>51</v>
      </c>
      <c r="H514" s="5">
        <f>IF(Table13_1[[#This Row],[smoker]]="yes",1,0)</f>
        <v>0</v>
      </c>
      <c r="I514" s="4">
        <v>22.42</v>
      </c>
      <c r="J514" s="4">
        <v>0</v>
      </c>
      <c r="K514" s="12">
        <v>9361.3268000000007</v>
      </c>
      <c r="N514">
        <v>359</v>
      </c>
      <c r="O514">
        <v>7316.5615834826494</v>
      </c>
      <c r="P514">
        <v>-5479.2796834826495</v>
      </c>
    </row>
    <row r="515" spans="1:16" x14ac:dyDescent="0.25">
      <c r="A515" s="4" t="s">
        <v>10</v>
      </c>
      <c r="B515" s="4">
        <f>ROUND(Table13_1[[#This Row],[bmi]],1)</f>
        <v>30.4</v>
      </c>
      <c r="C515" s="4" t="str" cm="1">
        <f t="array" ref="C515">_xlfn.IFS(Table13_1[[#This Row],[Round BMI]]&lt;18.5,"Underweight",AND(Table13_1[[#This Row],[Round BMI]]&gt;=18.5,Table13_1[[#This Row],[Round BMI]] &lt;=24.9),"Healthy Weight",AND(Table13_1[[#This Row],[Round BMI]]&gt;=25,Table13_1[[#This Row],[Round BMI]]&lt;=29.9),"Overweight",Table13_1[[#This Row],[Round BMI]]&gt;=30,"Obese")</f>
        <v>Obese</v>
      </c>
      <c r="D515" s="4" t="s">
        <v>11</v>
      </c>
      <c r="E515" s="4" t="str">
        <f>IF(Table13_1[[#This Row],[smoker]]="yes","smoker","non-smoker")</f>
        <v>non-smoker</v>
      </c>
      <c r="F515" s="4" t="s">
        <v>9</v>
      </c>
      <c r="G515" s="5">
        <v>19</v>
      </c>
      <c r="H515" s="5">
        <f>IF(Table13_1[[#This Row],[smoker]]="yes",1,0)</f>
        <v>0</v>
      </c>
      <c r="I515" s="4">
        <v>30.4</v>
      </c>
      <c r="J515" s="4">
        <v>0</v>
      </c>
      <c r="K515" s="12">
        <v>1256.299</v>
      </c>
      <c r="N515">
        <v>360</v>
      </c>
      <c r="O515">
        <v>-770.18758117553716</v>
      </c>
      <c r="P515">
        <v>2377.6976811755371</v>
      </c>
    </row>
    <row r="516" spans="1:16" x14ac:dyDescent="0.25">
      <c r="A516" s="4" t="s">
        <v>10</v>
      </c>
      <c r="B516" s="4">
        <f>ROUND(Table13_1[[#This Row],[bmi]],1)</f>
        <v>28.3</v>
      </c>
      <c r="C516" s="4" t="str" cm="1">
        <f t="array" ref="C516">_xlfn.IFS(Table13_1[[#This Row],[Round BMI]]&lt;18.5,"Underweight",AND(Table13_1[[#This Row],[Round BMI]]&gt;=18.5,Table13_1[[#This Row],[Round BMI]] &lt;=24.9),"Healthy Weight",AND(Table13_1[[#This Row],[Round BMI]]&gt;=25,Table13_1[[#This Row],[Round BMI]]&lt;=29.9),"Overweight",Table13_1[[#This Row],[Round BMI]]&gt;=30,"Obese")</f>
        <v>Overweight</v>
      </c>
      <c r="D516" s="4" t="s">
        <v>8</v>
      </c>
      <c r="E516" s="4" t="str">
        <f>IF(Table13_1[[#This Row],[smoker]]="yes","smoker","non-smoker")</f>
        <v>smoker</v>
      </c>
      <c r="F516" s="4" t="s">
        <v>9</v>
      </c>
      <c r="G516" s="5">
        <v>39</v>
      </c>
      <c r="H516" s="5">
        <f>IF(Table13_1[[#This Row],[smoker]]="yes",1,0)</f>
        <v>1</v>
      </c>
      <c r="I516" s="4">
        <v>28.3</v>
      </c>
      <c r="J516" s="4">
        <v>1</v>
      </c>
      <c r="K516" s="12">
        <v>21082.16</v>
      </c>
      <c r="N516">
        <v>361</v>
      </c>
      <c r="O516">
        <v>11616.811916529143</v>
      </c>
      <c r="P516">
        <v>-1573.562916529143</v>
      </c>
    </row>
    <row r="517" spans="1:16" x14ac:dyDescent="0.25">
      <c r="A517" s="4" t="s">
        <v>10</v>
      </c>
      <c r="B517" s="4">
        <f>ROUND(Table13_1[[#This Row],[bmi]],1)</f>
        <v>35.700000000000003</v>
      </c>
      <c r="C517" s="4" t="str" cm="1">
        <f t="array" ref="C517">_xlfn.IFS(Table13_1[[#This Row],[Round BMI]]&lt;18.5,"Underweight",AND(Table13_1[[#This Row],[Round BMI]]&gt;=18.5,Table13_1[[#This Row],[Round BMI]] &lt;=24.9),"Healthy Weight",AND(Table13_1[[#This Row],[Round BMI]]&gt;=25,Table13_1[[#This Row],[Round BMI]]&lt;=29.9),"Overweight",Table13_1[[#This Row],[Round BMI]]&gt;=30,"Obese")</f>
        <v>Obese</v>
      </c>
      <c r="D517" s="4" t="s">
        <v>11</v>
      </c>
      <c r="E517" s="4" t="str">
        <f>IF(Table13_1[[#This Row],[smoker]]="yes","smoker","non-smoker")</f>
        <v>non-smoker</v>
      </c>
      <c r="F517" s="4" t="s">
        <v>9</v>
      </c>
      <c r="G517" s="5">
        <v>58</v>
      </c>
      <c r="H517" s="5">
        <f>IF(Table13_1[[#This Row],[smoker]]="yes",1,0)</f>
        <v>0</v>
      </c>
      <c r="I517" s="4">
        <v>35.700000000000003</v>
      </c>
      <c r="J517" s="4">
        <v>0</v>
      </c>
      <c r="K517" s="12">
        <v>11362.754999999999</v>
      </c>
      <c r="N517">
        <v>362</v>
      </c>
      <c r="O517">
        <v>7211.9334805745102</v>
      </c>
      <c r="P517">
        <v>-2460.8634805745105</v>
      </c>
    </row>
    <row r="518" spans="1:16" x14ac:dyDescent="0.25">
      <c r="A518" s="4" t="s">
        <v>10</v>
      </c>
      <c r="B518" s="4">
        <f>ROUND(Table13_1[[#This Row],[bmi]],1)</f>
        <v>35.299999999999997</v>
      </c>
      <c r="C518" s="4" t="str" cm="1">
        <f t="array" ref="C518">_xlfn.IFS(Table13_1[[#This Row],[Round BMI]]&lt;18.5,"Underweight",AND(Table13_1[[#This Row],[Round BMI]]&gt;=18.5,Table13_1[[#This Row],[Round BMI]] &lt;=24.9),"Healthy Weight",AND(Table13_1[[#This Row],[Round BMI]]&gt;=25,Table13_1[[#This Row],[Round BMI]]&lt;=29.9),"Overweight",Table13_1[[#This Row],[Round BMI]]&gt;=30,"Obese")</f>
        <v>Obese</v>
      </c>
      <c r="D518" s="4" t="s">
        <v>11</v>
      </c>
      <c r="E518" s="4" t="str">
        <f>IF(Table13_1[[#This Row],[smoker]]="yes","smoker","non-smoker")</f>
        <v>non-smoker</v>
      </c>
      <c r="F518" s="4" t="s">
        <v>12</v>
      </c>
      <c r="G518" s="5">
        <v>20</v>
      </c>
      <c r="H518" s="5">
        <f>IF(Table13_1[[#This Row],[smoker]]="yes",1,0)</f>
        <v>0</v>
      </c>
      <c r="I518" s="4">
        <v>35.31</v>
      </c>
      <c r="J518" s="4">
        <v>1</v>
      </c>
      <c r="K518" s="12">
        <v>27724.288799999998</v>
      </c>
      <c r="N518">
        <v>363</v>
      </c>
      <c r="O518">
        <v>23591.946548755845</v>
      </c>
      <c r="P518">
        <v>-9747.4405487558452</v>
      </c>
    </row>
    <row r="519" spans="1:16" x14ac:dyDescent="0.25">
      <c r="A519" s="4" t="s">
        <v>10</v>
      </c>
      <c r="B519" s="4">
        <f>ROUND(Table13_1[[#This Row],[bmi]],1)</f>
        <v>30.5</v>
      </c>
      <c r="C519" s="4" t="str" cm="1">
        <f t="array" ref="C519">_xlfn.IFS(Table13_1[[#This Row],[Round BMI]]&lt;18.5,"Underweight",AND(Table13_1[[#This Row],[Round BMI]]&gt;=18.5,Table13_1[[#This Row],[Round BMI]] &lt;=24.9),"Healthy Weight",AND(Table13_1[[#This Row],[Round BMI]]&gt;=25,Table13_1[[#This Row],[Round BMI]]&lt;=29.9),"Overweight",Table13_1[[#This Row],[Round BMI]]&gt;=30,"Obese")</f>
        <v>Obese</v>
      </c>
      <c r="D519" s="4" t="s">
        <v>11</v>
      </c>
      <c r="E519" s="4" t="str">
        <f>IF(Table13_1[[#This Row],[smoker]]="yes","smoker","non-smoker")</f>
        <v>non-smoker</v>
      </c>
      <c r="F519" s="4" t="s">
        <v>13</v>
      </c>
      <c r="G519" s="5">
        <v>45</v>
      </c>
      <c r="H519" s="5">
        <f>IF(Table13_1[[#This Row],[smoker]]="yes",1,0)</f>
        <v>0</v>
      </c>
      <c r="I519" s="4">
        <v>30.495000000000001</v>
      </c>
      <c r="J519" s="4">
        <v>2</v>
      </c>
      <c r="K519" s="12">
        <v>8413.4629999999997</v>
      </c>
      <c r="N519">
        <v>364</v>
      </c>
      <c r="O519">
        <v>2282.4496263005562</v>
      </c>
      <c r="P519">
        <v>315.32937369944375</v>
      </c>
    </row>
    <row r="520" spans="1:16" x14ac:dyDescent="0.25">
      <c r="A520" s="4" t="s">
        <v>7</v>
      </c>
      <c r="B520" s="4">
        <f>ROUND(Table13_1[[#This Row],[bmi]],1)</f>
        <v>31</v>
      </c>
      <c r="C520" s="4" t="str" cm="1">
        <f t="array" ref="C520">_xlfn.IFS(Table13_1[[#This Row],[Round BMI]]&lt;18.5,"Underweight",AND(Table13_1[[#This Row],[Round BMI]]&gt;=18.5,Table13_1[[#This Row],[Round BMI]] &lt;=24.9),"Healthy Weight",AND(Table13_1[[#This Row],[Round BMI]]&gt;=25,Table13_1[[#This Row],[Round BMI]]&lt;=29.9),"Overweight",Table13_1[[#This Row],[Round BMI]]&gt;=30,"Obese")</f>
        <v>Obese</v>
      </c>
      <c r="D520" s="4" t="s">
        <v>11</v>
      </c>
      <c r="E520" s="4" t="str">
        <f>IF(Table13_1[[#This Row],[smoker]]="yes","smoker","non-smoker")</f>
        <v>non-smoker</v>
      </c>
      <c r="F520" s="4" t="s">
        <v>9</v>
      </c>
      <c r="G520" s="5">
        <v>35</v>
      </c>
      <c r="H520" s="5">
        <f>IF(Table13_1[[#This Row],[smoker]]="yes",1,0)</f>
        <v>0</v>
      </c>
      <c r="I520" s="4">
        <v>31</v>
      </c>
      <c r="J520" s="4">
        <v>1</v>
      </c>
      <c r="K520" s="12">
        <v>5240.7650000000003</v>
      </c>
      <c r="N520">
        <v>365</v>
      </c>
      <c r="O520">
        <v>1304.4021150325113</v>
      </c>
      <c r="P520">
        <v>1876.1079849674886</v>
      </c>
    </row>
    <row r="521" spans="1:16" x14ac:dyDescent="0.25">
      <c r="A521" s="4" t="s">
        <v>10</v>
      </c>
      <c r="B521" s="4">
        <f>ROUND(Table13_1[[#This Row],[bmi]],1)</f>
        <v>30.9</v>
      </c>
      <c r="C521" s="4" t="str" cm="1">
        <f t="array" ref="C521">_xlfn.IFS(Table13_1[[#This Row],[Round BMI]]&lt;18.5,"Underweight",AND(Table13_1[[#This Row],[Round BMI]]&gt;=18.5,Table13_1[[#This Row],[Round BMI]] &lt;=24.9),"Healthy Weight",AND(Table13_1[[#This Row],[Round BMI]]&gt;=25,Table13_1[[#This Row],[Round BMI]]&lt;=29.9),"Overweight",Table13_1[[#This Row],[Round BMI]]&gt;=30,"Obese")</f>
        <v>Obese</v>
      </c>
      <c r="D521" s="4" t="s">
        <v>11</v>
      </c>
      <c r="E521" s="4" t="str">
        <f>IF(Table13_1[[#This Row],[smoker]]="yes","smoker","non-smoker")</f>
        <v>non-smoker</v>
      </c>
      <c r="F521" s="4" t="s">
        <v>14</v>
      </c>
      <c r="G521" s="5">
        <v>31</v>
      </c>
      <c r="H521" s="5">
        <f>IF(Table13_1[[#This Row],[smoker]]="yes",1,0)</f>
        <v>0</v>
      </c>
      <c r="I521" s="4">
        <v>30.875</v>
      </c>
      <c r="J521" s="4">
        <v>0</v>
      </c>
      <c r="K521" s="12">
        <v>3857.7592</v>
      </c>
      <c r="N521">
        <v>366</v>
      </c>
      <c r="O521">
        <v>10911.944975995033</v>
      </c>
      <c r="P521">
        <v>-1133.5977759950329</v>
      </c>
    </row>
    <row r="522" spans="1:16" x14ac:dyDescent="0.25">
      <c r="A522" s="4" t="s">
        <v>7</v>
      </c>
      <c r="B522" s="4">
        <f>ROUND(Table13_1[[#This Row],[bmi]],1)</f>
        <v>27.4</v>
      </c>
      <c r="C522" s="4" t="str" cm="1">
        <f t="array" ref="C522">_xlfn.IFS(Table13_1[[#This Row],[Round BMI]]&lt;18.5,"Underweight",AND(Table13_1[[#This Row],[Round BMI]]&gt;=18.5,Table13_1[[#This Row],[Round BMI]] &lt;=24.9),"Healthy Weight",AND(Table13_1[[#This Row],[Round BMI]]&gt;=25,Table13_1[[#This Row],[Round BMI]]&lt;=29.9),"Overweight",Table13_1[[#This Row],[Round BMI]]&gt;=30,"Obese")</f>
        <v>Overweight</v>
      </c>
      <c r="D522" s="4" t="s">
        <v>11</v>
      </c>
      <c r="E522" s="4" t="str">
        <f>IF(Table13_1[[#This Row],[smoker]]="yes","smoker","non-smoker")</f>
        <v>non-smoker</v>
      </c>
      <c r="F522" s="4" t="s">
        <v>14</v>
      </c>
      <c r="G522" s="5">
        <v>50</v>
      </c>
      <c r="H522" s="5">
        <f>IF(Table13_1[[#This Row],[smoker]]="yes",1,0)</f>
        <v>0</v>
      </c>
      <c r="I522" s="4">
        <v>27.36</v>
      </c>
      <c r="J522" s="4">
        <v>0</v>
      </c>
      <c r="K522" s="12">
        <v>25656.5753</v>
      </c>
      <c r="N522">
        <v>367</v>
      </c>
      <c r="O522">
        <v>14153.110290717814</v>
      </c>
      <c r="P522">
        <v>-722.84529071781435</v>
      </c>
    </row>
    <row r="523" spans="1:16" x14ac:dyDescent="0.25">
      <c r="A523" s="4" t="s">
        <v>7</v>
      </c>
      <c r="B523" s="4">
        <f>ROUND(Table13_1[[#This Row],[bmi]],1)</f>
        <v>44.2</v>
      </c>
      <c r="C523" s="4" t="str" cm="1">
        <f t="array" ref="C523">_xlfn.IFS(Table13_1[[#This Row],[Round BMI]]&lt;18.5,"Underweight",AND(Table13_1[[#This Row],[Round BMI]]&gt;=18.5,Table13_1[[#This Row],[Round BMI]] &lt;=24.9),"Healthy Weight",AND(Table13_1[[#This Row],[Round BMI]]&gt;=25,Table13_1[[#This Row],[Round BMI]]&lt;=29.9),"Overweight",Table13_1[[#This Row],[Round BMI]]&gt;=30,"Obese")</f>
        <v>Obese</v>
      </c>
      <c r="D523" s="4" t="s">
        <v>11</v>
      </c>
      <c r="E523" s="4" t="str">
        <f>IF(Table13_1[[#This Row],[smoker]]="yes","smoker","non-smoker")</f>
        <v>non-smoker</v>
      </c>
      <c r="F523" s="4" t="s">
        <v>12</v>
      </c>
      <c r="G523" s="5">
        <v>32</v>
      </c>
      <c r="H523" s="5">
        <f>IF(Table13_1[[#This Row],[smoker]]="yes",1,0)</f>
        <v>0</v>
      </c>
      <c r="I523" s="4">
        <v>44.22</v>
      </c>
      <c r="J523" s="4">
        <v>0</v>
      </c>
      <c r="K523" s="12">
        <v>3994.1777999999999</v>
      </c>
      <c r="N523">
        <v>368</v>
      </c>
      <c r="O523">
        <v>7715.3718607635392</v>
      </c>
      <c r="P523">
        <v>301.68933923646091</v>
      </c>
    </row>
    <row r="524" spans="1:16" x14ac:dyDescent="0.25">
      <c r="A524" s="4" t="s">
        <v>7</v>
      </c>
      <c r="B524" s="4">
        <f>ROUND(Table13_1[[#This Row],[bmi]],1)</f>
        <v>33.9</v>
      </c>
      <c r="C524" s="4" t="str" cm="1">
        <f t="array" ref="C524">_xlfn.IFS(Table13_1[[#This Row],[Round BMI]]&lt;18.5,"Underweight",AND(Table13_1[[#This Row],[Round BMI]]&gt;=18.5,Table13_1[[#This Row],[Round BMI]] &lt;=24.9),"Healthy Weight",AND(Table13_1[[#This Row],[Round BMI]]&gt;=25,Table13_1[[#This Row],[Round BMI]]&lt;=29.9),"Overweight",Table13_1[[#This Row],[Round BMI]]&gt;=30,"Obese")</f>
        <v>Obese</v>
      </c>
      <c r="D524" s="4" t="s">
        <v>11</v>
      </c>
      <c r="E524" s="4" t="str">
        <f>IF(Table13_1[[#This Row],[smoker]]="yes","smoker","non-smoker")</f>
        <v>non-smoker</v>
      </c>
      <c r="F524" s="4" t="s">
        <v>14</v>
      </c>
      <c r="G524" s="5">
        <v>51</v>
      </c>
      <c r="H524" s="5">
        <f>IF(Table13_1[[#This Row],[smoker]]="yes",1,0)</f>
        <v>0</v>
      </c>
      <c r="I524" s="4">
        <v>33.914999999999999</v>
      </c>
      <c r="J524" s="4">
        <v>0</v>
      </c>
      <c r="K524" s="12">
        <v>9866.3047999999999</v>
      </c>
      <c r="N524">
        <v>369</v>
      </c>
      <c r="O524">
        <v>10493.686237397975</v>
      </c>
      <c r="P524">
        <v>-2377.4174373979749</v>
      </c>
    </row>
    <row r="525" spans="1:16" x14ac:dyDescent="0.25">
      <c r="A525" s="4" t="s">
        <v>7</v>
      </c>
      <c r="B525" s="4">
        <f>ROUND(Table13_1[[#This Row],[bmi]],1)</f>
        <v>37.700000000000003</v>
      </c>
      <c r="C525" s="4" t="str" cm="1">
        <f t="array" ref="C525">_xlfn.IFS(Table13_1[[#This Row],[Round BMI]]&lt;18.5,"Underweight",AND(Table13_1[[#This Row],[Round BMI]]&gt;=18.5,Table13_1[[#This Row],[Round BMI]] &lt;=24.9),"Healthy Weight",AND(Table13_1[[#This Row],[Round BMI]]&gt;=25,Table13_1[[#This Row],[Round BMI]]&lt;=29.9),"Overweight",Table13_1[[#This Row],[Round BMI]]&gt;=30,"Obese")</f>
        <v>Obese</v>
      </c>
      <c r="D525" s="4" t="s">
        <v>11</v>
      </c>
      <c r="E525" s="4" t="str">
        <f>IF(Table13_1[[#This Row],[smoker]]="yes","smoker","non-smoker")</f>
        <v>non-smoker</v>
      </c>
      <c r="F525" s="4" t="s">
        <v>12</v>
      </c>
      <c r="G525" s="5">
        <v>38</v>
      </c>
      <c r="H525" s="5">
        <f>IF(Table13_1[[#This Row],[smoker]]="yes",1,0)</f>
        <v>0</v>
      </c>
      <c r="I525" s="4">
        <v>37.729999999999997</v>
      </c>
      <c r="J525" s="4">
        <v>0</v>
      </c>
      <c r="K525" s="12">
        <v>5397.6166999999996</v>
      </c>
      <c r="N525">
        <v>370</v>
      </c>
      <c r="O525">
        <v>3743.3113467659841</v>
      </c>
      <c r="P525">
        <v>-261.44334676598419</v>
      </c>
    </row>
    <row r="526" spans="1:16" x14ac:dyDescent="0.25">
      <c r="A526" s="4" t="s">
        <v>10</v>
      </c>
      <c r="B526" s="4">
        <f>ROUND(Table13_1[[#This Row],[bmi]],1)</f>
        <v>26.1</v>
      </c>
      <c r="C526" s="4" t="str" cm="1">
        <f t="array" ref="C526">_xlfn.IFS(Table13_1[[#This Row],[Round BMI]]&lt;18.5,"Underweight",AND(Table13_1[[#This Row],[Round BMI]]&gt;=18.5,Table13_1[[#This Row],[Round BMI]] &lt;=24.9),"Healthy Weight",AND(Table13_1[[#This Row],[Round BMI]]&gt;=25,Table13_1[[#This Row],[Round BMI]]&lt;=29.9),"Overweight",Table13_1[[#This Row],[Round BMI]]&gt;=30,"Obese")</f>
        <v>Overweight</v>
      </c>
      <c r="D526" s="4" t="s">
        <v>8</v>
      </c>
      <c r="E526" s="4" t="str">
        <f>IF(Table13_1[[#This Row],[smoker]]="yes","smoker","non-smoker")</f>
        <v>smoker</v>
      </c>
      <c r="F526" s="4" t="s">
        <v>12</v>
      </c>
      <c r="G526" s="5">
        <v>42</v>
      </c>
      <c r="H526" s="5">
        <f>IF(Table13_1[[#This Row],[smoker]]="yes",1,0)</f>
        <v>1</v>
      </c>
      <c r="I526" s="4">
        <v>26.07</v>
      </c>
      <c r="J526" s="4">
        <v>1</v>
      </c>
      <c r="K526" s="12">
        <v>38245.5933</v>
      </c>
      <c r="N526">
        <v>371</v>
      </c>
      <c r="O526">
        <v>10413.896654882132</v>
      </c>
      <c r="P526">
        <v>3001.141445117868</v>
      </c>
    </row>
    <row r="527" spans="1:16" x14ac:dyDescent="0.25">
      <c r="A527" s="4" t="s">
        <v>7</v>
      </c>
      <c r="B527" s="4">
        <f>ROUND(Table13_1[[#This Row],[bmi]],1)</f>
        <v>33.9</v>
      </c>
      <c r="C527" s="4" t="str" cm="1">
        <f t="array" ref="C527">_xlfn.IFS(Table13_1[[#This Row],[Round BMI]]&lt;18.5,"Underweight",AND(Table13_1[[#This Row],[Round BMI]]&gt;=18.5,Table13_1[[#This Row],[Round BMI]] &lt;=24.9),"Healthy Weight",AND(Table13_1[[#This Row],[Round BMI]]&gt;=25,Table13_1[[#This Row],[Round BMI]]&lt;=29.9),"Overweight",Table13_1[[#This Row],[Round BMI]]&gt;=30,"Obese")</f>
        <v>Obese</v>
      </c>
      <c r="D527" s="4" t="s">
        <v>11</v>
      </c>
      <c r="E527" s="4" t="str">
        <f>IF(Table13_1[[#This Row],[smoker]]="yes","smoker","non-smoker")</f>
        <v>non-smoker</v>
      </c>
      <c r="F527" s="4" t="s">
        <v>12</v>
      </c>
      <c r="G527" s="5">
        <v>18</v>
      </c>
      <c r="H527" s="5">
        <f>IF(Table13_1[[#This Row],[smoker]]="yes",1,0)</f>
        <v>0</v>
      </c>
      <c r="I527" s="4">
        <v>33.880000000000003</v>
      </c>
      <c r="J527" s="4">
        <v>0</v>
      </c>
      <c r="K527" s="12">
        <v>11482.6348</v>
      </c>
      <c r="N527">
        <v>372</v>
      </c>
      <c r="O527">
        <v>9749.4092247996887</v>
      </c>
      <c r="P527">
        <v>2279.8774752003119</v>
      </c>
    </row>
    <row r="528" spans="1:16" x14ac:dyDescent="0.25">
      <c r="A528" s="4" t="s">
        <v>7</v>
      </c>
      <c r="B528" s="4">
        <f>ROUND(Table13_1[[#This Row],[bmi]],1)</f>
        <v>30.6</v>
      </c>
      <c r="C528" s="4" t="str" cm="1">
        <f t="array" ref="C528">_xlfn.IFS(Table13_1[[#This Row],[Round BMI]]&lt;18.5,"Underweight",AND(Table13_1[[#This Row],[Round BMI]]&gt;=18.5,Table13_1[[#This Row],[Round BMI]] &lt;=24.9),"Healthy Weight",AND(Table13_1[[#This Row],[Round BMI]]&gt;=25,Table13_1[[#This Row],[Round BMI]]&lt;=29.9),"Overweight",Table13_1[[#This Row],[Round BMI]]&gt;=30,"Obese")</f>
        <v>Obese</v>
      </c>
      <c r="D528" s="4" t="s">
        <v>11</v>
      </c>
      <c r="E528" s="4" t="str">
        <f>IF(Table13_1[[#This Row],[smoker]]="yes","smoker","non-smoker")</f>
        <v>non-smoker</v>
      </c>
      <c r="F528" s="4" t="s">
        <v>13</v>
      </c>
      <c r="G528" s="5">
        <v>19</v>
      </c>
      <c r="H528" s="5">
        <f>IF(Table13_1[[#This Row],[smoker]]="yes",1,0)</f>
        <v>0</v>
      </c>
      <c r="I528" s="4">
        <v>30.59</v>
      </c>
      <c r="J528" s="4">
        <v>2</v>
      </c>
      <c r="K528" s="12">
        <v>24059.680199999999</v>
      </c>
      <c r="N528">
        <v>373</v>
      </c>
      <c r="O528">
        <v>9871.3955064304228</v>
      </c>
      <c r="P528">
        <v>-2231.9781064304225</v>
      </c>
    </row>
    <row r="529" spans="1:16" x14ac:dyDescent="0.25">
      <c r="A529" s="4" t="s">
        <v>7</v>
      </c>
      <c r="B529" s="4">
        <f>ROUND(Table13_1[[#This Row],[bmi]],1)</f>
        <v>25.8</v>
      </c>
      <c r="C529" s="4" t="str" cm="1">
        <f t="array" ref="C529">_xlfn.IFS(Table13_1[[#This Row],[Round BMI]]&lt;18.5,"Underweight",AND(Table13_1[[#This Row],[Round BMI]]&gt;=18.5,Table13_1[[#This Row],[Round BMI]] &lt;=24.9),"Healthy Weight",AND(Table13_1[[#This Row],[Round BMI]]&gt;=25,Table13_1[[#This Row],[Round BMI]]&lt;=29.9),"Overweight",Table13_1[[#This Row],[Round BMI]]&gt;=30,"Obese")</f>
        <v>Overweight</v>
      </c>
      <c r="D529" s="4" t="s">
        <v>11</v>
      </c>
      <c r="E529" s="4" t="str">
        <f>IF(Table13_1[[#This Row],[smoker]]="yes","smoker","non-smoker")</f>
        <v>non-smoker</v>
      </c>
      <c r="F529" s="4" t="s">
        <v>9</v>
      </c>
      <c r="G529" s="5">
        <v>51</v>
      </c>
      <c r="H529" s="5">
        <f>IF(Table13_1[[#This Row],[smoker]]="yes",1,0)</f>
        <v>0</v>
      </c>
      <c r="I529" s="4">
        <v>25.8</v>
      </c>
      <c r="J529" s="4">
        <v>1</v>
      </c>
      <c r="K529" s="12">
        <v>9861.0249999999996</v>
      </c>
      <c r="N529">
        <v>374</v>
      </c>
      <c r="O529">
        <v>29948.633442981565</v>
      </c>
      <c r="P529">
        <v>6136.5855570184322</v>
      </c>
    </row>
    <row r="530" spans="1:16" x14ac:dyDescent="0.25">
      <c r="A530" s="4" t="s">
        <v>10</v>
      </c>
      <c r="B530" s="4">
        <f>ROUND(Table13_1[[#This Row],[bmi]],1)</f>
        <v>39.4</v>
      </c>
      <c r="C530" s="4" t="str" cm="1">
        <f t="array" ref="C530">_xlfn.IFS(Table13_1[[#This Row],[Round BMI]]&lt;18.5,"Underweight",AND(Table13_1[[#This Row],[Round BMI]]&gt;=18.5,Table13_1[[#This Row],[Round BMI]] &lt;=24.9),"Healthy Weight",AND(Table13_1[[#This Row],[Round BMI]]&gt;=25,Table13_1[[#This Row],[Round BMI]]&lt;=29.9),"Overweight",Table13_1[[#This Row],[Round BMI]]&gt;=30,"Obese")</f>
        <v>Obese</v>
      </c>
      <c r="D530" s="4" t="s">
        <v>11</v>
      </c>
      <c r="E530" s="4" t="str">
        <f>IF(Table13_1[[#This Row],[smoker]]="yes","smoker","non-smoker")</f>
        <v>non-smoker</v>
      </c>
      <c r="F530" s="4" t="s">
        <v>14</v>
      </c>
      <c r="G530" s="5">
        <v>46</v>
      </c>
      <c r="H530" s="5">
        <f>IF(Table13_1[[#This Row],[smoker]]="yes",1,0)</f>
        <v>0</v>
      </c>
      <c r="I530" s="4">
        <v>39.424999999999997</v>
      </c>
      <c r="J530" s="4">
        <v>1</v>
      </c>
      <c r="K530" s="12">
        <v>8342.9087999999992</v>
      </c>
      <c r="N530">
        <v>375</v>
      </c>
      <c r="O530">
        <v>3781.5280251139793</v>
      </c>
      <c r="P530">
        <v>-2389.9993251139795</v>
      </c>
    </row>
    <row r="531" spans="1:16" x14ac:dyDescent="0.25">
      <c r="A531" s="4" t="s">
        <v>10</v>
      </c>
      <c r="B531" s="4">
        <f>ROUND(Table13_1[[#This Row],[bmi]],1)</f>
        <v>25.5</v>
      </c>
      <c r="C531" s="4" t="str" cm="1">
        <f t="array" ref="C531">_xlfn.IFS(Table13_1[[#This Row],[Round BMI]]&lt;18.5,"Underweight",AND(Table13_1[[#This Row],[Round BMI]]&gt;=18.5,Table13_1[[#This Row],[Round BMI]] &lt;=24.9),"Healthy Weight",AND(Table13_1[[#This Row],[Round BMI]]&gt;=25,Table13_1[[#This Row],[Round BMI]]&lt;=29.9),"Overweight",Table13_1[[#This Row],[Round BMI]]&gt;=30,"Obese")</f>
        <v>Overweight</v>
      </c>
      <c r="D531" s="4" t="s">
        <v>11</v>
      </c>
      <c r="E531" s="4" t="str">
        <f>IF(Table13_1[[#This Row],[smoker]]="yes","smoker","non-smoker")</f>
        <v>non-smoker</v>
      </c>
      <c r="F531" s="4" t="s">
        <v>14</v>
      </c>
      <c r="G531" s="5">
        <v>18</v>
      </c>
      <c r="H531" s="5">
        <f>IF(Table13_1[[#This Row],[smoker]]="yes",1,0)</f>
        <v>0</v>
      </c>
      <c r="I531" s="4">
        <v>25.46</v>
      </c>
      <c r="J531" s="4">
        <v>0</v>
      </c>
      <c r="K531" s="12">
        <v>1708.0014000000001</v>
      </c>
      <c r="N531">
        <v>376</v>
      </c>
      <c r="O531">
        <v>26750.782350857684</v>
      </c>
      <c r="P531">
        <v>-8716.8144508576843</v>
      </c>
    </row>
    <row r="532" spans="1:16" x14ac:dyDescent="0.25">
      <c r="A532" s="4" t="s">
        <v>10</v>
      </c>
      <c r="B532" s="4">
        <f>ROUND(Table13_1[[#This Row],[bmi]],1)</f>
        <v>42.1</v>
      </c>
      <c r="C532" s="4" t="str" cm="1">
        <f t="array" ref="C532">_xlfn.IFS(Table13_1[[#This Row],[Round BMI]]&lt;18.5,"Underweight",AND(Table13_1[[#This Row],[Round BMI]]&gt;=18.5,Table13_1[[#This Row],[Round BMI]] &lt;=24.9),"Healthy Weight",AND(Table13_1[[#This Row],[Round BMI]]&gt;=25,Table13_1[[#This Row],[Round BMI]]&lt;=29.9),"Overweight",Table13_1[[#This Row],[Round BMI]]&gt;=30,"Obese")</f>
        <v>Obese</v>
      </c>
      <c r="D532" s="4" t="s">
        <v>8</v>
      </c>
      <c r="E532" s="4" t="str">
        <f>IF(Table13_1[[#This Row],[smoker]]="yes","smoker","non-smoker")</f>
        <v>smoker</v>
      </c>
      <c r="F532" s="4" t="s">
        <v>12</v>
      </c>
      <c r="G532" s="5">
        <v>57</v>
      </c>
      <c r="H532" s="5">
        <f>IF(Table13_1[[#This Row],[smoker]]="yes",1,0)</f>
        <v>1</v>
      </c>
      <c r="I532" s="4">
        <v>42.13</v>
      </c>
      <c r="J532" s="4">
        <v>1</v>
      </c>
      <c r="K532" s="12">
        <v>48675.517699999997</v>
      </c>
      <c r="N532">
        <v>377</v>
      </c>
      <c r="O532">
        <v>31196.149617063904</v>
      </c>
      <c r="P532">
        <v>-9536.2195170639025</v>
      </c>
    </row>
    <row r="533" spans="1:16" x14ac:dyDescent="0.25">
      <c r="A533" s="4" t="s">
        <v>7</v>
      </c>
      <c r="B533" s="4">
        <f>ROUND(Table13_1[[#This Row],[bmi]],1)</f>
        <v>31.7</v>
      </c>
      <c r="C533" s="4" t="str" cm="1">
        <f t="array" ref="C533">_xlfn.IFS(Table13_1[[#This Row],[Round BMI]]&lt;18.5,"Underweight",AND(Table13_1[[#This Row],[Round BMI]]&gt;=18.5,Table13_1[[#This Row],[Round BMI]] &lt;=24.9),"Healthy Weight",AND(Table13_1[[#This Row],[Round BMI]]&gt;=25,Table13_1[[#This Row],[Round BMI]]&lt;=29.9),"Overweight",Table13_1[[#This Row],[Round BMI]]&gt;=30,"Obese")</f>
        <v>Obese</v>
      </c>
      <c r="D533" s="4" t="s">
        <v>11</v>
      </c>
      <c r="E533" s="4" t="str">
        <f>IF(Table13_1[[#This Row],[smoker]]="yes","smoker","non-smoker")</f>
        <v>non-smoker</v>
      </c>
      <c r="F533" s="4" t="s">
        <v>14</v>
      </c>
      <c r="G533" s="5">
        <v>62</v>
      </c>
      <c r="H533" s="5">
        <f>IF(Table13_1[[#This Row],[smoker]]="yes",1,0)</f>
        <v>0</v>
      </c>
      <c r="I533" s="4">
        <v>31.73</v>
      </c>
      <c r="J533" s="4">
        <v>0</v>
      </c>
      <c r="K533" s="12">
        <v>14043.476699999999</v>
      </c>
      <c r="N533">
        <v>378</v>
      </c>
      <c r="O533">
        <v>30819.352467827994</v>
      </c>
      <c r="P533">
        <v>7306.8940321720074</v>
      </c>
    </row>
    <row r="534" spans="1:16" x14ac:dyDescent="0.25">
      <c r="A534" s="4" t="s">
        <v>10</v>
      </c>
      <c r="B534" s="4">
        <f>ROUND(Table13_1[[#This Row],[bmi]],1)</f>
        <v>29.7</v>
      </c>
      <c r="C534" s="4" t="str" cm="1">
        <f t="array" ref="C534">_xlfn.IFS(Table13_1[[#This Row],[Round BMI]]&lt;18.5,"Underweight",AND(Table13_1[[#This Row],[Round BMI]]&gt;=18.5,Table13_1[[#This Row],[Round BMI]] &lt;=24.9),"Healthy Weight",AND(Table13_1[[#This Row],[Round BMI]]&gt;=25,Table13_1[[#This Row],[Round BMI]]&lt;=29.9),"Overweight",Table13_1[[#This Row],[Round BMI]]&gt;=30,"Obese")</f>
        <v>Overweight</v>
      </c>
      <c r="D534" s="4" t="s">
        <v>11</v>
      </c>
      <c r="E534" s="4" t="str">
        <f>IF(Table13_1[[#This Row],[smoker]]="yes","smoker","non-smoker")</f>
        <v>non-smoker</v>
      </c>
      <c r="F534" s="4" t="s">
        <v>12</v>
      </c>
      <c r="G534" s="5">
        <v>59</v>
      </c>
      <c r="H534" s="5">
        <f>IF(Table13_1[[#This Row],[smoker]]="yes",1,0)</f>
        <v>0</v>
      </c>
      <c r="I534" s="4">
        <v>29.7</v>
      </c>
      <c r="J534" s="4">
        <v>2</v>
      </c>
      <c r="K534" s="12">
        <v>12925.886</v>
      </c>
      <c r="N534">
        <v>379</v>
      </c>
      <c r="O534">
        <v>15512.661034152612</v>
      </c>
      <c r="P534">
        <v>943.04676584738809</v>
      </c>
    </row>
    <row r="535" spans="1:16" x14ac:dyDescent="0.25">
      <c r="A535" s="4" t="s">
        <v>10</v>
      </c>
      <c r="B535" s="4">
        <f>ROUND(Table13_1[[#This Row],[bmi]],1)</f>
        <v>36.200000000000003</v>
      </c>
      <c r="C535" s="4" t="str" cm="1">
        <f t="array" ref="C535">_xlfn.IFS(Table13_1[[#This Row],[Round BMI]]&lt;18.5,"Underweight",AND(Table13_1[[#This Row],[Round BMI]]&gt;=18.5,Table13_1[[#This Row],[Round BMI]] &lt;=24.9),"Healthy Weight",AND(Table13_1[[#This Row],[Round BMI]]&gt;=25,Table13_1[[#This Row],[Round BMI]]&lt;=29.9),"Overweight",Table13_1[[#This Row],[Round BMI]]&gt;=30,"Obese")</f>
        <v>Obese</v>
      </c>
      <c r="D535" s="4" t="s">
        <v>11</v>
      </c>
      <c r="E535" s="4" t="str">
        <f>IF(Table13_1[[#This Row],[smoker]]="yes","smoker","non-smoker")</f>
        <v>non-smoker</v>
      </c>
      <c r="F535" s="4" t="s">
        <v>12</v>
      </c>
      <c r="G535" s="5">
        <v>37</v>
      </c>
      <c r="H535" s="5">
        <f>IF(Table13_1[[#This Row],[smoker]]="yes",1,0)</f>
        <v>0</v>
      </c>
      <c r="I535" s="4">
        <v>36.19</v>
      </c>
      <c r="J535" s="4">
        <v>0</v>
      </c>
      <c r="K535" s="12">
        <v>19214.7055</v>
      </c>
      <c r="N535">
        <v>380</v>
      </c>
      <c r="O535">
        <v>14482.847525221687</v>
      </c>
      <c r="P535">
        <v>12518.137174778314</v>
      </c>
    </row>
    <row r="536" spans="1:16" x14ac:dyDescent="0.25">
      <c r="A536" s="4" t="s">
        <v>10</v>
      </c>
      <c r="B536" s="4">
        <f>ROUND(Table13_1[[#This Row],[bmi]],1)</f>
        <v>40.5</v>
      </c>
      <c r="C536" s="4" t="str" cm="1">
        <f t="array" ref="C536">_xlfn.IFS(Table13_1[[#This Row],[Round BMI]]&lt;18.5,"Underweight",AND(Table13_1[[#This Row],[Round BMI]]&gt;=18.5,Table13_1[[#This Row],[Round BMI]] &lt;=24.9),"Healthy Weight",AND(Table13_1[[#This Row],[Round BMI]]&gt;=25,Table13_1[[#This Row],[Round BMI]]&lt;=29.9),"Overweight",Table13_1[[#This Row],[Round BMI]]&gt;=30,"Obese")</f>
        <v>Obese</v>
      </c>
      <c r="D536" s="4" t="s">
        <v>11</v>
      </c>
      <c r="E536" s="4" t="str">
        <f>IF(Table13_1[[#This Row],[smoker]]="yes","smoker","non-smoker")</f>
        <v>non-smoker</v>
      </c>
      <c r="F536" s="4" t="s">
        <v>12</v>
      </c>
      <c r="G536" s="5">
        <v>64</v>
      </c>
      <c r="H536" s="5">
        <f>IF(Table13_1[[#This Row],[smoker]]="yes",1,0)</f>
        <v>0</v>
      </c>
      <c r="I536" s="4">
        <v>40.479999999999997</v>
      </c>
      <c r="J536" s="4">
        <v>0</v>
      </c>
      <c r="K536" s="12">
        <v>13831.1152</v>
      </c>
      <c r="N536">
        <v>381</v>
      </c>
      <c r="O536">
        <v>25396.413734850001</v>
      </c>
      <c r="P536">
        <v>-10389.83433485</v>
      </c>
    </row>
    <row r="537" spans="1:16" x14ac:dyDescent="0.25">
      <c r="A537" s="4" t="s">
        <v>10</v>
      </c>
      <c r="B537" s="4">
        <f>ROUND(Table13_1[[#This Row],[bmi]],1)</f>
        <v>28</v>
      </c>
      <c r="C537" s="4" t="str" cm="1">
        <f t="array" ref="C537">_xlfn.IFS(Table13_1[[#This Row],[Round BMI]]&lt;18.5,"Underweight",AND(Table13_1[[#This Row],[Round BMI]]&gt;=18.5,Table13_1[[#This Row],[Round BMI]] &lt;=24.9),"Healthy Weight",AND(Table13_1[[#This Row],[Round BMI]]&gt;=25,Table13_1[[#This Row],[Round BMI]]&lt;=29.9),"Overweight",Table13_1[[#This Row],[Round BMI]]&gt;=30,"Obese")</f>
        <v>Overweight</v>
      </c>
      <c r="D537" s="4" t="s">
        <v>11</v>
      </c>
      <c r="E537" s="4" t="str">
        <f>IF(Table13_1[[#This Row],[smoker]]="yes","smoker","non-smoker")</f>
        <v>non-smoker</v>
      </c>
      <c r="F537" s="4" t="s">
        <v>14</v>
      </c>
      <c r="G537" s="5">
        <v>38</v>
      </c>
      <c r="H537" s="5">
        <f>IF(Table13_1[[#This Row],[smoker]]="yes",1,0)</f>
        <v>0</v>
      </c>
      <c r="I537" s="4">
        <v>28.024999999999999</v>
      </c>
      <c r="J537" s="4">
        <v>1</v>
      </c>
      <c r="K537" s="12">
        <v>6067.1268</v>
      </c>
      <c r="N537">
        <v>382</v>
      </c>
      <c r="O537">
        <v>35766.363667176949</v>
      </c>
      <c r="P537">
        <v>6537.3285328230486</v>
      </c>
    </row>
    <row r="538" spans="1:16" x14ac:dyDescent="0.25">
      <c r="A538" s="4" t="s">
        <v>7</v>
      </c>
      <c r="B538" s="4">
        <f>ROUND(Table13_1[[#This Row],[bmi]],1)</f>
        <v>38.9</v>
      </c>
      <c r="C538" s="4" t="str" cm="1">
        <f t="array" ref="C538">_xlfn.IFS(Table13_1[[#This Row],[Round BMI]]&lt;18.5,"Underweight",AND(Table13_1[[#This Row],[Round BMI]]&gt;=18.5,Table13_1[[#This Row],[Round BMI]] &lt;=24.9),"Healthy Weight",AND(Table13_1[[#This Row],[Round BMI]]&gt;=25,Table13_1[[#This Row],[Round BMI]]&lt;=29.9),"Overweight",Table13_1[[#This Row],[Round BMI]]&gt;=30,"Obese")</f>
        <v>Obese</v>
      </c>
      <c r="D538" s="4" t="s">
        <v>11</v>
      </c>
      <c r="E538" s="4" t="str">
        <f>IF(Table13_1[[#This Row],[smoker]]="yes","smoker","non-smoker")</f>
        <v>non-smoker</v>
      </c>
      <c r="F538" s="4" t="s">
        <v>9</v>
      </c>
      <c r="G538" s="5">
        <v>33</v>
      </c>
      <c r="H538" s="5">
        <f>IF(Table13_1[[#This Row],[smoker]]="yes",1,0)</f>
        <v>0</v>
      </c>
      <c r="I538" s="4">
        <v>38.9</v>
      </c>
      <c r="J538" s="4">
        <v>3</v>
      </c>
      <c r="K538" s="12">
        <v>5972.3779999999997</v>
      </c>
      <c r="N538">
        <v>383</v>
      </c>
      <c r="O538">
        <v>12700.049818738837</v>
      </c>
      <c r="P538">
        <v>8081.4390812611637</v>
      </c>
    </row>
    <row r="539" spans="1:16" x14ac:dyDescent="0.25">
      <c r="A539" s="4" t="s">
        <v>7</v>
      </c>
      <c r="B539" s="4">
        <f>ROUND(Table13_1[[#This Row],[bmi]],1)</f>
        <v>30.2</v>
      </c>
      <c r="C539" s="4" t="str" cm="1">
        <f t="array" ref="C539">_xlfn.IFS(Table13_1[[#This Row],[Round BMI]]&lt;18.5,"Underweight",AND(Table13_1[[#This Row],[Round BMI]]&gt;=18.5,Table13_1[[#This Row],[Round BMI]] &lt;=24.9),"Healthy Weight",AND(Table13_1[[#This Row],[Round BMI]]&gt;=25,Table13_1[[#This Row],[Round BMI]]&lt;=29.9),"Overweight",Table13_1[[#This Row],[Round BMI]]&gt;=30,"Obese")</f>
        <v>Obese</v>
      </c>
      <c r="D539" s="4" t="s">
        <v>11</v>
      </c>
      <c r="E539" s="4" t="str">
        <f>IF(Table13_1[[#This Row],[smoker]]="yes","smoker","non-smoker")</f>
        <v>non-smoker</v>
      </c>
      <c r="F539" s="4" t="s">
        <v>9</v>
      </c>
      <c r="G539" s="5">
        <v>46</v>
      </c>
      <c r="H539" s="5">
        <f>IF(Table13_1[[#This Row],[smoker]]="yes",1,0)</f>
        <v>0</v>
      </c>
      <c r="I539" s="4">
        <v>30.2</v>
      </c>
      <c r="J539" s="4">
        <v>2</v>
      </c>
      <c r="K539" s="12">
        <v>8825.0859999999993</v>
      </c>
      <c r="N539">
        <v>384</v>
      </c>
      <c r="O539">
        <v>11818.007808601504</v>
      </c>
      <c r="P539">
        <v>-5971.0902086015039</v>
      </c>
    </row>
    <row r="540" spans="1:16" x14ac:dyDescent="0.25">
      <c r="A540" s="4" t="s">
        <v>7</v>
      </c>
      <c r="B540" s="4">
        <f>ROUND(Table13_1[[#This Row],[bmi]],1)</f>
        <v>28.1</v>
      </c>
      <c r="C540" s="4" t="str" cm="1">
        <f t="array" ref="C540">_xlfn.IFS(Table13_1[[#This Row],[Round BMI]]&lt;18.5,"Underweight",AND(Table13_1[[#This Row],[Round BMI]]&gt;=18.5,Table13_1[[#This Row],[Round BMI]] &lt;=24.9),"Healthy Weight",AND(Table13_1[[#This Row],[Round BMI]]&gt;=25,Table13_1[[#This Row],[Round BMI]]&lt;=29.9),"Overweight",Table13_1[[#This Row],[Round BMI]]&gt;=30,"Obese")</f>
        <v>Overweight</v>
      </c>
      <c r="D540" s="4" t="s">
        <v>11</v>
      </c>
      <c r="E540" s="4" t="str">
        <f>IF(Table13_1[[#This Row],[smoker]]="yes","smoker","non-smoker")</f>
        <v>non-smoker</v>
      </c>
      <c r="F540" s="4" t="s">
        <v>12</v>
      </c>
      <c r="G540" s="5">
        <v>46</v>
      </c>
      <c r="H540" s="5">
        <f>IF(Table13_1[[#This Row],[smoker]]="yes",1,0)</f>
        <v>0</v>
      </c>
      <c r="I540" s="4">
        <v>28.05</v>
      </c>
      <c r="J540" s="4">
        <v>1</v>
      </c>
      <c r="K540" s="12">
        <v>8233.0974999999999</v>
      </c>
      <c r="N540">
        <v>385</v>
      </c>
      <c r="O540">
        <v>7313.7943773267953</v>
      </c>
      <c r="P540">
        <v>988.74122267320399</v>
      </c>
    </row>
    <row r="541" spans="1:16" x14ac:dyDescent="0.25">
      <c r="A541" s="4" t="s">
        <v>10</v>
      </c>
      <c r="B541" s="4">
        <f>ROUND(Table13_1[[#This Row],[bmi]],1)</f>
        <v>31.4</v>
      </c>
      <c r="C541" s="4" t="str" cm="1">
        <f t="array" ref="C541">_xlfn.IFS(Table13_1[[#This Row],[Round BMI]]&lt;18.5,"Underweight",AND(Table13_1[[#This Row],[Round BMI]]&gt;=18.5,Table13_1[[#This Row],[Round BMI]] &lt;=24.9),"Healthy Weight",AND(Table13_1[[#This Row],[Round BMI]]&gt;=25,Table13_1[[#This Row],[Round BMI]]&lt;=29.9),"Overweight",Table13_1[[#This Row],[Round BMI]]&gt;=30,"Obese")</f>
        <v>Obese</v>
      </c>
      <c r="D541" s="4" t="s">
        <v>11</v>
      </c>
      <c r="E541" s="4" t="str">
        <f>IF(Table13_1[[#This Row],[smoker]]="yes","smoker","non-smoker")</f>
        <v>non-smoker</v>
      </c>
      <c r="F541" s="4" t="s">
        <v>12</v>
      </c>
      <c r="G541" s="5">
        <v>53</v>
      </c>
      <c r="H541" s="5">
        <f>IF(Table13_1[[#This Row],[smoker]]="yes",1,0)</f>
        <v>0</v>
      </c>
      <c r="I541" s="4">
        <v>31.35</v>
      </c>
      <c r="J541" s="4">
        <v>0</v>
      </c>
      <c r="K541" s="12">
        <v>27346.042099999999</v>
      </c>
      <c r="N541">
        <v>386</v>
      </c>
      <c r="O541">
        <v>3868.0595188237212</v>
      </c>
      <c r="P541">
        <v>-2606.2005188237213</v>
      </c>
    </row>
    <row r="542" spans="1:16" x14ac:dyDescent="0.25">
      <c r="A542" s="4" t="s">
        <v>7</v>
      </c>
      <c r="B542" s="4">
        <f>ROUND(Table13_1[[#This Row],[bmi]],1)</f>
        <v>38</v>
      </c>
      <c r="C542" s="4" t="str" cm="1">
        <f t="array" ref="C542">_xlfn.IFS(Table13_1[[#This Row],[Round BMI]]&lt;18.5,"Underweight",AND(Table13_1[[#This Row],[Round BMI]]&gt;=18.5,Table13_1[[#This Row],[Round BMI]] &lt;=24.9),"Healthy Weight",AND(Table13_1[[#This Row],[Round BMI]]&gt;=25,Table13_1[[#This Row],[Round BMI]]&lt;=29.9),"Overweight",Table13_1[[#This Row],[Round BMI]]&gt;=30,"Obese")</f>
        <v>Obese</v>
      </c>
      <c r="D542" s="4" t="s">
        <v>11</v>
      </c>
      <c r="E542" s="4" t="str">
        <f>IF(Table13_1[[#This Row],[smoker]]="yes","smoker","non-smoker")</f>
        <v>non-smoker</v>
      </c>
      <c r="F542" s="4" t="s">
        <v>9</v>
      </c>
      <c r="G542" s="5">
        <v>34</v>
      </c>
      <c r="H542" s="5">
        <f>IF(Table13_1[[#This Row],[smoker]]="yes",1,0)</f>
        <v>0</v>
      </c>
      <c r="I542" s="4">
        <v>38</v>
      </c>
      <c r="J542" s="4">
        <v>3</v>
      </c>
      <c r="K542" s="12">
        <v>6196.4480000000003</v>
      </c>
      <c r="N542">
        <v>387</v>
      </c>
      <c r="O542">
        <v>15420.79932791924</v>
      </c>
      <c r="P542">
        <v>-3564.3878279192395</v>
      </c>
    </row>
    <row r="543" spans="1:16" x14ac:dyDescent="0.25">
      <c r="A543" s="4" t="s">
        <v>7</v>
      </c>
      <c r="B543" s="4">
        <f>ROUND(Table13_1[[#This Row],[bmi]],1)</f>
        <v>31.8</v>
      </c>
      <c r="C543" s="4" t="str" cm="1">
        <f t="array" ref="C543">_xlfn.IFS(Table13_1[[#This Row],[Round BMI]]&lt;18.5,"Underweight",AND(Table13_1[[#This Row],[Round BMI]]&gt;=18.5,Table13_1[[#This Row],[Round BMI]] &lt;=24.9),"Healthy Weight",AND(Table13_1[[#This Row],[Round BMI]]&gt;=25,Table13_1[[#This Row],[Round BMI]]&lt;=29.9),"Overweight",Table13_1[[#This Row],[Round BMI]]&gt;=30,"Obese")</f>
        <v>Obese</v>
      </c>
      <c r="D543" s="4" t="s">
        <v>11</v>
      </c>
      <c r="E543" s="4" t="str">
        <f>IF(Table13_1[[#This Row],[smoker]]="yes","smoker","non-smoker")</f>
        <v>non-smoker</v>
      </c>
      <c r="F543" s="4" t="s">
        <v>12</v>
      </c>
      <c r="G543" s="5">
        <v>20</v>
      </c>
      <c r="H543" s="5">
        <f>IF(Table13_1[[#This Row],[smoker]]="yes",1,0)</f>
        <v>0</v>
      </c>
      <c r="I543" s="4">
        <v>31.79</v>
      </c>
      <c r="J543" s="4">
        <v>2</v>
      </c>
      <c r="K543" s="12">
        <v>3056.3881000000001</v>
      </c>
      <c r="N543">
        <v>388</v>
      </c>
      <c r="O543">
        <v>9900.4714524860447</v>
      </c>
      <c r="P543">
        <v>20384.171447513952</v>
      </c>
    </row>
    <row r="544" spans="1:16" x14ac:dyDescent="0.25">
      <c r="A544" s="4" t="s">
        <v>7</v>
      </c>
      <c r="B544" s="4">
        <f>ROUND(Table13_1[[#This Row],[bmi]],1)</f>
        <v>36.299999999999997</v>
      </c>
      <c r="C544" s="4" t="str" cm="1">
        <f t="array" ref="C544">_xlfn.IFS(Table13_1[[#This Row],[Round BMI]]&lt;18.5,"Underweight",AND(Table13_1[[#This Row],[Round BMI]]&gt;=18.5,Table13_1[[#This Row],[Round BMI]] &lt;=24.9),"Healthy Weight",AND(Table13_1[[#This Row],[Round BMI]]&gt;=25,Table13_1[[#This Row],[Round BMI]]&lt;=29.9),"Overweight",Table13_1[[#This Row],[Round BMI]]&gt;=30,"Obese")</f>
        <v>Obese</v>
      </c>
      <c r="D544" s="4" t="s">
        <v>11</v>
      </c>
      <c r="E544" s="4" t="str">
        <f>IF(Table13_1[[#This Row],[smoker]]="yes","smoker","non-smoker")</f>
        <v>non-smoker</v>
      </c>
      <c r="F544" s="4" t="s">
        <v>12</v>
      </c>
      <c r="G544" s="5">
        <v>63</v>
      </c>
      <c r="H544" s="5">
        <f>IF(Table13_1[[#This Row],[smoker]]="yes",1,0)</f>
        <v>0</v>
      </c>
      <c r="I544" s="4">
        <v>36.299999999999997</v>
      </c>
      <c r="J544" s="4">
        <v>0</v>
      </c>
      <c r="K544" s="12">
        <v>13887.204</v>
      </c>
      <c r="N544">
        <v>389</v>
      </c>
      <c r="O544">
        <v>1878.3780306383169</v>
      </c>
      <c r="P544">
        <v>1298.4378693616832</v>
      </c>
    </row>
    <row r="545" spans="1:16" x14ac:dyDescent="0.25">
      <c r="A545" s="4" t="s">
        <v>7</v>
      </c>
      <c r="B545" s="4">
        <f>ROUND(Table13_1[[#This Row],[bmi]],1)</f>
        <v>47.4</v>
      </c>
      <c r="C545" s="4" t="str" cm="1">
        <f t="array" ref="C545">_xlfn.IFS(Table13_1[[#This Row],[Round BMI]]&lt;18.5,"Underweight",AND(Table13_1[[#This Row],[Round BMI]]&gt;=18.5,Table13_1[[#This Row],[Round BMI]] &lt;=24.9),"Healthy Weight",AND(Table13_1[[#This Row],[Round BMI]]&gt;=25,Table13_1[[#This Row],[Round BMI]]&lt;=29.9),"Overweight",Table13_1[[#This Row],[Round BMI]]&gt;=30,"Obese")</f>
        <v>Obese</v>
      </c>
      <c r="D545" s="4" t="s">
        <v>8</v>
      </c>
      <c r="E545" s="4" t="str">
        <f>IF(Table13_1[[#This Row],[smoker]]="yes","smoker","non-smoker")</f>
        <v>smoker</v>
      </c>
      <c r="F545" s="4" t="s">
        <v>12</v>
      </c>
      <c r="G545" s="5">
        <v>54</v>
      </c>
      <c r="H545" s="5">
        <f>IF(Table13_1[[#This Row],[smoker]]="yes",1,0)</f>
        <v>1</v>
      </c>
      <c r="I545" s="4">
        <v>47.41</v>
      </c>
      <c r="J545" s="4">
        <v>0</v>
      </c>
      <c r="K545" s="12">
        <v>63770.428</v>
      </c>
      <c r="N545">
        <v>390</v>
      </c>
      <c r="O545">
        <v>5229.2566242082903</v>
      </c>
      <c r="P545">
        <v>-611.17672420829058</v>
      </c>
    </row>
    <row r="546" spans="1:16" x14ac:dyDescent="0.25">
      <c r="A546" s="4" t="s">
        <v>10</v>
      </c>
      <c r="B546" s="4">
        <f>ROUND(Table13_1[[#This Row],[bmi]],1)</f>
        <v>30.2</v>
      </c>
      <c r="C546" s="4" t="str" cm="1">
        <f t="array" ref="C546">_xlfn.IFS(Table13_1[[#This Row],[Round BMI]]&lt;18.5,"Underweight",AND(Table13_1[[#This Row],[Round BMI]]&gt;=18.5,Table13_1[[#This Row],[Round BMI]] &lt;=24.9),"Healthy Weight",AND(Table13_1[[#This Row],[Round BMI]]&gt;=25,Table13_1[[#This Row],[Round BMI]]&lt;=29.9),"Overweight",Table13_1[[#This Row],[Round BMI]]&gt;=30,"Obese")</f>
        <v>Obese</v>
      </c>
      <c r="D546" s="4" t="s">
        <v>11</v>
      </c>
      <c r="E546" s="4" t="str">
        <f>IF(Table13_1[[#This Row],[smoker]]="yes","smoker","non-smoker")</f>
        <v>non-smoker</v>
      </c>
      <c r="F546" s="4" t="s">
        <v>13</v>
      </c>
      <c r="G546" s="5">
        <v>54</v>
      </c>
      <c r="H546" s="5">
        <f>IF(Table13_1[[#This Row],[smoker]]="yes",1,0)</f>
        <v>0</v>
      </c>
      <c r="I546" s="4">
        <v>30.21</v>
      </c>
      <c r="J546" s="4">
        <v>0</v>
      </c>
      <c r="K546" s="12">
        <v>10231.499900000001</v>
      </c>
      <c r="N546">
        <v>391</v>
      </c>
      <c r="O546">
        <v>13633.972462067823</v>
      </c>
      <c r="P546">
        <v>-2897.101662067822</v>
      </c>
    </row>
    <row r="547" spans="1:16" x14ac:dyDescent="0.25">
      <c r="A547" s="4" t="s">
        <v>10</v>
      </c>
      <c r="B547" s="4">
        <f>ROUND(Table13_1[[#This Row],[bmi]],1)</f>
        <v>25.8</v>
      </c>
      <c r="C547" s="4" t="str" cm="1">
        <f t="array" ref="C547">_xlfn.IFS(Table13_1[[#This Row],[Round BMI]]&lt;18.5,"Underweight",AND(Table13_1[[#This Row],[Round BMI]]&gt;=18.5,Table13_1[[#This Row],[Round BMI]] &lt;=24.9),"Healthy Weight",AND(Table13_1[[#This Row],[Round BMI]]&gt;=25,Table13_1[[#This Row],[Round BMI]]&lt;=29.9),"Overweight",Table13_1[[#This Row],[Round BMI]]&gt;=30,"Obese")</f>
        <v>Overweight</v>
      </c>
      <c r="D547" s="4" t="s">
        <v>8</v>
      </c>
      <c r="E547" s="4" t="str">
        <f>IF(Table13_1[[#This Row],[smoker]]="yes","smoker","non-smoker")</f>
        <v>smoker</v>
      </c>
      <c r="F547" s="4" t="s">
        <v>13</v>
      </c>
      <c r="G547" s="5">
        <v>49</v>
      </c>
      <c r="H547" s="5">
        <f>IF(Table13_1[[#This Row],[smoker]]="yes",1,0)</f>
        <v>1</v>
      </c>
      <c r="I547" s="4">
        <v>25.84</v>
      </c>
      <c r="J547" s="4">
        <v>2</v>
      </c>
      <c r="K547" s="12">
        <v>23807.240600000001</v>
      </c>
      <c r="N547">
        <v>392</v>
      </c>
      <c r="O547">
        <v>4843.2692694325951</v>
      </c>
      <c r="P547">
        <v>-2705.1985694325949</v>
      </c>
    </row>
    <row r="548" spans="1:16" x14ac:dyDescent="0.25">
      <c r="A548" s="4" t="s">
        <v>10</v>
      </c>
      <c r="B548" s="4">
        <f>ROUND(Table13_1[[#This Row],[bmi]],1)</f>
        <v>35.4</v>
      </c>
      <c r="C548" s="4" t="str" cm="1">
        <f t="array" ref="C548">_xlfn.IFS(Table13_1[[#This Row],[Round BMI]]&lt;18.5,"Underweight",AND(Table13_1[[#This Row],[Round BMI]]&gt;=18.5,Table13_1[[#This Row],[Round BMI]] &lt;=24.9),"Healthy Weight",AND(Table13_1[[#This Row],[Round BMI]]&gt;=25,Table13_1[[#This Row],[Round BMI]]&lt;=29.9),"Overweight",Table13_1[[#This Row],[Round BMI]]&gt;=30,"Obese")</f>
        <v>Obese</v>
      </c>
      <c r="D548" s="4" t="s">
        <v>11</v>
      </c>
      <c r="E548" s="4" t="str">
        <f>IF(Table13_1[[#This Row],[smoker]]="yes","smoker","non-smoker")</f>
        <v>non-smoker</v>
      </c>
      <c r="F548" s="4" t="s">
        <v>14</v>
      </c>
      <c r="G548" s="5">
        <v>28</v>
      </c>
      <c r="H548" s="5">
        <f>IF(Table13_1[[#This Row],[smoker]]="yes",1,0)</f>
        <v>0</v>
      </c>
      <c r="I548" s="4">
        <v>35.435000000000002</v>
      </c>
      <c r="J548" s="4">
        <v>0</v>
      </c>
      <c r="K548" s="12">
        <v>3268.8465999999999</v>
      </c>
      <c r="N548">
        <v>393</v>
      </c>
      <c r="O548">
        <v>10868.126651554085</v>
      </c>
      <c r="P548">
        <v>-1904.066051554084</v>
      </c>
    </row>
    <row r="549" spans="1:16" x14ac:dyDescent="0.25">
      <c r="A549" s="4" t="s">
        <v>7</v>
      </c>
      <c r="B549" s="4">
        <f>ROUND(Table13_1[[#This Row],[bmi]],1)</f>
        <v>46.7</v>
      </c>
      <c r="C549" s="4" t="str" cm="1">
        <f t="array" ref="C549">_xlfn.IFS(Table13_1[[#This Row],[Round BMI]]&lt;18.5,"Underweight",AND(Table13_1[[#This Row],[Round BMI]]&gt;=18.5,Table13_1[[#This Row],[Round BMI]] &lt;=24.9),"Healthy Weight",AND(Table13_1[[#This Row],[Round BMI]]&gt;=25,Table13_1[[#This Row],[Round BMI]]&lt;=29.9),"Overweight",Table13_1[[#This Row],[Round BMI]]&gt;=30,"Obese")</f>
        <v>Obese</v>
      </c>
      <c r="D549" s="4" t="s">
        <v>11</v>
      </c>
      <c r="E549" s="4" t="str">
        <f>IF(Table13_1[[#This Row],[smoker]]="yes","smoker","non-smoker")</f>
        <v>non-smoker</v>
      </c>
      <c r="F549" s="4" t="s">
        <v>9</v>
      </c>
      <c r="G549" s="5">
        <v>54</v>
      </c>
      <c r="H549" s="5">
        <f>IF(Table13_1[[#This Row],[smoker]]="yes",1,0)</f>
        <v>0</v>
      </c>
      <c r="I549" s="4">
        <v>46.7</v>
      </c>
      <c r="J549" s="4">
        <v>2</v>
      </c>
      <c r="K549" s="12">
        <v>11538.421</v>
      </c>
      <c r="N549">
        <v>394</v>
      </c>
      <c r="O549">
        <v>11095.400275614526</v>
      </c>
      <c r="P549">
        <v>-1805.2607756145262</v>
      </c>
    </row>
    <row r="550" spans="1:16" x14ac:dyDescent="0.25">
      <c r="A550" s="4" t="s">
        <v>7</v>
      </c>
      <c r="B550" s="4">
        <f>ROUND(Table13_1[[#This Row],[bmi]],1)</f>
        <v>28.6</v>
      </c>
      <c r="C550" s="4" t="str" cm="1">
        <f t="array" ref="C550">_xlfn.IFS(Table13_1[[#This Row],[Round BMI]]&lt;18.5,"Underweight",AND(Table13_1[[#This Row],[Round BMI]]&gt;=18.5,Table13_1[[#This Row],[Round BMI]] &lt;=24.9),"Healthy Weight",AND(Table13_1[[#This Row],[Round BMI]]&gt;=25,Table13_1[[#This Row],[Round BMI]]&lt;=29.9),"Overweight",Table13_1[[#This Row],[Round BMI]]&gt;=30,"Obese")</f>
        <v>Overweight</v>
      </c>
      <c r="D550" s="4" t="s">
        <v>11</v>
      </c>
      <c r="E550" s="4" t="str">
        <f>IF(Table13_1[[#This Row],[smoker]]="yes","smoker","non-smoker")</f>
        <v>non-smoker</v>
      </c>
      <c r="F550" s="4" t="s">
        <v>14</v>
      </c>
      <c r="G550" s="5">
        <v>25</v>
      </c>
      <c r="H550" s="5">
        <f>IF(Table13_1[[#This Row],[smoker]]="yes",1,0)</f>
        <v>0</v>
      </c>
      <c r="I550" s="4">
        <v>28.594999999999999</v>
      </c>
      <c r="J550" s="4">
        <v>0</v>
      </c>
      <c r="K550" s="12">
        <v>3213.6219999999998</v>
      </c>
      <c r="N550">
        <v>395</v>
      </c>
      <c r="O550">
        <v>11101.11290186843</v>
      </c>
      <c r="P550">
        <v>-1690.1079018684304</v>
      </c>
    </row>
    <row r="551" spans="1:16" x14ac:dyDescent="0.25">
      <c r="A551" s="4" t="s">
        <v>7</v>
      </c>
      <c r="B551" s="4">
        <f>ROUND(Table13_1[[#This Row],[bmi]],1)</f>
        <v>46.2</v>
      </c>
      <c r="C551" s="4" t="str" cm="1">
        <f t="array" ref="C551">_xlfn.IFS(Table13_1[[#This Row],[Round BMI]]&lt;18.5,"Underweight",AND(Table13_1[[#This Row],[Round BMI]]&gt;=18.5,Table13_1[[#This Row],[Round BMI]] &lt;=24.9),"Healthy Weight",AND(Table13_1[[#This Row],[Round BMI]]&gt;=25,Table13_1[[#This Row],[Round BMI]]&lt;=29.9),"Overweight",Table13_1[[#This Row],[Round BMI]]&gt;=30,"Obese")</f>
        <v>Obese</v>
      </c>
      <c r="D551" s="4" t="s">
        <v>8</v>
      </c>
      <c r="E551" s="4" t="str">
        <f>IF(Table13_1[[#This Row],[smoker]]="yes","smoker","non-smoker")</f>
        <v>smoker</v>
      </c>
      <c r="F551" s="4" t="s">
        <v>12</v>
      </c>
      <c r="G551" s="5">
        <v>43</v>
      </c>
      <c r="H551" s="5">
        <f>IF(Table13_1[[#This Row],[smoker]]="yes",1,0)</f>
        <v>1</v>
      </c>
      <c r="I551" s="4">
        <v>46.2</v>
      </c>
      <c r="J551" s="4">
        <v>0</v>
      </c>
      <c r="K551" s="12">
        <v>45863.205000000002</v>
      </c>
      <c r="N551">
        <v>396</v>
      </c>
      <c r="O551">
        <v>6148.6675624178952</v>
      </c>
      <c r="P551">
        <v>1378.0388375821049</v>
      </c>
    </row>
    <row r="552" spans="1:16" x14ac:dyDescent="0.25">
      <c r="A552" s="4" t="s">
        <v>10</v>
      </c>
      <c r="B552" s="4">
        <f>ROUND(Table13_1[[#This Row],[bmi]],1)</f>
        <v>30.8</v>
      </c>
      <c r="C552" s="4" t="str" cm="1">
        <f t="array" ref="C552">_xlfn.IFS(Table13_1[[#This Row],[Round BMI]]&lt;18.5,"Underweight",AND(Table13_1[[#This Row],[Round BMI]]&gt;=18.5,Table13_1[[#This Row],[Round BMI]] &lt;=24.9),"Healthy Weight",AND(Table13_1[[#This Row],[Round BMI]]&gt;=25,Table13_1[[#This Row],[Round BMI]]&lt;=29.9),"Overweight",Table13_1[[#This Row],[Round BMI]]&gt;=30,"Obese")</f>
        <v>Obese</v>
      </c>
      <c r="D552" s="4" t="s">
        <v>11</v>
      </c>
      <c r="E552" s="4" t="str">
        <f>IF(Table13_1[[#This Row],[smoker]]="yes","smoker","non-smoker")</f>
        <v>non-smoker</v>
      </c>
      <c r="F552" s="4" t="s">
        <v>9</v>
      </c>
      <c r="G552" s="5">
        <v>63</v>
      </c>
      <c r="H552" s="5">
        <f>IF(Table13_1[[#This Row],[smoker]]="yes",1,0)</f>
        <v>0</v>
      </c>
      <c r="I552" s="4">
        <v>30.8</v>
      </c>
      <c r="J552" s="4">
        <v>0</v>
      </c>
      <c r="K552" s="12">
        <v>13390.558999999999</v>
      </c>
      <c r="N552">
        <v>397</v>
      </c>
      <c r="O552">
        <v>11476.954641389733</v>
      </c>
      <c r="P552">
        <v>-2954.9516413897327</v>
      </c>
    </row>
    <row r="553" spans="1:16" x14ac:dyDescent="0.25">
      <c r="A553" s="4" t="s">
        <v>7</v>
      </c>
      <c r="B553" s="4">
        <f>ROUND(Table13_1[[#This Row],[bmi]],1)</f>
        <v>28.9</v>
      </c>
      <c r="C553" s="4" t="str" cm="1">
        <f t="array" ref="C553">_xlfn.IFS(Table13_1[[#This Row],[Round BMI]]&lt;18.5,"Underweight",AND(Table13_1[[#This Row],[Round BMI]]&gt;=18.5,Table13_1[[#This Row],[Round BMI]] &lt;=24.9),"Healthy Weight",AND(Table13_1[[#This Row],[Round BMI]]&gt;=25,Table13_1[[#This Row],[Round BMI]]&lt;=29.9),"Overweight",Table13_1[[#This Row],[Round BMI]]&gt;=30,"Obese")</f>
        <v>Overweight</v>
      </c>
      <c r="D553" s="4" t="s">
        <v>11</v>
      </c>
      <c r="E553" s="4" t="str">
        <f>IF(Table13_1[[#This Row],[smoker]]="yes","smoker","non-smoker")</f>
        <v>non-smoker</v>
      </c>
      <c r="F553" s="4" t="s">
        <v>12</v>
      </c>
      <c r="G553" s="5">
        <v>32</v>
      </c>
      <c r="H553" s="5">
        <f>IF(Table13_1[[#This Row],[smoker]]="yes",1,0)</f>
        <v>0</v>
      </c>
      <c r="I553" s="4">
        <v>28.93</v>
      </c>
      <c r="J553" s="4">
        <v>0</v>
      </c>
      <c r="K553" s="12">
        <v>3972.9247</v>
      </c>
      <c r="N553">
        <v>398</v>
      </c>
      <c r="O553">
        <v>3295.9007918811349</v>
      </c>
      <c r="P553">
        <v>13290.596908118865</v>
      </c>
    </row>
    <row r="554" spans="1:16" x14ac:dyDescent="0.25">
      <c r="A554" s="4" t="s">
        <v>10</v>
      </c>
      <c r="B554" s="4">
        <f>ROUND(Table13_1[[#This Row],[bmi]],1)</f>
        <v>21.4</v>
      </c>
      <c r="C554" s="4" t="str" cm="1">
        <f t="array" ref="C554">_xlfn.IFS(Table13_1[[#This Row],[Round BMI]]&lt;18.5,"Underweight",AND(Table13_1[[#This Row],[Round BMI]]&gt;=18.5,Table13_1[[#This Row],[Round BMI]] &lt;=24.9),"Healthy Weight",AND(Table13_1[[#This Row],[Round BMI]]&gt;=25,Table13_1[[#This Row],[Round BMI]]&lt;=29.9),"Overweight",Table13_1[[#This Row],[Round BMI]]&gt;=30,"Obese")</f>
        <v>Healthy Weight</v>
      </c>
      <c r="D554" s="4" t="s">
        <v>11</v>
      </c>
      <c r="E554" s="4" t="str">
        <f>IF(Table13_1[[#This Row],[smoker]]="yes","smoker","non-smoker")</f>
        <v>non-smoker</v>
      </c>
      <c r="F554" s="4" t="s">
        <v>9</v>
      </c>
      <c r="G554" s="5">
        <v>62</v>
      </c>
      <c r="H554" s="5">
        <f>IF(Table13_1[[#This Row],[smoker]]="yes",1,0)</f>
        <v>0</v>
      </c>
      <c r="I554" s="4">
        <v>21.4</v>
      </c>
      <c r="J554" s="4">
        <v>0</v>
      </c>
      <c r="K554" s="12">
        <v>12957.118</v>
      </c>
      <c r="N554">
        <v>399</v>
      </c>
      <c r="O554">
        <v>13585.999634778715</v>
      </c>
      <c r="P554">
        <v>1402.4323652212861</v>
      </c>
    </row>
    <row r="555" spans="1:16" x14ac:dyDescent="0.25">
      <c r="A555" s="4" t="s">
        <v>7</v>
      </c>
      <c r="B555" s="4">
        <f>ROUND(Table13_1[[#This Row],[bmi]],1)</f>
        <v>31.7</v>
      </c>
      <c r="C555" s="4" t="str" cm="1">
        <f t="array" ref="C555">_xlfn.IFS(Table13_1[[#This Row],[Round BMI]]&lt;18.5,"Underweight",AND(Table13_1[[#This Row],[Round BMI]]&gt;=18.5,Table13_1[[#This Row],[Round BMI]] &lt;=24.9),"Healthy Weight",AND(Table13_1[[#This Row],[Round BMI]]&gt;=25,Table13_1[[#This Row],[Round BMI]]&lt;=29.9),"Overweight",Table13_1[[#This Row],[Round BMI]]&gt;=30,"Obese")</f>
        <v>Obese</v>
      </c>
      <c r="D555" s="4" t="s">
        <v>11</v>
      </c>
      <c r="E555" s="4" t="str">
        <f>IF(Table13_1[[#This Row],[smoker]]="yes","smoker","non-smoker")</f>
        <v>non-smoker</v>
      </c>
      <c r="F555" s="4" t="s">
        <v>13</v>
      </c>
      <c r="G555" s="5">
        <v>52</v>
      </c>
      <c r="H555" s="5">
        <f>IF(Table13_1[[#This Row],[smoker]]="yes",1,0)</f>
        <v>0</v>
      </c>
      <c r="I555" s="4">
        <v>31.73</v>
      </c>
      <c r="J555" s="4">
        <v>2</v>
      </c>
      <c r="K555" s="12">
        <v>11187.6567</v>
      </c>
      <c r="N555">
        <v>400</v>
      </c>
      <c r="O555">
        <v>4823.5898002047361</v>
      </c>
      <c r="P555">
        <v>-3191.9215002047358</v>
      </c>
    </row>
    <row r="556" spans="1:16" x14ac:dyDescent="0.25">
      <c r="A556" s="4" t="s">
        <v>7</v>
      </c>
      <c r="B556" s="4">
        <f>ROUND(Table13_1[[#This Row],[bmi]],1)</f>
        <v>41.3</v>
      </c>
      <c r="C556" s="4" t="str" cm="1">
        <f t="array" ref="C556">_xlfn.IFS(Table13_1[[#This Row],[Round BMI]]&lt;18.5,"Underweight",AND(Table13_1[[#This Row],[Round BMI]]&gt;=18.5,Table13_1[[#This Row],[Round BMI]] &lt;=24.9),"Healthy Weight",AND(Table13_1[[#This Row],[Round BMI]]&gt;=25,Table13_1[[#This Row],[Round BMI]]&lt;=29.9),"Overweight",Table13_1[[#This Row],[Round BMI]]&gt;=30,"Obese")</f>
        <v>Obese</v>
      </c>
      <c r="D556" s="4" t="s">
        <v>11</v>
      </c>
      <c r="E556" s="4" t="str">
        <f>IF(Table13_1[[#This Row],[smoker]]="yes","smoker","non-smoker")</f>
        <v>non-smoker</v>
      </c>
      <c r="F556" s="4" t="s">
        <v>14</v>
      </c>
      <c r="G556" s="5">
        <v>25</v>
      </c>
      <c r="H556" s="5">
        <f>IF(Table13_1[[#This Row],[smoker]]="yes",1,0)</f>
        <v>0</v>
      </c>
      <c r="I556" s="4">
        <v>41.325000000000003</v>
      </c>
      <c r="J556" s="4">
        <v>0</v>
      </c>
      <c r="K556" s="12">
        <v>17878.900699999998</v>
      </c>
      <c r="N556">
        <v>401</v>
      </c>
      <c r="O556">
        <v>7677.6943941863783</v>
      </c>
      <c r="P556">
        <v>1587.1026058136222</v>
      </c>
    </row>
    <row r="557" spans="1:16" x14ac:dyDescent="0.25">
      <c r="A557" s="4" t="s">
        <v>10</v>
      </c>
      <c r="B557" s="4">
        <f>ROUND(Table13_1[[#This Row],[bmi]],1)</f>
        <v>23.8</v>
      </c>
      <c r="C557" s="4" t="str" cm="1">
        <f t="array" ref="C557">_xlfn.IFS(Table13_1[[#This Row],[Round BMI]]&lt;18.5,"Underweight",AND(Table13_1[[#This Row],[Round BMI]]&gt;=18.5,Table13_1[[#This Row],[Round BMI]] &lt;=24.9),"Healthy Weight",AND(Table13_1[[#This Row],[Round BMI]]&gt;=25,Table13_1[[#This Row],[Round BMI]]&lt;=29.9),"Overweight",Table13_1[[#This Row],[Round BMI]]&gt;=30,"Obese")</f>
        <v>Healthy Weight</v>
      </c>
      <c r="D557" s="4" t="s">
        <v>11</v>
      </c>
      <c r="E557" s="4" t="str">
        <f>IF(Table13_1[[#This Row],[smoker]]="yes","smoker","non-smoker")</f>
        <v>non-smoker</v>
      </c>
      <c r="F557" s="4" t="s">
        <v>9</v>
      </c>
      <c r="G557" s="5">
        <v>28</v>
      </c>
      <c r="H557" s="5">
        <f>IF(Table13_1[[#This Row],[smoker]]="yes",1,0)</f>
        <v>0</v>
      </c>
      <c r="I557" s="4">
        <v>23.8</v>
      </c>
      <c r="J557" s="4">
        <v>2</v>
      </c>
      <c r="K557" s="12">
        <v>3847.674</v>
      </c>
      <c r="N557">
        <v>402</v>
      </c>
      <c r="O557">
        <v>15784.038444896221</v>
      </c>
      <c r="P557">
        <v>-7700.1186448962217</v>
      </c>
    </row>
    <row r="558" spans="1:16" x14ac:dyDescent="0.25">
      <c r="A558" s="4" t="s">
        <v>10</v>
      </c>
      <c r="B558" s="4">
        <f>ROUND(Table13_1[[#This Row],[bmi]],1)</f>
        <v>33.4</v>
      </c>
      <c r="C558" s="4" t="str" cm="1">
        <f t="array" ref="C558">_xlfn.IFS(Table13_1[[#This Row],[Round BMI]]&lt;18.5,"Underweight",AND(Table13_1[[#This Row],[Round BMI]]&gt;=18.5,Table13_1[[#This Row],[Round BMI]] &lt;=24.9),"Healthy Weight",AND(Table13_1[[#This Row],[Round BMI]]&gt;=25,Table13_1[[#This Row],[Round BMI]]&lt;=29.9),"Overweight",Table13_1[[#This Row],[Round BMI]]&gt;=30,"Obese")</f>
        <v>Obese</v>
      </c>
      <c r="D558" s="4" t="s">
        <v>11</v>
      </c>
      <c r="E558" s="4" t="str">
        <f>IF(Table13_1[[#This Row],[smoker]]="yes","smoker","non-smoker")</f>
        <v>non-smoker</v>
      </c>
      <c r="F558" s="4" t="s">
        <v>14</v>
      </c>
      <c r="G558" s="5">
        <v>46</v>
      </c>
      <c r="H558" s="5">
        <f>IF(Table13_1[[#This Row],[smoker]]="yes",1,0)</f>
        <v>0</v>
      </c>
      <c r="I558" s="4">
        <v>33.44</v>
      </c>
      <c r="J558" s="4">
        <v>1</v>
      </c>
      <c r="K558" s="12">
        <v>8334.5895999999993</v>
      </c>
      <c r="N558">
        <v>403</v>
      </c>
      <c r="O558">
        <v>15009.430585612599</v>
      </c>
      <c r="P558">
        <v>-316.76118561259864</v>
      </c>
    </row>
    <row r="559" spans="1:16" x14ac:dyDescent="0.25">
      <c r="A559" s="4" t="s">
        <v>10</v>
      </c>
      <c r="B559" s="4">
        <f>ROUND(Table13_1[[#This Row],[bmi]],1)</f>
        <v>34.200000000000003</v>
      </c>
      <c r="C559" s="4" t="str" cm="1">
        <f t="array" ref="C559">_xlfn.IFS(Table13_1[[#This Row],[Round BMI]]&lt;18.5,"Underweight",AND(Table13_1[[#This Row],[Round BMI]]&gt;=18.5,Table13_1[[#This Row],[Round BMI]] &lt;=24.9),"Healthy Weight",AND(Table13_1[[#This Row],[Round BMI]]&gt;=25,Table13_1[[#This Row],[Round BMI]]&lt;=29.9),"Overweight",Table13_1[[#This Row],[Round BMI]]&gt;=30,"Obese")</f>
        <v>Obese</v>
      </c>
      <c r="D559" s="4" t="s">
        <v>11</v>
      </c>
      <c r="E559" s="4" t="str">
        <f>IF(Table13_1[[#This Row],[smoker]]="yes","smoker","non-smoker")</f>
        <v>non-smoker</v>
      </c>
      <c r="F559" s="4" t="s">
        <v>12</v>
      </c>
      <c r="G559" s="5">
        <v>34</v>
      </c>
      <c r="H559" s="5">
        <f>IF(Table13_1[[#This Row],[smoker]]="yes",1,0)</f>
        <v>0</v>
      </c>
      <c r="I559" s="4">
        <v>34.21</v>
      </c>
      <c r="J559" s="4">
        <v>0</v>
      </c>
      <c r="K559" s="12">
        <v>3935.1799000000001</v>
      </c>
      <c r="N559">
        <v>404</v>
      </c>
      <c r="O559">
        <v>12348.163739405321</v>
      </c>
      <c r="P559">
        <v>-2078.7037394053223</v>
      </c>
    </row>
    <row r="560" spans="1:16" x14ac:dyDescent="0.25">
      <c r="A560" s="4" t="s">
        <v>7</v>
      </c>
      <c r="B560" s="4">
        <f>ROUND(Table13_1[[#This Row],[bmi]],1)</f>
        <v>34.1</v>
      </c>
      <c r="C560" s="4" t="str" cm="1">
        <f t="array" ref="C560">_xlfn.IFS(Table13_1[[#This Row],[Round BMI]]&lt;18.5,"Underweight",AND(Table13_1[[#This Row],[Round BMI]]&gt;=18.5,Table13_1[[#This Row],[Round BMI]] &lt;=24.9),"Healthy Weight",AND(Table13_1[[#This Row],[Round BMI]]&gt;=25,Table13_1[[#This Row],[Round BMI]]&lt;=29.9),"Overweight",Table13_1[[#This Row],[Round BMI]]&gt;=30,"Obese")</f>
        <v>Obese</v>
      </c>
      <c r="D560" s="4" t="s">
        <v>8</v>
      </c>
      <c r="E560" s="4" t="str">
        <f>IF(Table13_1[[#This Row],[smoker]]="yes","smoker","non-smoker")</f>
        <v>smoker</v>
      </c>
      <c r="F560" s="4" t="s">
        <v>13</v>
      </c>
      <c r="G560" s="5">
        <v>35</v>
      </c>
      <c r="H560" s="5">
        <f>IF(Table13_1[[#This Row],[smoker]]="yes",1,0)</f>
        <v>1</v>
      </c>
      <c r="I560" s="4">
        <v>34.104999999999997</v>
      </c>
      <c r="J560" s="4">
        <v>3</v>
      </c>
      <c r="K560" s="12">
        <v>39983.425999999999</v>
      </c>
      <c r="N560">
        <v>405</v>
      </c>
      <c r="O560">
        <v>2456.3339670110172</v>
      </c>
      <c r="P560">
        <v>803.86503298898288</v>
      </c>
    </row>
    <row r="561" spans="1:16" x14ac:dyDescent="0.25">
      <c r="A561" s="4" t="s">
        <v>10</v>
      </c>
      <c r="B561" s="4">
        <f>ROUND(Table13_1[[#This Row],[bmi]],1)</f>
        <v>35.5</v>
      </c>
      <c r="C561" s="4" t="str" cm="1">
        <f t="array" ref="C561">_xlfn.IFS(Table13_1[[#This Row],[Round BMI]]&lt;18.5,"Underweight",AND(Table13_1[[#This Row],[Round BMI]]&gt;=18.5,Table13_1[[#This Row],[Round BMI]] &lt;=24.9),"Healthy Weight",AND(Table13_1[[#This Row],[Round BMI]]&gt;=25,Table13_1[[#This Row],[Round BMI]]&lt;=29.9),"Overweight",Table13_1[[#This Row],[Round BMI]]&gt;=30,"Obese")</f>
        <v>Obese</v>
      </c>
      <c r="D561" s="4" t="s">
        <v>11</v>
      </c>
      <c r="E561" s="4" t="str">
        <f>IF(Table13_1[[#This Row],[smoker]]="yes","smoker","non-smoker")</f>
        <v>non-smoker</v>
      </c>
      <c r="F561" s="4" t="s">
        <v>13</v>
      </c>
      <c r="G561" s="5">
        <v>19</v>
      </c>
      <c r="H561" s="5">
        <f>IF(Table13_1[[#This Row],[smoker]]="yes",1,0)</f>
        <v>0</v>
      </c>
      <c r="I561" s="4">
        <v>35.53</v>
      </c>
      <c r="J561" s="4">
        <v>0</v>
      </c>
      <c r="K561" s="12">
        <v>1646.4296999999999</v>
      </c>
      <c r="N561">
        <v>406</v>
      </c>
      <c r="O561">
        <v>14605.066475125139</v>
      </c>
      <c r="P561">
        <v>-3208.1662751251388</v>
      </c>
    </row>
    <row r="562" spans="1:16" x14ac:dyDescent="0.25">
      <c r="A562" s="4" t="s">
        <v>7</v>
      </c>
      <c r="B562" s="4">
        <f>ROUND(Table13_1[[#This Row],[bmi]],1)</f>
        <v>20</v>
      </c>
      <c r="C562" s="4" t="str" cm="1">
        <f t="array" ref="C562">_xlfn.IFS(Table13_1[[#This Row],[Round BMI]]&lt;18.5,"Underweight",AND(Table13_1[[#This Row],[Round BMI]]&gt;=18.5,Table13_1[[#This Row],[Round BMI]] &lt;=24.9),"Healthy Weight",AND(Table13_1[[#This Row],[Round BMI]]&gt;=25,Table13_1[[#This Row],[Round BMI]]&lt;=29.9),"Overweight",Table13_1[[#This Row],[Round BMI]]&gt;=30,"Obese")</f>
        <v>Healthy Weight</v>
      </c>
      <c r="D562" s="4" t="s">
        <v>11</v>
      </c>
      <c r="E562" s="4" t="str">
        <f>IF(Table13_1[[#This Row],[smoker]]="yes","smoker","non-smoker")</f>
        <v>non-smoker</v>
      </c>
      <c r="F562" s="4" t="s">
        <v>13</v>
      </c>
      <c r="G562" s="5">
        <v>46</v>
      </c>
      <c r="H562" s="5">
        <f>IF(Table13_1[[#This Row],[smoker]]="yes",1,0)</f>
        <v>0</v>
      </c>
      <c r="I562" s="4">
        <v>19.95</v>
      </c>
      <c r="J562" s="4">
        <v>2</v>
      </c>
      <c r="K562" s="12">
        <v>9193.8384999999998</v>
      </c>
      <c r="N562">
        <v>407</v>
      </c>
      <c r="O562">
        <v>4230.4719667808704</v>
      </c>
      <c r="P562">
        <v>-45.374066780870635</v>
      </c>
    </row>
    <row r="563" spans="1:16" x14ac:dyDescent="0.25">
      <c r="A563" s="4" t="s">
        <v>7</v>
      </c>
      <c r="B563" s="4">
        <f>ROUND(Table13_1[[#This Row],[bmi]],1)</f>
        <v>32.700000000000003</v>
      </c>
      <c r="C563" s="4" t="str" cm="1">
        <f t="array" ref="C563">_xlfn.IFS(Table13_1[[#This Row],[Round BMI]]&lt;18.5,"Underweight",AND(Table13_1[[#This Row],[Round BMI]]&gt;=18.5,Table13_1[[#This Row],[Round BMI]] &lt;=24.9),"Healthy Weight",AND(Table13_1[[#This Row],[Round BMI]]&gt;=25,Table13_1[[#This Row],[Round BMI]]&lt;=29.9),"Overweight",Table13_1[[#This Row],[Round BMI]]&gt;=30,"Obese")</f>
        <v>Obese</v>
      </c>
      <c r="D563" s="4" t="s">
        <v>11</v>
      </c>
      <c r="E563" s="4" t="str">
        <f>IF(Table13_1[[#This Row],[smoker]]="yes","smoker","non-smoker")</f>
        <v>non-smoker</v>
      </c>
      <c r="F563" s="4" t="s">
        <v>14</v>
      </c>
      <c r="G563" s="5">
        <v>54</v>
      </c>
      <c r="H563" s="5">
        <f>IF(Table13_1[[#This Row],[smoker]]="yes",1,0)</f>
        <v>0</v>
      </c>
      <c r="I563" s="4">
        <v>32.68</v>
      </c>
      <c r="J563" s="4">
        <v>0</v>
      </c>
      <c r="K563" s="12">
        <v>10923.933199999999</v>
      </c>
      <c r="N563">
        <v>408</v>
      </c>
      <c r="O563">
        <v>8085.3528889344161</v>
      </c>
      <c r="P563">
        <v>454.31811106558416</v>
      </c>
    </row>
    <row r="564" spans="1:16" x14ac:dyDescent="0.25">
      <c r="A564" s="4" t="s">
        <v>10</v>
      </c>
      <c r="B564" s="4">
        <f>ROUND(Table13_1[[#This Row],[bmi]],1)</f>
        <v>30.5</v>
      </c>
      <c r="C564" s="4" t="str" cm="1">
        <f t="array" ref="C564">_xlfn.IFS(Table13_1[[#This Row],[Round BMI]]&lt;18.5,"Underweight",AND(Table13_1[[#This Row],[Round BMI]]&gt;=18.5,Table13_1[[#This Row],[Round BMI]] &lt;=24.9),"Healthy Weight",AND(Table13_1[[#This Row],[Round BMI]]&gt;=25,Table13_1[[#This Row],[Round BMI]]&lt;=29.9),"Overweight",Table13_1[[#This Row],[Round BMI]]&gt;=30,"Obese")</f>
        <v>Obese</v>
      </c>
      <c r="D564" s="4" t="s">
        <v>11</v>
      </c>
      <c r="E564" s="4" t="str">
        <f>IF(Table13_1[[#This Row],[smoker]]="yes","smoker","non-smoker")</f>
        <v>non-smoker</v>
      </c>
      <c r="F564" s="4" t="s">
        <v>9</v>
      </c>
      <c r="G564" s="5">
        <v>27</v>
      </c>
      <c r="H564" s="5">
        <f>IF(Table13_1[[#This Row],[smoker]]="yes",1,0)</f>
        <v>0</v>
      </c>
      <c r="I564" s="4">
        <v>30.5</v>
      </c>
      <c r="J564" s="4">
        <v>0</v>
      </c>
      <c r="K564" s="12">
        <v>2494.0219999999999</v>
      </c>
      <c r="N564">
        <v>409</v>
      </c>
      <c r="O564">
        <v>5913.5204750066514</v>
      </c>
      <c r="P564">
        <v>739.00832499334865</v>
      </c>
    </row>
    <row r="565" spans="1:16" x14ac:dyDescent="0.25">
      <c r="A565" s="4" t="s">
        <v>10</v>
      </c>
      <c r="B565" s="4">
        <f>ROUND(Table13_1[[#This Row],[bmi]],1)</f>
        <v>44.8</v>
      </c>
      <c r="C565" s="4" t="str" cm="1">
        <f t="array" ref="C565">_xlfn.IFS(Table13_1[[#This Row],[Round BMI]]&lt;18.5,"Underweight",AND(Table13_1[[#This Row],[Round BMI]]&gt;=18.5,Table13_1[[#This Row],[Round BMI]] &lt;=24.9),"Healthy Weight",AND(Table13_1[[#This Row],[Round BMI]]&gt;=25,Table13_1[[#This Row],[Round BMI]]&lt;=29.9),"Overweight",Table13_1[[#This Row],[Round BMI]]&gt;=30,"Obese")</f>
        <v>Obese</v>
      </c>
      <c r="D565" s="4" t="s">
        <v>11</v>
      </c>
      <c r="E565" s="4" t="str">
        <f>IF(Table13_1[[#This Row],[smoker]]="yes","smoker","non-smoker")</f>
        <v>non-smoker</v>
      </c>
      <c r="F565" s="4" t="s">
        <v>12</v>
      </c>
      <c r="G565" s="5">
        <v>50</v>
      </c>
      <c r="H565" s="5">
        <f>IF(Table13_1[[#This Row],[smoker]]="yes",1,0)</f>
        <v>0</v>
      </c>
      <c r="I565" s="4">
        <v>44.77</v>
      </c>
      <c r="J565" s="4">
        <v>1</v>
      </c>
      <c r="K565" s="12">
        <v>9058.7302999999993</v>
      </c>
      <c r="N565">
        <v>410</v>
      </c>
      <c r="O565">
        <v>6287.1147992480719</v>
      </c>
      <c r="P565">
        <v>-2212.6610992480719</v>
      </c>
    </row>
    <row r="566" spans="1:16" x14ac:dyDescent="0.25">
      <c r="A566" s="4" t="s">
        <v>7</v>
      </c>
      <c r="B566" s="4">
        <f>ROUND(Table13_1[[#This Row],[bmi]],1)</f>
        <v>32.1</v>
      </c>
      <c r="C566" s="4" t="str" cm="1">
        <f t="array" ref="C566">_xlfn.IFS(Table13_1[[#This Row],[Round BMI]]&lt;18.5,"Underweight",AND(Table13_1[[#This Row],[Round BMI]]&gt;=18.5,Table13_1[[#This Row],[Round BMI]] &lt;=24.9),"Healthy Weight",AND(Table13_1[[#This Row],[Round BMI]]&gt;=25,Table13_1[[#This Row],[Round BMI]]&lt;=29.9),"Overweight",Table13_1[[#This Row],[Round BMI]]&gt;=30,"Obese")</f>
        <v>Obese</v>
      </c>
      <c r="D566" s="4" t="s">
        <v>11</v>
      </c>
      <c r="E566" s="4" t="str">
        <f>IF(Table13_1[[#This Row],[smoker]]="yes","smoker","non-smoker")</f>
        <v>non-smoker</v>
      </c>
      <c r="F566" s="4" t="s">
        <v>12</v>
      </c>
      <c r="G566" s="5">
        <v>18</v>
      </c>
      <c r="H566" s="5">
        <f>IF(Table13_1[[#This Row],[smoker]]="yes",1,0)</f>
        <v>0</v>
      </c>
      <c r="I566" s="4">
        <v>32.119999999999997</v>
      </c>
      <c r="J566" s="4">
        <v>2</v>
      </c>
      <c r="K566" s="12">
        <v>2801.2588000000001</v>
      </c>
      <c r="N566">
        <v>411</v>
      </c>
      <c r="O566">
        <v>-1577.6662172495944</v>
      </c>
      <c r="P566">
        <v>3199.0064172495945</v>
      </c>
    </row>
    <row r="567" spans="1:16" x14ac:dyDescent="0.25">
      <c r="A567" s="4" t="s">
        <v>7</v>
      </c>
      <c r="B567" s="4">
        <f>ROUND(Table13_1[[#This Row],[bmi]],1)</f>
        <v>30.5</v>
      </c>
      <c r="C567" s="4" t="str" cm="1">
        <f t="array" ref="C567">_xlfn.IFS(Table13_1[[#This Row],[Round BMI]]&lt;18.5,"Underweight",AND(Table13_1[[#This Row],[Round BMI]]&gt;=18.5,Table13_1[[#This Row],[Round BMI]] &lt;=24.9),"Healthy Weight",AND(Table13_1[[#This Row],[Round BMI]]&gt;=25,Table13_1[[#This Row],[Round BMI]]&lt;=29.9),"Overweight",Table13_1[[#This Row],[Round BMI]]&gt;=30,"Obese")</f>
        <v>Obese</v>
      </c>
      <c r="D567" s="4" t="s">
        <v>11</v>
      </c>
      <c r="E567" s="4" t="str">
        <f>IF(Table13_1[[#This Row],[smoker]]="yes","smoker","non-smoker")</f>
        <v>non-smoker</v>
      </c>
      <c r="F567" s="4" t="s">
        <v>13</v>
      </c>
      <c r="G567" s="5">
        <v>19</v>
      </c>
      <c r="H567" s="5">
        <f>IF(Table13_1[[#This Row],[smoker]]="yes",1,0)</f>
        <v>0</v>
      </c>
      <c r="I567" s="4">
        <v>30.495000000000001</v>
      </c>
      <c r="J567" s="4">
        <v>0</v>
      </c>
      <c r="K567" s="12">
        <v>2128.431</v>
      </c>
      <c r="N567">
        <v>412</v>
      </c>
      <c r="O567">
        <v>30040.174242398189</v>
      </c>
      <c r="P567">
        <v>-10445.364642398188</v>
      </c>
    </row>
    <row r="568" spans="1:16" x14ac:dyDescent="0.25">
      <c r="A568" s="4" t="s">
        <v>7</v>
      </c>
      <c r="B568" s="4">
        <f>ROUND(Table13_1[[#This Row],[bmi]],1)</f>
        <v>40.6</v>
      </c>
      <c r="C568" s="4" t="str" cm="1">
        <f t="array" ref="C568">_xlfn.IFS(Table13_1[[#This Row],[Round BMI]]&lt;18.5,"Underweight",AND(Table13_1[[#This Row],[Round BMI]]&gt;=18.5,Table13_1[[#This Row],[Round BMI]] &lt;=24.9),"Healthy Weight",AND(Table13_1[[#This Row],[Round BMI]]&gt;=25,Table13_1[[#This Row],[Round BMI]]&lt;=29.9),"Overweight",Table13_1[[#This Row],[Round BMI]]&gt;=30,"Obese")</f>
        <v>Obese</v>
      </c>
      <c r="D568" s="4" t="s">
        <v>11</v>
      </c>
      <c r="E568" s="4" t="str">
        <f>IF(Table13_1[[#This Row],[smoker]]="yes","smoker","non-smoker")</f>
        <v>non-smoker</v>
      </c>
      <c r="F568" s="4" t="s">
        <v>13</v>
      </c>
      <c r="G568" s="5">
        <v>38</v>
      </c>
      <c r="H568" s="5">
        <f>IF(Table13_1[[#This Row],[smoker]]="yes",1,0)</f>
        <v>0</v>
      </c>
      <c r="I568" s="4">
        <v>40.564999999999998</v>
      </c>
      <c r="J568" s="4">
        <v>1</v>
      </c>
      <c r="K568" s="12">
        <v>6373.5573999999997</v>
      </c>
      <c r="N568">
        <v>413</v>
      </c>
      <c r="O568">
        <v>24893.957161360322</v>
      </c>
      <c r="P568">
        <v>-10438.313161360322</v>
      </c>
    </row>
    <row r="569" spans="1:16" x14ac:dyDescent="0.25">
      <c r="A569" s="4" t="s">
        <v>10</v>
      </c>
      <c r="B569" s="4">
        <f>ROUND(Table13_1[[#This Row],[bmi]],1)</f>
        <v>30.6</v>
      </c>
      <c r="C569" s="4" t="str" cm="1">
        <f t="array" ref="C569">_xlfn.IFS(Table13_1[[#This Row],[Round BMI]]&lt;18.5,"Underweight",AND(Table13_1[[#This Row],[Round BMI]]&gt;=18.5,Table13_1[[#This Row],[Round BMI]] &lt;=24.9),"Healthy Weight",AND(Table13_1[[#This Row],[Round BMI]]&gt;=25,Table13_1[[#This Row],[Round BMI]]&lt;=29.9),"Overweight",Table13_1[[#This Row],[Round BMI]]&gt;=30,"Obese")</f>
        <v>Obese</v>
      </c>
      <c r="D569" s="4" t="s">
        <v>11</v>
      </c>
      <c r="E569" s="4" t="str">
        <f>IF(Table13_1[[#This Row],[smoker]]="yes","smoker","non-smoker")</f>
        <v>non-smoker</v>
      </c>
      <c r="F569" s="4" t="s">
        <v>13</v>
      </c>
      <c r="G569" s="5">
        <v>41</v>
      </c>
      <c r="H569" s="5">
        <f>IF(Table13_1[[#This Row],[smoker]]="yes",1,0)</f>
        <v>0</v>
      </c>
      <c r="I569" s="4">
        <v>30.59</v>
      </c>
      <c r="J569" s="4">
        <v>2</v>
      </c>
      <c r="K569" s="12">
        <v>7256.7231000000002</v>
      </c>
      <c r="N569">
        <v>414</v>
      </c>
      <c r="O569">
        <v>4403.2284107022415</v>
      </c>
      <c r="P569">
        <v>676.86758929775806</v>
      </c>
    </row>
    <row r="570" spans="1:16" x14ac:dyDescent="0.25">
      <c r="A570" s="4" t="s">
        <v>7</v>
      </c>
      <c r="B570" s="4">
        <f>ROUND(Table13_1[[#This Row],[bmi]],1)</f>
        <v>31.9</v>
      </c>
      <c r="C570" s="4" t="str" cm="1">
        <f t="array" ref="C570">_xlfn.IFS(Table13_1[[#This Row],[Round BMI]]&lt;18.5,"Underweight",AND(Table13_1[[#This Row],[Round BMI]]&gt;=18.5,Table13_1[[#This Row],[Round BMI]] &lt;=24.9),"Healthy Weight",AND(Table13_1[[#This Row],[Round BMI]]&gt;=25,Table13_1[[#This Row],[Round BMI]]&lt;=29.9),"Overweight",Table13_1[[#This Row],[Round BMI]]&gt;=30,"Obese")</f>
        <v>Obese</v>
      </c>
      <c r="D570" s="4" t="s">
        <v>11</v>
      </c>
      <c r="E570" s="4" t="str">
        <f>IF(Table13_1[[#This Row],[smoker]]="yes","smoker","non-smoker")</f>
        <v>non-smoker</v>
      </c>
      <c r="F570" s="4" t="s">
        <v>9</v>
      </c>
      <c r="G570" s="5">
        <v>49</v>
      </c>
      <c r="H570" s="5">
        <f>IF(Table13_1[[#This Row],[smoker]]="yes",1,0)</f>
        <v>0</v>
      </c>
      <c r="I570" s="4">
        <v>31.9</v>
      </c>
      <c r="J570" s="4">
        <v>5</v>
      </c>
      <c r="K570" s="12">
        <v>11552.904</v>
      </c>
      <c r="N570">
        <v>415</v>
      </c>
      <c r="O570">
        <v>4109.4480709546306</v>
      </c>
      <c r="P570">
        <v>-1974.5465709546306</v>
      </c>
    </row>
    <row r="571" spans="1:16" x14ac:dyDescent="0.25">
      <c r="A571" s="4" t="s">
        <v>10</v>
      </c>
      <c r="B571" s="4">
        <f>ROUND(Table13_1[[#This Row],[bmi]],1)</f>
        <v>40.6</v>
      </c>
      <c r="C571" s="4" t="str" cm="1">
        <f t="array" ref="C571">_xlfn.IFS(Table13_1[[#This Row],[Round BMI]]&lt;18.5,"Underweight",AND(Table13_1[[#This Row],[Round BMI]]&gt;=18.5,Table13_1[[#This Row],[Round BMI]] &lt;=24.9),"Healthy Weight",AND(Table13_1[[#This Row],[Round BMI]]&gt;=25,Table13_1[[#This Row],[Round BMI]]&lt;=29.9),"Overweight",Table13_1[[#This Row],[Round BMI]]&gt;=30,"Obese")</f>
        <v>Obese</v>
      </c>
      <c r="D571" s="4" t="s">
        <v>8</v>
      </c>
      <c r="E571" s="4" t="str">
        <f>IF(Table13_1[[#This Row],[smoker]]="yes","smoker","non-smoker")</f>
        <v>smoker</v>
      </c>
      <c r="F571" s="4" t="s">
        <v>13</v>
      </c>
      <c r="G571" s="5">
        <v>48</v>
      </c>
      <c r="H571" s="5">
        <f>IF(Table13_1[[#This Row],[smoker]]="yes",1,0)</f>
        <v>1</v>
      </c>
      <c r="I571" s="4">
        <v>40.564999999999998</v>
      </c>
      <c r="J571" s="4">
        <v>2</v>
      </c>
      <c r="K571" s="12">
        <v>45702.022400000002</v>
      </c>
      <c r="N571">
        <v>416</v>
      </c>
      <c r="O571">
        <v>10929.045749821191</v>
      </c>
      <c r="P571">
        <v>-3583.3191498211909</v>
      </c>
    </row>
    <row r="572" spans="1:16" x14ac:dyDescent="0.25">
      <c r="A572" s="4" t="s">
        <v>7</v>
      </c>
      <c r="B572" s="4">
        <f>ROUND(Table13_1[[#This Row],[bmi]],1)</f>
        <v>29.1</v>
      </c>
      <c r="C572" s="4" t="str" cm="1">
        <f t="array" ref="C572">_xlfn.IFS(Table13_1[[#This Row],[Round BMI]]&lt;18.5,"Underweight",AND(Table13_1[[#This Row],[Round BMI]]&gt;=18.5,Table13_1[[#This Row],[Round BMI]] &lt;=24.9),"Healthy Weight",AND(Table13_1[[#This Row],[Round BMI]]&gt;=25,Table13_1[[#This Row],[Round BMI]]&lt;=29.9),"Overweight",Table13_1[[#This Row],[Round BMI]]&gt;=30,"Obese")</f>
        <v>Overweight</v>
      </c>
      <c r="D572" s="4" t="s">
        <v>11</v>
      </c>
      <c r="E572" s="4" t="str">
        <f>IF(Table13_1[[#This Row],[smoker]]="yes","smoker","non-smoker")</f>
        <v>non-smoker</v>
      </c>
      <c r="F572" s="4" t="s">
        <v>9</v>
      </c>
      <c r="G572" s="5">
        <v>31</v>
      </c>
      <c r="H572" s="5">
        <f>IF(Table13_1[[#This Row],[smoker]]="yes",1,0)</f>
        <v>0</v>
      </c>
      <c r="I572" s="4">
        <v>29.1</v>
      </c>
      <c r="J572" s="4">
        <v>0</v>
      </c>
      <c r="K572" s="12">
        <v>3761.2919999999999</v>
      </c>
      <c r="N572">
        <v>417</v>
      </c>
      <c r="O572">
        <v>12280.537839873103</v>
      </c>
      <c r="P572">
        <v>-3139.5868398731036</v>
      </c>
    </row>
    <row r="573" spans="1:16" x14ac:dyDescent="0.25">
      <c r="A573" s="4" t="s">
        <v>7</v>
      </c>
      <c r="B573" s="4">
        <f>ROUND(Table13_1[[#This Row],[bmi]],1)</f>
        <v>37.299999999999997</v>
      </c>
      <c r="C573" s="4" t="str" cm="1">
        <f t="array" ref="C573">_xlfn.IFS(Table13_1[[#This Row],[Round BMI]]&lt;18.5,"Underweight",AND(Table13_1[[#This Row],[Round BMI]]&gt;=18.5,Table13_1[[#This Row],[Round BMI]] &lt;=24.9),"Healthy Weight",AND(Table13_1[[#This Row],[Round BMI]]&gt;=25,Table13_1[[#This Row],[Round BMI]]&lt;=29.9),"Overweight",Table13_1[[#This Row],[Round BMI]]&gt;=30,"Obese")</f>
        <v>Obese</v>
      </c>
      <c r="D573" s="4" t="s">
        <v>11</v>
      </c>
      <c r="E573" s="4" t="str">
        <f>IF(Table13_1[[#This Row],[smoker]]="yes","smoker","non-smoker")</f>
        <v>non-smoker</v>
      </c>
      <c r="F573" s="4" t="s">
        <v>12</v>
      </c>
      <c r="G573" s="5">
        <v>18</v>
      </c>
      <c r="H573" s="5">
        <f>IF(Table13_1[[#This Row],[smoker]]="yes",1,0)</f>
        <v>0</v>
      </c>
      <c r="I573" s="4">
        <v>37.29</v>
      </c>
      <c r="J573" s="4">
        <v>1</v>
      </c>
      <c r="K573" s="12">
        <v>2219.4450999999999</v>
      </c>
      <c r="N573">
        <v>418</v>
      </c>
      <c r="O573">
        <v>29212.059067020633</v>
      </c>
      <c r="P573">
        <v>-10603.797067020634</v>
      </c>
    </row>
    <row r="574" spans="1:16" x14ac:dyDescent="0.25">
      <c r="A574" s="4" t="s">
        <v>7</v>
      </c>
      <c r="B574" s="4">
        <f>ROUND(Table13_1[[#This Row],[bmi]],1)</f>
        <v>43.1</v>
      </c>
      <c r="C574" s="4" t="str" cm="1">
        <f t="array" ref="C574">_xlfn.IFS(Table13_1[[#This Row],[Round BMI]]&lt;18.5,"Underweight",AND(Table13_1[[#This Row],[Round BMI]]&gt;=18.5,Table13_1[[#This Row],[Round BMI]] &lt;=24.9),"Healthy Weight",AND(Table13_1[[#This Row],[Round BMI]]&gt;=25,Table13_1[[#This Row],[Round BMI]]&lt;=29.9),"Overweight",Table13_1[[#This Row],[Round BMI]]&gt;=30,"Obese")</f>
        <v>Obese</v>
      </c>
      <c r="D574" s="4" t="s">
        <v>11</v>
      </c>
      <c r="E574" s="4" t="str">
        <f>IF(Table13_1[[#This Row],[smoker]]="yes","smoker","non-smoker")</f>
        <v>non-smoker</v>
      </c>
      <c r="F574" s="4" t="s">
        <v>12</v>
      </c>
      <c r="G574" s="5">
        <v>30</v>
      </c>
      <c r="H574" s="5">
        <f>IF(Table13_1[[#This Row],[smoker]]="yes",1,0)</f>
        <v>0</v>
      </c>
      <c r="I574" s="4">
        <v>43.12</v>
      </c>
      <c r="J574" s="4">
        <v>2</v>
      </c>
      <c r="K574" s="12">
        <v>4753.6368000000002</v>
      </c>
      <c r="N574">
        <v>419</v>
      </c>
      <c r="O574">
        <v>17476.802341759732</v>
      </c>
      <c r="P574">
        <v>-3058.5219417597327</v>
      </c>
    </row>
    <row r="575" spans="1:16" x14ac:dyDescent="0.25">
      <c r="A575" s="4" t="s">
        <v>7</v>
      </c>
      <c r="B575" s="4">
        <f>ROUND(Table13_1[[#This Row],[bmi]],1)</f>
        <v>36.9</v>
      </c>
      <c r="C575" s="4" t="str" cm="1">
        <f t="array" ref="C575">_xlfn.IFS(Table13_1[[#This Row],[Round BMI]]&lt;18.5,"Underweight",AND(Table13_1[[#This Row],[Round BMI]]&gt;=18.5,Table13_1[[#This Row],[Round BMI]] &lt;=24.9),"Healthy Weight",AND(Table13_1[[#This Row],[Round BMI]]&gt;=25,Table13_1[[#This Row],[Round BMI]]&lt;=29.9),"Overweight",Table13_1[[#This Row],[Round BMI]]&gt;=30,"Obese")</f>
        <v>Obese</v>
      </c>
      <c r="D575" s="4" t="s">
        <v>11</v>
      </c>
      <c r="E575" s="4" t="str">
        <f>IF(Table13_1[[#This Row],[smoker]]="yes","smoker","non-smoker")</f>
        <v>non-smoker</v>
      </c>
      <c r="F575" s="4" t="s">
        <v>14</v>
      </c>
      <c r="G575" s="5">
        <v>62</v>
      </c>
      <c r="H575" s="5">
        <f>IF(Table13_1[[#This Row],[smoker]]="yes",1,0)</f>
        <v>0</v>
      </c>
      <c r="I575" s="4">
        <v>36.86</v>
      </c>
      <c r="J575" s="4">
        <v>1</v>
      </c>
      <c r="K575" s="12">
        <v>31620.001100000001</v>
      </c>
      <c r="N575">
        <v>420</v>
      </c>
      <c r="O575">
        <v>36636.700278293109</v>
      </c>
      <c r="P575">
        <v>-7686.231078293109</v>
      </c>
    </row>
    <row r="576" spans="1:16" x14ac:dyDescent="0.25">
      <c r="A576" s="4" t="s">
        <v>7</v>
      </c>
      <c r="B576" s="4">
        <f>ROUND(Table13_1[[#This Row],[bmi]],1)</f>
        <v>34.299999999999997</v>
      </c>
      <c r="C576" s="4" t="str" cm="1">
        <f t="array" ref="C576">_xlfn.IFS(Table13_1[[#This Row],[Round BMI]]&lt;18.5,"Underweight",AND(Table13_1[[#This Row],[Round BMI]]&gt;=18.5,Table13_1[[#This Row],[Round BMI]] &lt;=24.9),"Healthy Weight",AND(Table13_1[[#This Row],[Round BMI]]&gt;=25,Table13_1[[#This Row],[Round BMI]]&lt;=29.9),"Overweight",Table13_1[[#This Row],[Round BMI]]&gt;=30,"Obese")</f>
        <v>Obese</v>
      </c>
      <c r="D576" s="4" t="s">
        <v>11</v>
      </c>
      <c r="E576" s="4" t="str">
        <f>IF(Table13_1[[#This Row],[smoker]]="yes","smoker","non-smoker")</f>
        <v>non-smoker</v>
      </c>
      <c r="F576" s="4" t="s">
        <v>14</v>
      </c>
      <c r="G576" s="5">
        <v>57</v>
      </c>
      <c r="H576" s="5">
        <f>IF(Table13_1[[#This Row],[smoker]]="yes",1,0)</f>
        <v>0</v>
      </c>
      <c r="I576" s="4">
        <v>34.295000000000002</v>
      </c>
      <c r="J576" s="4">
        <v>2</v>
      </c>
      <c r="K576" s="12">
        <v>13224.057000000001</v>
      </c>
      <c r="N576">
        <v>421</v>
      </c>
      <c r="O576">
        <v>39115.324465227837</v>
      </c>
      <c r="P576">
        <v>7773.9367347721636</v>
      </c>
    </row>
    <row r="577" spans="1:16" x14ac:dyDescent="0.25">
      <c r="A577" s="4" t="s">
        <v>7</v>
      </c>
      <c r="B577" s="4">
        <f>ROUND(Table13_1[[#This Row],[bmi]],1)</f>
        <v>27.2</v>
      </c>
      <c r="C577" s="4" t="str" cm="1">
        <f t="array" ref="C577">_xlfn.IFS(Table13_1[[#This Row],[Round BMI]]&lt;18.5,"Underweight",AND(Table13_1[[#This Row],[Round BMI]]&gt;=18.5,Table13_1[[#This Row],[Round BMI]] &lt;=24.9),"Healthy Weight",AND(Table13_1[[#This Row],[Round BMI]]&gt;=25,Table13_1[[#This Row],[Round BMI]]&lt;=29.9),"Overweight",Table13_1[[#This Row],[Round BMI]]&gt;=30,"Obese")</f>
        <v>Overweight</v>
      </c>
      <c r="D577" s="4" t="s">
        <v>11</v>
      </c>
      <c r="E577" s="4" t="str">
        <f>IF(Table13_1[[#This Row],[smoker]]="yes","smoker","non-smoker")</f>
        <v>non-smoker</v>
      </c>
      <c r="F577" s="4" t="s">
        <v>13</v>
      </c>
      <c r="G577" s="5">
        <v>58</v>
      </c>
      <c r="H577" s="5">
        <f>IF(Table13_1[[#This Row],[smoker]]="yes",1,0)</f>
        <v>0</v>
      </c>
      <c r="I577" s="4">
        <v>27.17</v>
      </c>
      <c r="J577" s="4">
        <v>0</v>
      </c>
      <c r="K577" s="12">
        <v>12222.898300000001</v>
      </c>
      <c r="N577">
        <v>422</v>
      </c>
      <c r="O577">
        <v>38979.041720862362</v>
      </c>
      <c r="P577">
        <v>7620.0666791376352</v>
      </c>
    </row>
    <row r="578" spans="1:16" x14ac:dyDescent="0.25">
      <c r="A578" s="4" t="s">
        <v>10</v>
      </c>
      <c r="B578" s="4">
        <f>ROUND(Table13_1[[#This Row],[bmi]],1)</f>
        <v>26.8</v>
      </c>
      <c r="C578" s="4" t="str" cm="1">
        <f t="array" ref="C578">_xlfn.IFS(Table13_1[[#This Row],[Round BMI]]&lt;18.5,"Underweight",AND(Table13_1[[#This Row],[Round BMI]]&gt;=18.5,Table13_1[[#This Row],[Round BMI]] &lt;=24.9),"Healthy Weight",AND(Table13_1[[#This Row],[Round BMI]]&gt;=25,Table13_1[[#This Row],[Round BMI]]&lt;=29.9),"Overweight",Table13_1[[#This Row],[Round BMI]]&gt;=30,"Obese")</f>
        <v>Overweight</v>
      </c>
      <c r="D578" s="4" t="s">
        <v>11</v>
      </c>
      <c r="E578" s="4" t="str">
        <f>IF(Table13_1[[#This Row],[smoker]]="yes","smoker","non-smoker")</f>
        <v>non-smoker</v>
      </c>
      <c r="F578" s="4" t="s">
        <v>12</v>
      </c>
      <c r="G578" s="5">
        <v>22</v>
      </c>
      <c r="H578" s="5">
        <f>IF(Table13_1[[#This Row],[smoker]]="yes",1,0)</f>
        <v>0</v>
      </c>
      <c r="I578" s="4">
        <v>26.84</v>
      </c>
      <c r="J578" s="4">
        <v>0</v>
      </c>
      <c r="K578" s="12">
        <v>1664.9996000000001</v>
      </c>
      <c r="N578">
        <v>423</v>
      </c>
      <c r="O578">
        <v>33044.792804705576</v>
      </c>
      <c r="P578">
        <v>6080.5393952944214</v>
      </c>
    </row>
    <row r="579" spans="1:16" x14ac:dyDescent="0.25">
      <c r="A579" s="4" t="s">
        <v>7</v>
      </c>
      <c r="B579" s="4">
        <f>ROUND(Table13_1[[#This Row],[bmi]],1)</f>
        <v>38.1</v>
      </c>
      <c r="C579" s="4" t="str" cm="1">
        <f t="array" ref="C579">_xlfn.IFS(Table13_1[[#This Row],[Round BMI]]&lt;18.5,"Underweight",AND(Table13_1[[#This Row],[Round BMI]]&gt;=18.5,Table13_1[[#This Row],[Round BMI]] &lt;=24.9),"Healthy Weight",AND(Table13_1[[#This Row],[Round BMI]]&gt;=25,Table13_1[[#This Row],[Round BMI]]&lt;=29.9),"Overweight",Table13_1[[#This Row],[Round BMI]]&gt;=30,"Obese")</f>
        <v>Obese</v>
      </c>
      <c r="D579" s="4" t="s">
        <v>8</v>
      </c>
      <c r="E579" s="4" t="str">
        <f>IF(Table13_1[[#This Row],[smoker]]="yes","smoker","non-smoker")</f>
        <v>smoker</v>
      </c>
      <c r="F579" s="4" t="s">
        <v>14</v>
      </c>
      <c r="G579" s="5">
        <v>31</v>
      </c>
      <c r="H579" s="5">
        <f>IF(Table13_1[[#This Row],[smoker]]="yes",1,0)</f>
        <v>1</v>
      </c>
      <c r="I579" s="4">
        <v>38.094999999999999</v>
      </c>
      <c r="J579" s="4">
        <v>1</v>
      </c>
      <c r="K579" s="12">
        <v>58571.074500000002</v>
      </c>
      <c r="N579">
        <v>424</v>
      </c>
      <c r="O579">
        <v>4188.9027179808372</v>
      </c>
      <c r="P579">
        <v>-1461.507617980837</v>
      </c>
    </row>
    <row r="580" spans="1:16" x14ac:dyDescent="0.25">
      <c r="A580" s="4" t="s">
        <v>10</v>
      </c>
      <c r="B580" s="4">
        <f>ROUND(Table13_1[[#This Row],[bmi]],1)</f>
        <v>30.2</v>
      </c>
      <c r="C580" s="4" t="str" cm="1">
        <f t="array" ref="C580">_xlfn.IFS(Table13_1[[#This Row],[Round BMI]]&lt;18.5,"Underweight",AND(Table13_1[[#This Row],[Round BMI]]&gt;=18.5,Table13_1[[#This Row],[Round BMI]] &lt;=24.9),"Healthy Weight",AND(Table13_1[[#This Row],[Round BMI]]&gt;=25,Table13_1[[#This Row],[Round BMI]]&lt;=29.9),"Overweight",Table13_1[[#This Row],[Round BMI]]&gt;=30,"Obese")</f>
        <v>Obese</v>
      </c>
      <c r="D580" s="4" t="s">
        <v>11</v>
      </c>
      <c r="E580" s="4" t="str">
        <f>IF(Table13_1[[#This Row],[smoker]]="yes","smoker","non-smoker")</f>
        <v>non-smoker</v>
      </c>
      <c r="F580" s="4" t="s">
        <v>9</v>
      </c>
      <c r="G580" s="5">
        <v>52</v>
      </c>
      <c r="H580" s="5">
        <f>IF(Table13_1[[#This Row],[smoker]]="yes",1,0)</f>
        <v>0</v>
      </c>
      <c r="I580" s="4">
        <v>30.2</v>
      </c>
      <c r="J580" s="4">
        <v>1</v>
      </c>
      <c r="K580" s="12">
        <v>9724.5300000000007</v>
      </c>
      <c r="N580">
        <v>425</v>
      </c>
      <c r="O580">
        <v>10940.923970562597</v>
      </c>
      <c r="P580">
        <v>-1972.593970562597</v>
      </c>
    </row>
    <row r="581" spans="1:16" x14ac:dyDescent="0.25">
      <c r="A581" s="4" t="s">
        <v>7</v>
      </c>
      <c r="B581" s="4">
        <f>ROUND(Table13_1[[#This Row],[bmi]],1)</f>
        <v>23.5</v>
      </c>
      <c r="C581" s="4" t="str" cm="1">
        <f t="array" ref="C581">_xlfn.IFS(Table13_1[[#This Row],[Round BMI]]&lt;18.5,"Underweight",AND(Table13_1[[#This Row],[Round BMI]]&gt;=18.5,Table13_1[[#This Row],[Round BMI]] &lt;=24.9),"Healthy Weight",AND(Table13_1[[#This Row],[Round BMI]]&gt;=25,Table13_1[[#This Row],[Round BMI]]&lt;=29.9),"Overweight",Table13_1[[#This Row],[Round BMI]]&gt;=30,"Obese")</f>
        <v>Healthy Weight</v>
      </c>
      <c r="D581" s="4" t="s">
        <v>11</v>
      </c>
      <c r="E581" s="4" t="str">
        <f>IF(Table13_1[[#This Row],[smoker]]="yes","smoker","non-smoker")</f>
        <v>non-smoker</v>
      </c>
      <c r="F581" s="4" t="s">
        <v>14</v>
      </c>
      <c r="G581" s="5">
        <v>25</v>
      </c>
      <c r="H581" s="5">
        <f>IF(Table13_1[[#This Row],[smoker]]="yes",1,0)</f>
        <v>0</v>
      </c>
      <c r="I581" s="4">
        <v>23.465</v>
      </c>
      <c r="J581" s="4">
        <v>0</v>
      </c>
      <c r="K581" s="12">
        <v>3206.4913999999999</v>
      </c>
      <c r="N581">
        <v>426</v>
      </c>
      <c r="O581">
        <v>9692.1776324742586</v>
      </c>
      <c r="P581">
        <v>96.688267525742049</v>
      </c>
    </row>
    <row r="582" spans="1:16" x14ac:dyDescent="0.25">
      <c r="A582" s="4" t="s">
        <v>10</v>
      </c>
      <c r="B582" s="4">
        <f>ROUND(Table13_1[[#This Row],[bmi]],1)</f>
        <v>25.5</v>
      </c>
      <c r="C582" s="4" t="str" cm="1">
        <f t="array" ref="C582">_xlfn.IFS(Table13_1[[#This Row],[Round BMI]]&lt;18.5,"Underweight",AND(Table13_1[[#This Row],[Round BMI]]&gt;=18.5,Table13_1[[#This Row],[Round BMI]] &lt;=24.9),"Healthy Weight",AND(Table13_1[[#This Row],[Round BMI]]&gt;=25,Table13_1[[#This Row],[Round BMI]]&lt;=29.9),"Overweight",Table13_1[[#This Row],[Round BMI]]&gt;=30,"Obese")</f>
        <v>Overweight</v>
      </c>
      <c r="D582" s="4" t="s">
        <v>11</v>
      </c>
      <c r="E582" s="4" t="str">
        <f>IF(Table13_1[[#This Row],[smoker]]="yes","smoker","non-smoker")</f>
        <v>non-smoker</v>
      </c>
      <c r="F582" s="4" t="s">
        <v>14</v>
      </c>
      <c r="G582" s="5">
        <v>59</v>
      </c>
      <c r="H582" s="5">
        <f>IF(Table13_1[[#This Row],[smoker]]="yes",1,0)</f>
        <v>0</v>
      </c>
      <c r="I582" s="4">
        <v>25.46</v>
      </c>
      <c r="J582" s="4">
        <v>1</v>
      </c>
      <c r="K582" s="12">
        <v>12913.992399999999</v>
      </c>
      <c r="N582">
        <v>427</v>
      </c>
      <c r="O582">
        <v>6944.2927143742554</v>
      </c>
      <c r="P582">
        <v>-389.2223143742558</v>
      </c>
    </row>
    <row r="583" spans="1:16" x14ac:dyDescent="0.25">
      <c r="A583" s="4" t="s">
        <v>10</v>
      </c>
      <c r="B583" s="4">
        <f>ROUND(Table13_1[[#This Row],[bmi]],1)</f>
        <v>30.6</v>
      </c>
      <c r="C583" s="4" t="str" cm="1">
        <f t="array" ref="C583">_xlfn.IFS(Table13_1[[#This Row],[Round BMI]]&lt;18.5,"Underweight",AND(Table13_1[[#This Row],[Round BMI]]&gt;=18.5,Table13_1[[#This Row],[Round BMI]] &lt;=24.9),"Healthy Weight",AND(Table13_1[[#This Row],[Round BMI]]&gt;=25,Table13_1[[#This Row],[Round BMI]]&lt;=29.9),"Overweight",Table13_1[[#This Row],[Round BMI]]&gt;=30,"Obese")</f>
        <v>Obese</v>
      </c>
      <c r="D583" s="4" t="s">
        <v>11</v>
      </c>
      <c r="E583" s="4" t="str">
        <f>IF(Table13_1[[#This Row],[smoker]]="yes","smoker","non-smoker")</f>
        <v>non-smoker</v>
      </c>
      <c r="F583" s="4" t="s">
        <v>13</v>
      </c>
      <c r="G583" s="5">
        <v>19</v>
      </c>
      <c r="H583" s="5">
        <f>IF(Table13_1[[#This Row],[smoker]]="yes",1,0)</f>
        <v>0</v>
      </c>
      <c r="I583" s="4">
        <v>30.59</v>
      </c>
      <c r="J583" s="4">
        <v>0</v>
      </c>
      <c r="K583" s="12">
        <v>1639.5631000000001</v>
      </c>
      <c r="N583">
        <v>428</v>
      </c>
      <c r="O583">
        <v>1925.3179176196172</v>
      </c>
      <c r="P583">
        <v>5398.416882380383</v>
      </c>
    </row>
    <row r="584" spans="1:16" x14ac:dyDescent="0.25">
      <c r="A584" s="4" t="s">
        <v>10</v>
      </c>
      <c r="B584" s="4">
        <f>ROUND(Table13_1[[#This Row],[bmi]],1)</f>
        <v>45.4</v>
      </c>
      <c r="C584" s="4" t="str" cm="1">
        <f t="array" ref="C584">_xlfn.IFS(Table13_1[[#This Row],[Round BMI]]&lt;18.5,"Underweight",AND(Table13_1[[#This Row],[Round BMI]]&gt;=18.5,Table13_1[[#This Row],[Round BMI]] &lt;=24.9),"Healthy Weight",AND(Table13_1[[#This Row],[Round BMI]]&gt;=25,Table13_1[[#This Row],[Round BMI]]&lt;=29.9),"Overweight",Table13_1[[#This Row],[Round BMI]]&gt;=30,"Obese")</f>
        <v>Obese</v>
      </c>
      <c r="D584" s="4" t="s">
        <v>11</v>
      </c>
      <c r="E584" s="4" t="str">
        <f>IF(Table13_1[[#This Row],[smoker]]="yes","smoker","non-smoker")</f>
        <v>non-smoker</v>
      </c>
      <c r="F584" s="4" t="s">
        <v>12</v>
      </c>
      <c r="G584" s="5">
        <v>39</v>
      </c>
      <c r="H584" s="5">
        <f>IF(Table13_1[[#This Row],[smoker]]="yes",1,0)</f>
        <v>0</v>
      </c>
      <c r="I584" s="4">
        <v>45.43</v>
      </c>
      <c r="J584" s="4">
        <v>2</v>
      </c>
      <c r="K584" s="12">
        <v>6356.2707</v>
      </c>
      <c r="N584">
        <v>429</v>
      </c>
      <c r="O584">
        <v>-802.49606993246528</v>
      </c>
      <c r="P584">
        <v>3969.9518699324653</v>
      </c>
    </row>
    <row r="585" spans="1:16" x14ac:dyDescent="0.25">
      <c r="A585" s="4" t="s">
        <v>7</v>
      </c>
      <c r="B585" s="4">
        <f>ROUND(Table13_1[[#This Row],[bmi]],1)</f>
        <v>23.7</v>
      </c>
      <c r="C585" s="4" t="str" cm="1">
        <f t="array" ref="C585">_xlfn.IFS(Table13_1[[#This Row],[Round BMI]]&lt;18.5,"Underweight",AND(Table13_1[[#This Row],[Round BMI]]&gt;=18.5,Table13_1[[#This Row],[Round BMI]] &lt;=24.9),"Healthy Weight",AND(Table13_1[[#This Row],[Round BMI]]&gt;=25,Table13_1[[#This Row],[Round BMI]]&lt;=29.9),"Overweight",Table13_1[[#This Row],[Round BMI]]&gt;=30,"Obese")</f>
        <v>Healthy Weight</v>
      </c>
      <c r="D585" s="4" t="s">
        <v>11</v>
      </c>
      <c r="E585" s="4" t="str">
        <f>IF(Table13_1[[#This Row],[smoker]]="yes","smoker","non-smoker")</f>
        <v>non-smoker</v>
      </c>
      <c r="F585" s="4" t="s">
        <v>12</v>
      </c>
      <c r="G585" s="5">
        <v>32</v>
      </c>
      <c r="H585" s="5">
        <f>IF(Table13_1[[#This Row],[smoker]]="yes",1,0)</f>
        <v>0</v>
      </c>
      <c r="I585" s="4">
        <v>23.65</v>
      </c>
      <c r="J585" s="4">
        <v>1</v>
      </c>
      <c r="K585" s="12">
        <v>17626.2395</v>
      </c>
      <c r="N585">
        <v>430</v>
      </c>
      <c r="O585">
        <v>6063.9569127391869</v>
      </c>
      <c r="P585">
        <v>12740.795487260813</v>
      </c>
    </row>
    <row r="586" spans="1:16" x14ac:dyDescent="0.25">
      <c r="A586" s="4" t="s">
        <v>10</v>
      </c>
      <c r="B586" s="4">
        <f>ROUND(Table13_1[[#This Row],[bmi]],1)</f>
        <v>20.7</v>
      </c>
      <c r="C586" s="4" t="str" cm="1">
        <f t="array" ref="C586">_xlfn.IFS(Table13_1[[#This Row],[Round BMI]]&lt;18.5,"Underweight",AND(Table13_1[[#This Row],[Round BMI]]&gt;=18.5,Table13_1[[#This Row],[Round BMI]] &lt;=24.9),"Healthy Weight",AND(Table13_1[[#This Row],[Round BMI]]&gt;=25,Table13_1[[#This Row],[Round BMI]]&lt;=29.9),"Overweight",Table13_1[[#This Row],[Round BMI]]&gt;=30,"Obese")</f>
        <v>Healthy Weight</v>
      </c>
      <c r="D586" s="4" t="s">
        <v>11</v>
      </c>
      <c r="E586" s="4" t="str">
        <f>IF(Table13_1[[#This Row],[smoker]]="yes","smoker","non-smoker")</f>
        <v>non-smoker</v>
      </c>
      <c r="F586" s="4" t="s">
        <v>9</v>
      </c>
      <c r="G586" s="5">
        <v>19</v>
      </c>
      <c r="H586" s="5">
        <f>IF(Table13_1[[#This Row],[smoker]]="yes",1,0)</f>
        <v>0</v>
      </c>
      <c r="I586" s="4">
        <v>20.7</v>
      </c>
      <c r="J586" s="4">
        <v>0</v>
      </c>
      <c r="K586" s="12">
        <v>1242.816</v>
      </c>
      <c r="N586">
        <v>431</v>
      </c>
      <c r="O586">
        <v>3449.6526951301448</v>
      </c>
      <c r="P586">
        <v>19633.302604869856</v>
      </c>
    </row>
    <row r="587" spans="1:16" x14ac:dyDescent="0.25">
      <c r="A587" s="4" t="s">
        <v>7</v>
      </c>
      <c r="B587" s="4">
        <f>ROUND(Table13_1[[#This Row],[bmi]],1)</f>
        <v>28.3</v>
      </c>
      <c r="C587" s="4" t="str" cm="1">
        <f t="array" ref="C587">_xlfn.IFS(Table13_1[[#This Row],[Round BMI]]&lt;18.5,"Underweight",AND(Table13_1[[#This Row],[Round BMI]]&gt;=18.5,Table13_1[[#This Row],[Round BMI]] &lt;=24.9),"Healthy Weight",AND(Table13_1[[#This Row],[Round BMI]]&gt;=25,Table13_1[[#This Row],[Round BMI]]&lt;=29.9),"Overweight",Table13_1[[#This Row],[Round BMI]]&gt;=30,"Obese")</f>
        <v>Overweight</v>
      </c>
      <c r="D587" s="4" t="s">
        <v>11</v>
      </c>
      <c r="E587" s="4" t="str">
        <f>IF(Table13_1[[#This Row],[smoker]]="yes","smoker","non-smoker")</f>
        <v>non-smoker</v>
      </c>
      <c r="F587" s="4" t="s">
        <v>12</v>
      </c>
      <c r="G587" s="5">
        <v>33</v>
      </c>
      <c r="H587" s="5">
        <f>IF(Table13_1[[#This Row],[smoker]]="yes",1,0)</f>
        <v>0</v>
      </c>
      <c r="I587" s="4">
        <v>28.27</v>
      </c>
      <c r="J587" s="4">
        <v>1</v>
      </c>
      <c r="K587" s="12">
        <v>4779.6022999999996</v>
      </c>
      <c r="N587">
        <v>432</v>
      </c>
      <c r="O587">
        <v>2834.5341019731513</v>
      </c>
      <c r="P587">
        <v>2071.8754980268486</v>
      </c>
    </row>
    <row r="588" spans="1:16" x14ac:dyDescent="0.25">
      <c r="A588" s="4" t="s">
        <v>10</v>
      </c>
      <c r="B588" s="4">
        <f>ROUND(Table13_1[[#This Row],[bmi]],1)</f>
        <v>20.2</v>
      </c>
      <c r="C588" s="4" t="str" cm="1">
        <f t="array" ref="C588">_xlfn.IFS(Table13_1[[#This Row],[Round BMI]]&lt;18.5,"Underweight",AND(Table13_1[[#This Row],[Round BMI]]&gt;=18.5,Table13_1[[#This Row],[Round BMI]] &lt;=24.9),"Healthy Weight",AND(Table13_1[[#This Row],[Round BMI]]&gt;=25,Table13_1[[#This Row],[Round BMI]]&lt;=29.9),"Overweight",Table13_1[[#This Row],[Round BMI]]&gt;=30,"Obese")</f>
        <v>Healthy Weight</v>
      </c>
      <c r="D588" s="4" t="s">
        <v>11</v>
      </c>
      <c r="E588" s="4" t="str">
        <f>IF(Table13_1[[#This Row],[smoker]]="yes","smoker","non-smoker")</f>
        <v>non-smoker</v>
      </c>
      <c r="F588" s="4" t="s">
        <v>14</v>
      </c>
      <c r="G588" s="5">
        <v>21</v>
      </c>
      <c r="H588" s="5">
        <f>IF(Table13_1[[#This Row],[smoker]]="yes",1,0)</f>
        <v>0</v>
      </c>
      <c r="I588" s="4">
        <v>20.234999999999999</v>
      </c>
      <c r="J588" s="4">
        <v>3</v>
      </c>
      <c r="K588" s="12">
        <v>3861.2096000000001</v>
      </c>
      <c r="N588">
        <v>433</v>
      </c>
      <c r="O588">
        <v>7384.7126661128132</v>
      </c>
      <c r="P588">
        <v>-1414.9896661128132</v>
      </c>
    </row>
    <row r="589" spans="1:16" x14ac:dyDescent="0.25">
      <c r="A589" s="4" t="s">
        <v>7</v>
      </c>
      <c r="B589" s="4">
        <f>ROUND(Table13_1[[#This Row],[bmi]],1)</f>
        <v>30.2</v>
      </c>
      <c r="C589" s="4" t="str" cm="1">
        <f t="array" ref="C589">_xlfn.IFS(Table13_1[[#This Row],[Round BMI]]&lt;18.5,"Underweight",AND(Table13_1[[#This Row],[Round BMI]]&gt;=18.5,Table13_1[[#This Row],[Round BMI]] &lt;=24.9),"Healthy Weight",AND(Table13_1[[#This Row],[Round BMI]]&gt;=25,Table13_1[[#This Row],[Round BMI]]&lt;=29.9),"Overweight",Table13_1[[#This Row],[Round BMI]]&gt;=30,"Obese")</f>
        <v>Obese</v>
      </c>
      <c r="D589" s="4" t="s">
        <v>8</v>
      </c>
      <c r="E589" s="4" t="str">
        <f>IF(Table13_1[[#This Row],[smoker]]="yes","smoker","non-smoker")</f>
        <v>smoker</v>
      </c>
      <c r="F589" s="4" t="s">
        <v>13</v>
      </c>
      <c r="G589" s="5">
        <v>34</v>
      </c>
      <c r="H589" s="5">
        <f>IF(Table13_1[[#This Row],[smoker]]="yes",1,0)</f>
        <v>1</v>
      </c>
      <c r="I589" s="4">
        <v>30.21</v>
      </c>
      <c r="J589" s="4">
        <v>1</v>
      </c>
      <c r="K589" s="12">
        <v>43943.876100000001</v>
      </c>
      <c r="N589">
        <v>434</v>
      </c>
      <c r="O589">
        <v>13184.668848287585</v>
      </c>
      <c r="P589">
        <v>-546.4738482875855</v>
      </c>
    </row>
    <row r="590" spans="1:16" x14ac:dyDescent="0.25">
      <c r="A590" s="4" t="s">
        <v>7</v>
      </c>
      <c r="B590" s="4">
        <f>ROUND(Table13_1[[#This Row],[bmi]],1)</f>
        <v>35.9</v>
      </c>
      <c r="C590" s="4" t="str" cm="1">
        <f t="array" ref="C590">_xlfn.IFS(Table13_1[[#This Row],[Round BMI]]&lt;18.5,"Underweight",AND(Table13_1[[#This Row],[Round BMI]]&gt;=18.5,Table13_1[[#This Row],[Round BMI]] &lt;=24.9),"Healthy Weight",AND(Table13_1[[#This Row],[Round BMI]]&gt;=25,Table13_1[[#This Row],[Round BMI]]&lt;=29.9),"Overweight",Table13_1[[#This Row],[Round BMI]]&gt;=30,"Obese")</f>
        <v>Obese</v>
      </c>
      <c r="D590" s="4" t="s">
        <v>11</v>
      </c>
      <c r="E590" s="4" t="str">
        <f>IF(Table13_1[[#This Row],[smoker]]="yes","smoker","non-smoker")</f>
        <v>non-smoker</v>
      </c>
      <c r="F590" s="4" t="s">
        <v>14</v>
      </c>
      <c r="G590" s="5">
        <v>61</v>
      </c>
      <c r="H590" s="5">
        <f>IF(Table13_1[[#This Row],[smoker]]="yes",1,0)</f>
        <v>0</v>
      </c>
      <c r="I590" s="4">
        <v>35.909999999999997</v>
      </c>
      <c r="J590" s="4">
        <v>0</v>
      </c>
      <c r="K590" s="12">
        <v>13635.6379</v>
      </c>
      <c r="N590">
        <v>435</v>
      </c>
      <c r="O590">
        <v>5567.4085288405768</v>
      </c>
      <c r="P590">
        <v>-1323.8185288405766</v>
      </c>
    </row>
    <row r="591" spans="1:16" x14ac:dyDescent="0.25">
      <c r="A591" s="4" t="s">
        <v>7</v>
      </c>
      <c r="B591" s="4">
        <f>ROUND(Table13_1[[#This Row],[bmi]],1)</f>
        <v>30.7</v>
      </c>
      <c r="C591" s="4" t="str" cm="1">
        <f t="array" ref="C591">_xlfn.IFS(Table13_1[[#This Row],[Round BMI]]&lt;18.5,"Underweight",AND(Table13_1[[#This Row],[Round BMI]]&gt;=18.5,Table13_1[[#This Row],[Round BMI]] &lt;=24.9),"Healthy Weight",AND(Table13_1[[#This Row],[Round BMI]]&gt;=25,Table13_1[[#This Row],[Round BMI]]&lt;=29.9),"Overweight",Table13_1[[#This Row],[Round BMI]]&gt;=30,"Obese")</f>
        <v>Obese</v>
      </c>
      <c r="D591" s="4" t="s">
        <v>11</v>
      </c>
      <c r="E591" s="4" t="str">
        <f>IF(Table13_1[[#This Row],[smoker]]="yes","smoker","non-smoker")</f>
        <v>non-smoker</v>
      </c>
      <c r="F591" s="4" t="s">
        <v>12</v>
      </c>
      <c r="G591" s="5">
        <v>38</v>
      </c>
      <c r="H591" s="5">
        <f>IF(Table13_1[[#This Row],[smoker]]="yes",1,0)</f>
        <v>0</v>
      </c>
      <c r="I591" s="4">
        <v>30.69</v>
      </c>
      <c r="J591" s="4">
        <v>1</v>
      </c>
      <c r="K591" s="12">
        <v>5976.8311000000003</v>
      </c>
      <c r="N591">
        <v>436</v>
      </c>
      <c r="O591">
        <v>15445.207956340619</v>
      </c>
      <c r="P591">
        <v>-1525.3850563406195</v>
      </c>
    </row>
    <row r="592" spans="1:16" x14ac:dyDescent="0.25">
      <c r="A592" s="4" t="s">
        <v>7</v>
      </c>
      <c r="B592" s="4">
        <f>ROUND(Table13_1[[#This Row],[bmi]],1)</f>
        <v>29</v>
      </c>
      <c r="C592" s="4" t="str" cm="1">
        <f t="array" ref="C592">_xlfn.IFS(Table13_1[[#This Row],[Round BMI]]&lt;18.5,"Underweight",AND(Table13_1[[#This Row],[Round BMI]]&gt;=18.5,Table13_1[[#This Row],[Round BMI]] &lt;=24.9),"Healthy Weight",AND(Table13_1[[#This Row],[Round BMI]]&gt;=25,Table13_1[[#This Row],[Round BMI]]&lt;=29.9),"Overweight",Table13_1[[#This Row],[Round BMI]]&gt;=30,"Obese")</f>
        <v>Overweight</v>
      </c>
      <c r="D592" s="4" t="s">
        <v>11</v>
      </c>
      <c r="E592" s="4" t="str">
        <f>IF(Table13_1[[#This Row],[smoker]]="yes","smoker","non-smoker")</f>
        <v>non-smoker</v>
      </c>
      <c r="F592" s="4" t="s">
        <v>9</v>
      </c>
      <c r="G592" s="5">
        <v>58</v>
      </c>
      <c r="H592" s="5">
        <f>IF(Table13_1[[#This Row],[smoker]]="yes",1,0)</f>
        <v>0</v>
      </c>
      <c r="I592" s="4">
        <v>29</v>
      </c>
      <c r="J592" s="4">
        <v>0</v>
      </c>
      <c r="K592" s="12">
        <v>11842.441999999999</v>
      </c>
      <c r="N592">
        <v>437</v>
      </c>
      <c r="O592">
        <v>3782.2647952287507</v>
      </c>
      <c r="P592">
        <v>-1527.4680952287508</v>
      </c>
    </row>
    <row r="593" spans="1:16" x14ac:dyDescent="0.25">
      <c r="A593" s="4" t="s">
        <v>10</v>
      </c>
      <c r="B593" s="4">
        <f>ROUND(Table13_1[[#This Row],[bmi]],1)</f>
        <v>19.600000000000001</v>
      </c>
      <c r="C593" s="4" t="str" cm="1">
        <f t="array" ref="C593">_xlfn.IFS(Table13_1[[#This Row],[Round BMI]]&lt;18.5,"Underweight",AND(Table13_1[[#This Row],[Round BMI]]&gt;=18.5,Table13_1[[#This Row],[Round BMI]] &lt;=24.9),"Healthy Weight",AND(Table13_1[[#This Row],[Round BMI]]&gt;=25,Table13_1[[#This Row],[Round BMI]]&lt;=29.9),"Overweight",Table13_1[[#This Row],[Round BMI]]&gt;=30,"Obese")</f>
        <v>Healthy Weight</v>
      </c>
      <c r="D593" s="4" t="s">
        <v>11</v>
      </c>
      <c r="E593" s="4" t="str">
        <f>IF(Table13_1[[#This Row],[smoker]]="yes","smoker","non-smoker")</f>
        <v>non-smoker</v>
      </c>
      <c r="F593" s="4" t="s">
        <v>13</v>
      </c>
      <c r="G593" s="5">
        <v>47</v>
      </c>
      <c r="H593" s="5">
        <f>IF(Table13_1[[#This Row],[smoker]]="yes",1,0)</f>
        <v>0</v>
      </c>
      <c r="I593" s="4">
        <v>19.57</v>
      </c>
      <c r="J593" s="4">
        <v>1</v>
      </c>
      <c r="K593" s="12">
        <v>8428.0692999999992</v>
      </c>
      <c r="N593">
        <v>438</v>
      </c>
      <c r="O593">
        <v>7643.9758671202162</v>
      </c>
      <c r="P593">
        <v>-1717.1298671202167</v>
      </c>
    </row>
    <row r="594" spans="1:16" x14ac:dyDescent="0.25">
      <c r="A594" s="4" t="s">
        <v>10</v>
      </c>
      <c r="B594" s="4">
        <f>ROUND(Table13_1[[#This Row],[bmi]],1)</f>
        <v>31.1</v>
      </c>
      <c r="C594" s="4" t="str" cm="1">
        <f t="array" ref="C594">_xlfn.IFS(Table13_1[[#This Row],[Round BMI]]&lt;18.5,"Underweight",AND(Table13_1[[#This Row],[Round BMI]]&gt;=18.5,Table13_1[[#This Row],[Round BMI]] &lt;=24.9),"Healthy Weight",AND(Table13_1[[#This Row],[Round BMI]]&gt;=25,Table13_1[[#This Row],[Round BMI]]&lt;=29.9),"Overweight",Table13_1[[#This Row],[Round BMI]]&gt;=30,"Obese")</f>
        <v>Obese</v>
      </c>
      <c r="D594" s="4" t="s">
        <v>11</v>
      </c>
      <c r="E594" s="4" t="str">
        <f>IF(Table13_1[[#This Row],[smoker]]="yes","smoker","non-smoker")</f>
        <v>non-smoker</v>
      </c>
      <c r="F594" s="4" t="s">
        <v>12</v>
      </c>
      <c r="G594" s="5">
        <v>20</v>
      </c>
      <c r="H594" s="5">
        <f>IF(Table13_1[[#This Row],[smoker]]="yes",1,0)</f>
        <v>0</v>
      </c>
      <c r="I594" s="4">
        <v>31.13</v>
      </c>
      <c r="J594" s="4">
        <v>2</v>
      </c>
      <c r="K594" s="12">
        <v>2566.4706999999999</v>
      </c>
      <c r="N594">
        <v>439</v>
      </c>
      <c r="O594">
        <v>18719.469663543558</v>
      </c>
      <c r="P594">
        <v>-6126.9351635435578</v>
      </c>
    </row>
    <row r="595" spans="1:16" x14ac:dyDescent="0.25">
      <c r="A595" s="4" t="s">
        <v>7</v>
      </c>
      <c r="B595" s="4">
        <f>ROUND(Table13_1[[#This Row],[bmi]],1)</f>
        <v>21.9</v>
      </c>
      <c r="C595" s="4" t="str" cm="1">
        <f t="array" ref="C595">_xlfn.IFS(Table13_1[[#This Row],[Round BMI]]&lt;18.5,"Underweight",AND(Table13_1[[#This Row],[Round BMI]]&gt;=18.5,Table13_1[[#This Row],[Round BMI]] &lt;=24.9),"Healthy Weight",AND(Table13_1[[#This Row],[Round BMI]]&gt;=25,Table13_1[[#This Row],[Round BMI]]&lt;=29.9),"Overweight",Table13_1[[#This Row],[Round BMI]]&gt;=30,"Obese")</f>
        <v>Healthy Weight</v>
      </c>
      <c r="D595" s="4" t="s">
        <v>8</v>
      </c>
      <c r="E595" s="4" t="str">
        <f>IF(Table13_1[[#This Row],[smoker]]="yes","smoker","non-smoker")</f>
        <v>smoker</v>
      </c>
      <c r="F595" s="4" t="s">
        <v>14</v>
      </c>
      <c r="G595" s="5">
        <v>21</v>
      </c>
      <c r="H595" s="5">
        <f>IF(Table13_1[[#This Row],[smoker]]="yes",1,0)</f>
        <v>1</v>
      </c>
      <c r="I595" s="4">
        <v>21.85</v>
      </c>
      <c r="J595" s="4">
        <v>1</v>
      </c>
      <c r="K595" s="12">
        <v>15359.104499999999</v>
      </c>
      <c r="N595">
        <v>440</v>
      </c>
      <c r="O595">
        <v>4079.8416260722097</v>
      </c>
      <c r="P595">
        <v>-1182.5181260722097</v>
      </c>
    </row>
    <row r="596" spans="1:16" x14ac:dyDescent="0.25">
      <c r="A596" s="4" t="s">
        <v>10</v>
      </c>
      <c r="B596" s="4">
        <f>ROUND(Table13_1[[#This Row],[bmi]],1)</f>
        <v>40.299999999999997</v>
      </c>
      <c r="C596" s="4" t="str" cm="1">
        <f t="array" ref="C596">_xlfn.IFS(Table13_1[[#This Row],[Round BMI]]&lt;18.5,"Underweight",AND(Table13_1[[#This Row],[Round BMI]]&gt;=18.5,Table13_1[[#This Row],[Round BMI]] &lt;=24.9),"Healthy Weight",AND(Table13_1[[#This Row],[Round BMI]]&gt;=25,Table13_1[[#This Row],[Round BMI]]&lt;=29.9),"Overweight",Table13_1[[#This Row],[Round BMI]]&gt;=30,"Obese")</f>
        <v>Obese</v>
      </c>
      <c r="D596" s="4" t="s">
        <v>11</v>
      </c>
      <c r="E596" s="4" t="str">
        <f>IF(Table13_1[[#This Row],[smoker]]="yes","smoker","non-smoker")</f>
        <v>non-smoker</v>
      </c>
      <c r="F596" s="4" t="s">
        <v>12</v>
      </c>
      <c r="G596" s="5">
        <v>41</v>
      </c>
      <c r="H596" s="5">
        <f>IF(Table13_1[[#This Row],[smoker]]="yes",1,0)</f>
        <v>0</v>
      </c>
      <c r="I596" s="4">
        <v>40.26</v>
      </c>
      <c r="J596" s="4">
        <v>0</v>
      </c>
      <c r="K596" s="12">
        <v>5709.1643999999997</v>
      </c>
      <c r="N596">
        <v>441</v>
      </c>
      <c r="O596">
        <v>6882.1715094469291</v>
      </c>
      <c r="P596">
        <v>-2143.9033094469287</v>
      </c>
    </row>
    <row r="597" spans="1:16" x14ac:dyDescent="0.25">
      <c r="A597" s="4" t="s">
        <v>7</v>
      </c>
      <c r="B597" s="4">
        <f>ROUND(Table13_1[[#This Row],[bmi]],1)</f>
        <v>33.700000000000003</v>
      </c>
      <c r="C597" s="4" t="str" cm="1">
        <f t="array" ref="C597">_xlfn.IFS(Table13_1[[#This Row],[Round BMI]]&lt;18.5,"Underweight",AND(Table13_1[[#This Row],[Round BMI]]&gt;=18.5,Table13_1[[#This Row],[Round BMI]] &lt;=24.9),"Healthy Weight",AND(Table13_1[[#This Row],[Round BMI]]&gt;=25,Table13_1[[#This Row],[Round BMI]]&lt;=29.9),"Overweight",Table13_1[[#This Row],[Round BMI]]&gt;=30,"Obese")</f>
        <v>Obese</v>
      </c>
      <c r="D597" s="4" t="s">
        <v>11</v>
      </c>
      <c r="E597" s="4" t="str">
        <f>IF(Table13_1[[#This Row],[smoker]]="yes","smoker","non-smoker")</f>
        <v>non-smoker</v>
      </c>
      <c r="F597" s="4" t="s">
        <v>14</v>
      </c>
      <c r="G597" s="5">
        <v>46</v>
      </c>
      <c r="H597" s="5">
        <f>IF(Table13_1[[#This Row],[smoker]]="yes",1,0)</f>
        <v>0</v>
      </c>
      <c r="I597" s="4">
        <v>33.725000000000001</v>
      </c>
      <c r="J597" s="4">
        <v>1</v>
      </c>
      <c r="K597" s="12">
        <v>8823.9858000000004</v>
      </c>
      <c r="N597">
        <v>442</v>
      </c>
      <c r="O597">
        <v>30999.686204907135</v>
      </c>
      <c r="P597">
        <v>6079.6857950928679</v>
      </c>
    </row>
    <row r="598" spans="1:16" x14ac:dyDescent="0.25">
      <c r="A598" s="4" t="s">
        <v>7</v>
      </c>
      <c r="B598" s="4">
        <f>ROUND(Table13_1[[#This Row],[bmi]],1)</f>
        <v>29.5</v>
      </c>
      <c r="C598" s="4" t="str" cm="1">
        <f t="array" ref="C598">_xlfn.IFS(Table13_1[[#This Row],[Round BMI]]&lt;18.5,"Underweight",AND(Table13_1[[#This Row],[Round BMI]]&gt;=18.5,Table13_1[[#This Row],[Round BMI]] &lt;=24.9),"Healthy Weight",AND(Table13_1[[#This Row],[Round BMI]]&gt;=25,Table13_1[[#This Row],[Round BMI]]&lt;=29.9),"Overweight",Table13_1[[#This Row],[Round BMI]]&gt;=30,"Obese")</f>
        <v>Overweight</v>
      </c>
      <c r="D598" s="4" t="s">
        <v>11</v>
      </c>
      <c r="E598" s="4" t="str">
        <f>IF(Table13_1[[#This Row],[smoker]]="yes","smoker","non-smoker")</f>
        <v>non-smoker</v>
      </c>
      <c r="F598" s="4" t="s">
        <v>12</v>
      </c>
      <c r="G598" s="5">
        <v>42</v>
      </c>
      <c r="H598" s="5">
        <f>IF(Table13_1[[#This Row],[smoker]]="yes",1,0)</f>
        <v>0</v>
      </c>
      <c r="I598" s="4">
        <v>29.48</v>
      </c>
      <c r="J598" s="4">
        <v>2</v>
      </c>
      <c r="K598" s="12">
        <v>7640.3091999999997</v>
      </c>
      <c r="N598">
        <v>443</v>
      </c>
      <c r="O598">
        <v>6381.3505899562042</v>
      </c>
      <c r="P598">
        <v>-5231.9546899562047</v>
      </c>
    </row>
    <row r="599" spans="1:16" x14ac:dyDescent="0.25">
      <c r="A599" s="4" t="s">
        <v>7</v>
      </c>
      <c r="B599" s="4">
        <f>ROUND(Table13_1[[#This Row],[bmi]],1)</f>
        <v>33.299999999999997</v>
      </c>
      <c r="C599" s="4" t="str" cm="1">
        <f t="array" ref="C599">_xlfn.IFS(Table13_1[[#This Row],[Round BMI]]&lt;18.5,"Underweight",AND(Table13_1[[#This Row],[Round BMI]]&gt;=18.5,Table13_1[[#This Row],[Round BMI]] &lt;=24.9),"Healthy Weight",AND(Table13_1[[#This Row],[Round BMI]]&gt;=25,Table13_1[[#This Row],[Round BMI]]&lt;=29.9),"Overweight",Table13_1[[#This Row],[Round BMI]]&gt;=30,"Obese")</f>
        <v>Obese</v>
      </c>
      <c r="D599" s="4" t="s">
        <v>11</v>
      </c>
      <c r="E599" s="4" t="str">
        <f>IF(Table13_1[[#This Row],[smoker]]="yes","smoker","non-smoker")</f>
        <v>non-smoker</v>
      </c>
      <c r="F599" s="4" t="s">
        <v>14</v>
      </c>
      <c r="G599" s="5">
        <v>34</v>
      </c>
      <c r="H599" s="5">
        <f>IF(Table13_1[[#This Row],[smoker]]="yes",1,0)</f>
        <v>0</v>
      </c>
      <c r="I599" s="4">
        <v>33.25</v>
      </c>
      <c r="J599" s="4">
        <v>1</v>
      </c>
      <c r="K599" s="12">
        <v>5594.8455000000004</v>
      </c>
      <c r="N599">
        <v>444</v>
      </c>
      <c r="O599">
        <v>15337.867101607155</v>
      </c>
      <c r="P599">
        <v>12950.030598392847</v>
      </c>
    </row>
    <row r="600" spans="1:16" x14ac:dyDescent="0.25">
      <c r="A600" s="4" t="s">
        <v>10</v>
      </c>
      <c r="B600" s="4">
        <f>ROUND(Table13_1[[#This Row],[bmi]],1)</f>
        <v>32.6</v>
      </c>
      <c r="C600" s="4" t="str" cm="1">
        <f t="array" ref="C600">_xlfn.IFS(Table13_1[[#This Row],[Round BMI]]&lt;18.5,"Underweight",AND(Table13_1[[#This Row],[Round BMI]]&gt;=18.5,Table13_1[[#This Row],[Round BMI]] &lt;=24.9),"Healthy Weight",AND(Table13_1[[#This Row],[Round BMI]]&gt;=25,Table13_1[[#This Row],[Round BMI]]&lt;=29.9),"Overweight",Table13_1[[#This Row],[Round BMI]]&gt;=30,"Obese")</f>
        <v>Obese</v>
      </c>
      <c r="D600" s="4" t="s">
        <v>11</v>
      </c>
      <c r="E600" s="4" t="str">
        <f>IF(Table13_1[[#This Row],[smoker]]="yes","smoker","non-smoker")</f>
        <v>non-smoker</v>
      </c>
      <c r="F600" s="4" t="s">
        <v>9</v>
      </c>
      <c r="G600" s="5">
        <v>43</v>
      </c>
      <c r="H600" s="5">
        <f>IF(Table13_1[[#This Row],[smoker]]="yes",1,0)</f>
        <v>0</v>
      </c>
      <c r="I600" s="4">
        <v>32.6</v>
      </c>
      <c r="J600" s="4">
        <v>2</v>
      </c>
      <c r="K600" s="12">
        <v>7441.5010000000002</v>
      </c>
      <c r="N600">
        <v>445</v>
      </c>
      <c r="O600">
        <v>35213.528392716697</v>
      </c>
      <c r="P600">
        <v>-9104.199392716695</v>
      </c>
    </row>
    <row r="601" spans="1:16" x14ac:dyDescent="0.25">
      <c r="A601" s="4" t="s">
        <v>7</v>
      </c>
      <c r="B601" s="4">
        <f>ROUND(Table13_1[[#This Row],[bmi]],1)</f>
        <v>37.5</v>
      </c>
      <c r="C601" s="4" t="str" cm="1">
        <f t="array" ref="C601">_xlfn.IFS(Table13_1[[#This Row],[Round BMI]]&lt;18.5,"Underweight",AND(Table13_1[[#This Row],[Round BMI]]&gt;=18.5,Table13_1[[#This Row],[Round BMI]] &lt;=24.9),"Healthy Weight",AND(Table13_1[[#This Row],[Round BMI]]&gt;=25,Table13_1[[#This Row],[Round BMI]]&lt;=29.9),"Overweight",Table13_1[[#This Row],[Round BMI]]&gt;=30,"Obese")</f>
        <v>Obese</v>
      </c>
      <c r="D601" s="4" t="s">
        <v>11</v>
      </c>
      <c r="E601" s="4" t="str">
        <f>IF(Table13_1[[#This Row],[smoker]]="yes","smoker","non-smoker")</f>
        <v>non-smoker</v>
      </c>
      <c r="F601" s="4" t="s">
        <v>13</v>
      </c>
      <c r="G601" s="5">
        <v>52</v>
      </c>
      <c r="H601" s="5">
        <f>IF(Table13_1[[#This Row],[smoker]]="yes",1,0)</f>
        <v>0</v>
      </c>
      <c r="I601" s="4">
        <v>37.524999999999999</v>
      </c>
      <c r="J601" s="4">
        <v>2</v>
      </c>
      <c r="K601" s="12">
        <v>33471.971899999997</v>
      </c>
      <c r="N601">
        <v>446</v>
      </c>
      <c r="O601">
        <v>10153.7398857194</v>
      </c>
      <c r="P601">
        <v>-2808.6558857194004</v>
      </c>
    </row>
    <row r="602" spans="1:16" x14ac:dyDescent="0.25">
      <c r="A602" s="4" t="s">
        <v>7</v>
      </c>
      <c r="B602" s="4">
        <f>ROUND(Table13_1[[#This Row],[bmi]],1)</f>
        <v>39.200000000000003</v>
      </c>
      <c r="C602" s="4" t="str" cm="1">
        <f t="array" ref="C602">_xlfn.IFS(Table13_1[[#This Row],[Round BMI]]&lt;18.5,"Underweight",AND(Table13_1[[#This Row],[Round BMI]]&gt;=18.5,Table13_1[[#This Row],[Round BMI]] &lt;=24.9),"Healthy Weight",AND(Table13_1[[#This Row],[Round BMI]]&gt;=25,Table13_1[[#This Row],[Round BMI]]&lt;=29.9),"Overweight",Table13_1[[#This Row],[Round BMI]]&gt;=30,"Obese")</f>
        <v>Obese</v>
      </c>
      <c r="D602" s="4" t="s">
        <v>11</v>
      </c>
      <c r="E602" s="4" t="str">
        <f>IF(Table13_1[[#This Row],[smoker]]="yes","smoker","non-smoker")</f>
        <v>non-smoker</v>
      </c>
      <c r="F602" s="4" t="s">
        <v>12</v>
      </c>
      <c r="G602" s="5">
        <v>18</v>
      </c>
      <c r="H602" s="5">
        <f>IF(Table13_1[[#This Row],[smoker]]="yes",1,0)</f>
        <v>0</v>
      </c>
      <c r="I602" s="4">
        <v>39.159999999999997</v>
      </c>
      <c r="J602" s="4">
        <v>0</v>
      </c>
      <c r="K602" s="12">
        <v>1633.0444</v>
      </c>
      <c r="N602">
        <v>447</v>
      </c>
      <c r="O602">
        <v>12907.876641844143</v>
      </c>
      <c r="P602">
        <v>-176.8770418441436</v>
      </c>
    </row>
    <row r="603" spans="1:16" x14ac:dyDescent="0.25">
      <c r="A603" s="4" t="s">
        <v>10</v>
      </c>
      <c r="B603" s="4">
        <f>ROUND(Table13_1[[#This Row],[bmi]],1)</f>
        <v>31.6</v>
      </c>
      <c r="C603" s="4" t="str" cm="1">
        <f t="array" ref="C603">_xlfn.IFS(Table13_1[[#This Row],[Round BMI]]&lt;18.5,"Underweight",AND(Table13_1[[#This Row],[Round BMI]]&gt;=18.5,Table13_1[[#This Row],[Round BMI]] &lt;=24.9),"Healthy Weight",AND(Table13_1[[#This Row],[Round BMI]]&gt;=25,Table13_1[[#This Row],[Round BMI]]&lt;=29.9),"Overweight",Table13_1[[#This Row],[Round BMI]]&gt;=30,"Obese")</f>
        <v>Obese</v>
      </c>
      <c r="D603" s="4" t="s">
        <v>11</v>
      </c>
      <c r="E603" s="4" t="str">
        <f>IF(Table13_1[[#This Row],[smoker]]="yes","smoker","non-smoker")</f>
        <v>non-smoker</v>
      </c>
      <c r="F603" s="4" t="s">
        <v>13</v>
      </c>
      <c r="G603" s="5">
        <v>51</v>
      </c>
      <c r="H603" s="5">
        <f>IF(Table13_1[[#This Row],[smoker]]="yes",1,0)</f>
        <v>0</v>
      </c>
      <c r="I603" s="4">
        <v>31.635000000000002</v>
      </c>
      <c r="J603" s="4">
        <v>0</v>
      </c>
      <c r="K603" s="12">
        <v>9174.1355999999996</v>
      </c>
      <c r="N603">
        <v>448</v>
      </c>
      <c r="O603">
        <v>10592.291515186282</v>
      </c>
      <c r="P603">
        <v>861.72998481371906</v>
      </c>
    </row>
    <row r="604" spans="1:16" x14ac:dyDescent="0.25">
      <c r="A604" s="4" t="s">
        <v>7</v>
      </c>
      <c r="B604" s="4">
        <f>ROUND(Table13_1[[#This Row],[bmi]],1)</f>
        <v>25.3</v>
      </c>
      <c r="C604" s="4" t="str" cm="1">
        <f t="array" ref="C604">_xlfn.IFS(Table13_1[[#This Row],[Round BMI]]&lt;18.5,"Underweight",AND(Table13_1[[#This Row],[Round BMI]]&gt;=18.5,Table13_1[[#This Row],[Round BMI]] &lt;=24.9),"Healthy Weight",AND(Table13_1[[#This Row],[Round BMI]]&gt;=25,Table13_1[[#This Row],[Round BMI]]&lt;=29.9),"Overweight",Table13_1[[#This Row],[Round BMI]]&gt;=30,"Obese")</f>
        <v>Overweight</v>
      </c>
      <c r="D604" s="4" t="s">
        <v>11</v>
      </c>
      <c r="E604" s="4" t="str">
        <f>IF(Table13_1[[#This Row],[smoker]]="yes","smoker","non-smoker")</f>
        <v>non-smoker</v>
      </c>
      <c r="F604" s="4" t="s">
        <v>9</v>
      </c>
      <c r="G604" s="5">
        <v>56</v>
      </c>
      <c r="H604" s="5">
        <f>IF(Table13_1[[#This Row],[smoker]]="yes",1,0)</f>
        <v>0</v>
      </c>
      <c r="I604" s="4">
        <v>25.3</v>
      </c>
      <c r="J604" s="4">
        <v>0</v>
      </c>
      <c r="K604" s="12">
        <v>11070.535</v>
      </c>
      <c r="N604">
        <v>449</v>
      </c>
      <c r="O604">
        <v>7738.0124391233749</v>
      </c>
      <c r="P604">
        <v>-1827.0684391233744</v>
      </c>
    </row>
    <row r="605" spans="1:16" x14ac:dyDescent="0.25">
      <c r="A605" s="4" t="s">
        <v>7</v>
      </c>
      <c r="B605" s="4">
        <f>ROUND(Table13_1[[#This Row],[bmi]],1)</f>
        <v>39.1</v>
      </c>
      <c r="C605" s="4" t="str" cm="1">
        <f t="array" ref="C605">_xlfn.IFS(Table13_1[[#This Row],[Round BMI]]&lt;18.5,"Underweight",AND(Table13_1[[#This Row],[Round BMI]]&gt;=18.5,Table13_1[[#This Row],[Round BMI]] &lt;=24.9),"Healthy Weight",AND(Table13_1[[#This Row],[Round BMI]]&gt;=25,Table13_1[[#This Row],[Round BMI]]&lt;=29.9),"Overweight",Table13_1[[#This Row],[Round BMI]]&gt;=30,"Obese")</f>
        <v>Obese</v>
      </c>
      <c r="D605" s="4" t="s">
        <v>11</v>
      </c>
      <c r="E605" s="4" t="str">
        <f>IF(Table13_1[[#This Row],[smoker]]="yes","smoker","non-smoker")</f>
        <v>non-smoker</v>
      </c>
      <c r="F605" s="4" t="s">
        <v>12</v>
      </c>
      <c r="G605" s="5">
        <v>64</v>
      </c>
      <c r="H605" s="5">
        <f>IF(Table13_1[[#This Row],[smoker]]="yes",1,0)</f>
        <v>0</v>
      </c>
      <c r="I605" s="4">
        <v>39.049999999999997</v>
      </c>
      <c r="J605" s="4">
        <v>3</v>
      </c>
      <c r="K605" s="12">
        <v>16085.127500000001</v>
      </c>
      <c r="N605">
        <v>450</v>
      </c>
      <c r="O605">
        <v>9818.9298435883338</v>
      </c>
      <c r="P605">
        <v>-5056.6008435883341</v>
      </c>
    </row>
    <row r="606" spans="1:16" x14ac:dyDescent="0.25">
      <c r="A606" s="4" t="s">
        <v>7</v>
      </c>
      <c r="B606" s="4">
        <f>ROUND(Table13_1[[#This Row],[bmi]],1)</f>
        <v>28.3</v>
      </c>
      <c r="C606" s="4" t="str" cm="1">
        <f t="array" ref="C606">_xlfn.IFS(Table13_1[[#This Row],[Round BMI]]&lt;18.5,"Underweight",AND(Table13_1[[#This Row],[Round BMI]]&gt;=18.5,Table13_1[[#This Row],[Round BMI]] &lt;=24.9),"Healthy Weight",AND(Table13_1[[#This Row],[Round BMI]]&gt;=25,Table13_1[[#This Row],[Round BMI]]&lt;=29.9),"Overweight",Table13_1[[#This Row],[Round BMI]]&gt;=30,"Obese")</f>
        <v>Overweight</v>
      </c>
      <c r="D606" s="4" t="s">
        <v>8</v>
      </c>
      <c r="E606" s="4" t="str">
        <f>IF(Table13_1[[#This Row],[smoker]]="yes","smoker","non-smoker")</f>
        <v>smoker</v>
      </c>
      <c r="F606" s="4" t="s">
        <v>13</v>
      </c>
      <c r="G606" s="5">
        <v>19</v>
      </c>
      <c r="H606" s="5">
        <f>IF(Table13_1[[#This Row],[smoker]]="yes",1,0)</f>
        <v>1</v>
      </c>
      <c r="I606" s="4">
        <v>28.31</v>
      </c>
      <c r="J606" s="4">
        <v>0</v>
      </c>
      <c r="K606" s="12">
        <v>17468.983899999999</v>
      </c>
      <c r="N606">
        <v>451</v>
      </c>
      <c r="O606">
        <v>9374.1721939763138</v>
      </c>
      <c r="P606">
        <v>-1861.905193976314</v>
      </c>
    </row>
    <row r="607" spans="1:16" x14ac:dyDescent="0.25">
      <c r="A607" s="4" t="s">
        <v>7</v>
      </c>
      <c r="B607" s="4">
        <f>ROUND(Table13_1[[#This Row],[bmi]],1)</f>
        <v>34.1</v>
      </c>
      <c r="C607" s="4" t="str" cm="1">
        <f t="array" ref="C607">_xlfn.IFS(Table13_1[[#This Row],[Round BMI]]&lt;18.5,"Underweight",AND(Table13_1[[#This Row],[Round BMI]]&gt;=18.5,Table13_1[[#This Row],[Round BMI]] &lt;=24.9),"Healthy Weight",AND(Table13_1[[#This Row],[Round BMI]]&gt;=25,Table13_1[[#This Row],[Round BMI]]&lt;=29.9),"Overweight",Table13_1[[#This Row],[Round BMI]]&gt;=30,"Obese")</f>
        <v>Obese</v>
      </c>
      <c r="D607" s="4" t="s">
        <v>11</v>
      </c>
      <c r="E607" s="4" t="str">
        <f>IF(Table13_1[[#This Row],[smoker]]="yes","smoker","non-smoker")</f>
        <v>non-smoker</v>
      </c>
      <c r="F607" s="4" t="s">
        <v>12</v>
      </c>
      <c r="G607" s="5">
        <v>51</v>
      </c>
      <c r="H607" s="5">
        <f>IF(Table13_1[[#This Row],[smoker]]="yes",1,0)</f>
        <v>0</v>
      </c>
      <c r="I607" s="4">
        <v>34.1</v>
      </c>
      <c r="J607" s="4">
        <v>0</v>
      </c>
      <c r="K607" s="12">
        <v>9283.5619999999999</v>
      </c>
      <c r="N607">
        <v>452</v>
      </c>
      <c r="O607">
        <v>3872.4925078242063</v>
      </c>
      <c r="P607">
        <v>159.74819217579352</v>
      </c>
    </row>
    <row r="608" spans="1:16" x14ac:dyDescent="0.25">
      <c r="A608" s="4" t="s">
        <v>7</v>
      </c>
      <c r="B608" s="4">
        <f>ROUND(Table13_1[[#This Row],[bmi]],1)</f>
        <v>25.2</v>
      </c>
      <c r="C608" s="4" t="str" cm="1">
        <f t="array" ref="C608">_xlfn.IFS(Table13_1[[#This Row],[Round BMI]]&lt;18.5,"Underweight",AND(Table13_1[[#This Row],[Round BMI]]&gt;=18.5,Table13_1[[#This Row],[Round BMI]] &lt;=24.9),"Healthy Weight",AND(Table13_1[[#This Row],[Round BMI]]&gt;=25,Table13_1[[#This Row],[Round BMI]]&lt;=29.9),"Overweight",Table13_1[[#This Row],[Round BMI]]&gt;=30,"Obese")</f>
        <v>Overweight</v>
      </c>
      <c r="D608" s="4" t="s">
        <v>11</v>
      </c>
      <c r="E608" s="4" t="str">
        <f>IF(Table13_1[[#This Row],[smoker]]="yes","smoker","non-smoker")</f>
        <v>non-smoker</v>
      </c>
      <c r="F608" s="4" t="s">
        <v>14</v>
      </c>
      <c r="G608" s="5">
        <v>27</v>
      </c>
      <c r="H608" s="5">
        <f>IF(Table13_1[[#This Row],[smoker]]="yes",1,0)</f>
        <v>0</v>
      </c>
      <c r="I608" s="4">
        <v>25.175000000000001</v>
      </c>
      <c r="J608" s="4">
        <v>0</v>
      </c>
      <c r="K608" s="12">
        <v>3558.6201999999998</v>
      </c>
      <c r="N608">
        <v>453</v>
      </c>
      <c r="O608">
        <v>1616.9416242221632</v>
      </c>
      <c r="P608">
        <v>352.67237577783681</v>
      </c>
    </row>
    <row r="609" spans="1:16" x14ac:dyDescent="0.25">
      <c r="A609" s="4" t="s">
        <v>7</v>
      </c>
      <c r="B609" s="4">
        <f>ROUND(Table13_1[[#This Row],[bmi]],1)</f>
        <v>23.7</v>
      </c>
      <c r="C609" s="4" t="str" cm="1">
        <f t="array" ref="C609">_xlfn.IFS(Table13_1[[#This Row],[Round BMI]]&lt;18.5,"Underweight",AND(Table13_1[[#This Row],[Round BMI]]&gt;=18.5,Table13_1[[#This Row],[Round BMI]] &lt;=24.9),"Healthy Weight",AND(Table13_1[[#This Row],[Round BMI]]&gt;=25,Table13_1[[#This Row],[Round BMI]]&lt;=29.9),"Overweight",Table13_1[[#This Row],[Round BMI]]&gt;=30,"Obese")</f>
        <v>Healthy Weight</v>
      </c>
      <c r="D609" s="4" t="s">
        <v>8</v>
      </c>
      <c r="E609" s="4" t="str">
        <f>IF(Table13_1[[#This Row],[smoker]]="yes","smoker","non-smoker")</f>
        <v>smoker</v>
      </c>
      <c r="F609" s="4" t="s">
        <v>13</v>
      </c>
      <c r="G609" s="5">
        <v>59</v>
      </c>
      <c r="H609" s="5">
        <f>IF(Table13_1[[#This Row],[smoker]]="yes",1,0)</f>
        <v>1</v>
      </c>
      <c r="I609" s="4">
        <v>23.655000000000001</v>
      </c>
      <c r="J609" s="4">
        <v>0</v>
      </c>
      <c r="K609" s="12">
        <v>25678.778399999999</v>
      </c>
      <c r="N609">
        <v>454</v>
      </c>
      <c r="O609">
        <v>2624.4722318998192</v>
      </c>
      <c r="P609">
        <v>-854.94063189981921</v>
      </c>
    </row>
    <row r="610" spans="1:16" x14ac:dyDescent="0.25">
      <c r="A610" s="4" t="s">
        <v>10</v>
      </c>
      <c r="B610" s="4">
        <f>ROUND(Table13_1[[#This Row],[bmi]],1)</f>
        <v>27</v>
      </c>
      <c r="C610" s="4" t="str" cm="1">
        <f t="array" ref="C610">_xlfn.IFS(Table13_1[[#This Row],[Round BMI]]&lt;18.5,"Underweight",AND(Table13_1[[#This Row],[Round BMI]]&gt;=18.5,Table13_1[[#This Row],[Round BMI]] &lt;=24.9),"Healthy Weight",AND(Table13_1[[#This Row],[Round BMI]]&gt;=25,Table13_1[[#This Row],[Round BMI]]&lt;=29.9),"Overweight",Table13_1[[#This Row],[Round BMI]]&gt;=30,"Obese")</f>
        <v>Overweight</v>
      </c>
      <c r="D610" s="4" t="s">
        <v>11</v>
      </c>
      <c r="E610" s="4" t="str">
        <f>IF(Table13_1[[#This Row],[smoker]]="yes","smoker","non-smoker")</f>
        <v>non-smoker</v>
      </c>
      <c r="F610" s="4" t="s">
        <v>14</v>
      </c>
      <c r="G610" s="5">
        <v>28</v>
      </c>
      <c r="H610" s="5">
        <f>IF(Table13_1[[#This Row],[smoker]]="yes",1,0)</f>
        <v>0</v>
      </c>
      <c r="I610" s="4">
        <v>26.98</v>
      </c>
      <c r="J610" s="4">
        <v>2</v>
      </c>
      <c r="K610" s="12">
        <v>4435.0941999999995</v>
      </c>
      <c r="N610">
        <v>455</v>
      </c>
      <c r="O610">
        <v>12071.165261673903</v>
      </c>
      <c r="P610">
        <v>-7384.7765616739025</v>
      </c>
    </row>
    <row r="611" spans="1:16" x14ac:dyDescent="0.25">
      <c r="A611" s="4" t="s">
        <v>10</v>
      </c>
      <c r="B611" s="4">
        <f>ROUND(Table13_1[[#This Row],[bmi]],1)</f>
        <v>37.799999999999997</v>
      </c>
      <c r="C611" s="4" t="str" cm="1">
        <f t="array" ref="C611">_xlfn.IFS(Table13_1[[#This Row],[Round BMI]]&lt;18.5,"Underweight",AND(Table13_1[[#This Row],[Round BMI]]&gt;=18.5,Table13_1[[#This Row],[Round BMI]] &lt;=24.9),"Healthy Weight",AND(Table13_1[[#This Row],[Round BMI]]&gt;=25,Table13_1[[#This Row],[Round BMI]]&lt;=29.9),"Overweight",Table13_1[[#This Row],[Round BMI]]&gt;=30,"Obese")</f>
        <v>Obese</v>
      </c>
      <c r="D611" s="4" t="s">
        <v>8</v>
      </c>
      <c r="E611" s="4" t="str">
        <f>IF(Table13_1[[#This Row],[smoker]]="yes","smoker","non-smoker")</f>
        <v>smoker</v>
      </c>
      <c r="F611" s="4" t="s">
        <v>9</v>
      </c>
      <c r="G611" s="5">
        <v>30</v>
      </c>
      <c r="H611" s="5">
        <f>IF(Table13_1[[#This Row],[smoker]]="yes",1,0)</f>
        <v>1</v>
      </c>
      <c r="I611" s="4">
        <v>37.799999999999997</v>
      </c>
      <c r="J611" s="4">
        <v>2</v>
      </c>
      <c r="K611" s="12">
        <v>39241.442000000003</v>
      </c>
      <c r="N611">
        <v>456</v>
      </c>
      <c r="O611">
        <v>15147.594020561597</v>
      </c>
      <c r="P611">
        <v>6649.4063794384037</v>
      </c>
    </row>
    <row r="612" spans="1:16" x14ac:dyDescent="0.25">
      <c r="A612" s="4" t="s">
        <v>7</v>
      </c>
      <c r="B612" s="4">
        <f>ROUND(Table13_1[[#This Row],[bmi]],1)</f>
        <v>29.4</v>
      </c>
      <c r="C612" s="4" t="str" cm="1">
        <f t="array" ref="C612">_xlfn.IFS(Table13_1[[#This Row],[Round BMI]]&lt;18.5,"Underweight",AND(Table13_1[[#This Row],[Round BMI]]&gt;=18.5,Table13_1[[#This Row],[Round BMI]] &lt;=24.9),"Healthy Weight",AND(Table13_1[[#This Row],[Round BMI]]&gt;=25,Table13_1[[#This Row],[Round BMI]]&lt;=29.9),"Overweight",Table13_1[[#This Row],[Round BMI]]&gt;=30,"Obese")</f>
        <v>Overweight</v>
      </c>
      <c r="D612" s="4" t="s">
        <v>11</v>
      </c>
      <c r="E612" s="4" t="str">
        <f>IF(Table13_1[[#This Row],[smoker]]="yes","smoker","non-smoker")</f>
        <v>non-smoker</v>
      </c>
      <c r="F612" s="4" t="s">
        <v>12</v>
      </c>
      <c r="G612" s="5">
        <v>47</v>
      </c>
      <c r="H612" s="5">
        <f>IF(Table13_1[[#This Row],[smoker]]="yes",1,0)</f>
        <v>0</v>
      </c>
      <c r="I612" s="4">
        <v>29.37</v>
      </c>
      <c r="J612" s="4">
        <v>1</v>
      </c>
      <c r="K612" s="12">
        <v>8547.6913000000004</v>
      </c>
      <c r="N612">
        <v>457</v>
      </c>
      <c r="O612">
        <v>12726.559437704616</v>
      </c>
      <c r="P612">
        <v>-844.589837704616</v>
      </c>
    </row>
    <row r="613" spans="1:16" x14ac:dyDescent="0.25">
      <c r="A613" s="4" t="s">
        <v>7</v>
      </c>
      <c r="B613" s="4">
        <f>ROUND(Table13_1[[#This Row],[bmi]],1)</f>
        <v>34.799999999999997</v>
      </c>
      <c r="C613" s="4" t="str" cm="1">
        <f t="array" ref="C613">_xlfn.IFS(Table13_1[[#This Row],[Round BMI]]&lt;18.5,"Underweight",AND(Table13_1[[#This Row],[Round BMI]]&gt;=18.5,Table13_1[[#This Row],[Round BMI]] &lt;=24.9),"Healthy Weight",AND(Table13_1[[#This Row],[Round BMI]]&gt;=25,Table13_1[[#This Row],[Round BMI]]&lt;=29.9),"Overweight",Table13_1[[#This Row],[Round BMI]]&gt;=30,"Obese")</f>
        <v>Obese</v>
      </c>
      <c r="D613" s="4" t="s">
        <v>11</v>
      </c>
      <c r="E613" s="4" t="str">
        <f>IF(Table13_1[[#This Row],[smoker]]="yes","smoker","non-smoker")</f>
        <v>non-smoker</v>
      </c>
      <c r="F613" s="4" t="s">
        <v>9</v>
      </c>
      <c r="G613" s="5">
        <v>38</v>
      </c>
      <c r="H613" s="5">
        <f>IF(Table13_1[[#This Row],[smoker]]="yes",1,0)</f>
        <v>0</v>
      </c>
      <c r="I613" s="4">
        <v>34.799999999999997</v>
      </c>
      <c r="J613" s="4">
        <v>2</v>
      </c>
      <c r="K613" s="12">
        <v>6571.5439999999999</v>
      </c>
      <c r="N613">
        <v>458</v>
      </c>
      <c r="O613">
        <v>12409.511069282311</v>
      </c>
      <c r="P613">
        <v>-568.73606928231129</v>
      </c>
    </row>
    <row r="614" spans="1:16" x14ac:dyDescent="0.25">
      <c r="A614" s="4" t="s">
        <v>7</v>
      </c>
      <c r="B614" s="4">
        <f>ROUND(Table13_1[[#This Row],[bmi]],1)</f>
        <v>33.200000000000003</v>
      </c>
      <c r="C614" s="4" t="str" cm="1">
        <f t="array" ref="C614">_xlfn.IFS(Table13_1[[#This Row],[Round BMI]]&lt;18.5,"Underweight",AND(Table13_1[[#This Row],[Round BMI]]&gt;=18.5,Table13_1[[#This Row],[Round BMI]] &lt;=24.9),"Healthy Weight",AND(Table13_1[[#This Row],[Round BMI]]&gt;=25,Table13_1[[#This Row],[Round BMI]]&lt;=29.9),"Overweight",Table13_1[[#This Row],[Round BMI]]&gt;=30,"Obese")</f>
        <v>Obese</v>
      </c>
      <c r="D614" s="4" t="s">
        <v>11</v>
      </c>
      <c r="E614" s="4" t="str">
        <f>IF(Table13_1[[#This Row],[smoker]]="yes","smoker","non-smoker")</f>
        <v>non-smoker</v>
      </c>
      <c r="F614" s="4" t="s">
        <v>14</v>
      </c>
      <c r="G614" s="5">
        <v>18</v>
      </c>
      <c r="H614" s="5">
        <f>IF(Table13_1[[#This Row],[smoker]]="yes",1,0)</f>
        <v>0</v>
      </c>
      <c r="I614" s="4">
        <v>33.155000000000001</v>
      </c>
      <c r="J614" s="4">
        <v>0</v>
      </c>
      <c r="K614" s="12">
        <v>2207.6974</v>
      </c>
      <c r="N614">
        <v>459</v>
      </c>
      <c r="O614">
        <v>15082.118584821197</v>
      </c>
      <c r="P614">
        <v>-4480.7065848211969</v>
      </c>
    </row>
    <row r="615" spans="1:16" x14ac:dyDescent="0.25">
      <c r="A615" s="4" t="s">
        <v>7</v>
      </c>
      <c r="B615" s="4">
        <f>ROUND(Table13_1[[#This Row],[bmi]],1)</f>
        <v>19</v>
      </c>
      <c r="C615" s="4" t="str" cm="1">
        <f t="array" ref="C615">_xlfn.IFS(Table13_1[[#This Row],[Round BMI]]&lt;18.5,"Underweight",AND(Table13_1[[#This Row],[Round BMI]]&gt;=18.5,Table13_1[[#This Row],[Round BMI]] &lt;=24.9),"Healthy Weight",AND(Table13_1[[#This Row],[Round BMI]]&gt;=25,Table13_1[[#This Row],[Round BMI]]&lt;=29.9),"Overweight",Table13_1[[#This Row],[Round BMI]]&gt;=30,"Obese")</f>
        <v>Healthy Weight</v>
      </c>
      <c r="D615" s="4" t="s">
        <v>11</v>
      </c>
      <c r="E615" s="4" t="str">
        <f>IF(Table13_1[[#This Row],[smoker]]="yes","smoker","non-smoker")</f>
        <v>non-smoker</v>
      </c>
      <c r="F615" s="4" t="s">
        <v>14</v>
      </c>
      <c r="G615" s="5">
        <v>34</v>
      </c>
      <c r="H615" s="5">
        <f>IF(Table13_1[[#This Row],[smoker]]="yes",1,0)</f>
        <v>0</v>
      </c>
      <c r="I615" s="4">
        <v>19</v>
      </c>
      <c r="J615" s="4">
        <v>3</v>
      </c>
      <c r="K615" s="12">
        <v>6753.0379999999996</v>
      </c>
      <c r="N615">
        <v>460</v>
      </c>
      <c r="O615">
        <v>10252.814155420967</v>
      </c>
      <c r="P615">
        <v>-2570.1441554209669</v>
      </c>
    </row>
    <row r="616" spans="1:16" x14ac:dyDescent="0.25">
      <c r="A616" s="4" t="s">
        <v>7</v>
      </c>
      <c r="B616" s="4">
        <f>ROUND(Table13_1[[#This Row],[bmi]],1)</f>
        <v>33</v>
      </c>
      <c r="C616" s="4" t="str" cm="1">
        <f t="array" ref="C616">_xlfn.IFS(Table13_1[[#This Row],[Round BMI]]&lt;18.5,"Underweight",AND(Table13_1[[#This Row],[Round BMI]]&gt;=18.5,Table13_1[[#This Row],[Round BMI]] &lt;=24.9),"Healthy Weight",AND(Table13_1[[#This Row],[Round BMI]]&gt;=25,Table13_1[[#This Row],[Round BMI]]&lt;=29.9),"Overweight",Table13_1[[#This Row],[Round BMI]]&gt;=30,"Obese")</f>
        <v>Obese</v>
      </c>
      <c r="D616" s="4" t="s">
        <v>11</v>
      </c>
      <c r="E616" s="4" t="str">
        <f>IF(Table13_1[[#This Row],[smoker]]="yes","smoker","non-smoker")</f>
        <v>non-smoker</v>
      </c>
      <c r="F616" s="4" t="s">
        <v>12</v>
      </c>
      <c r="G616" s="5">
        <v>20</v>
      </c>
      <c r="H616" s="5">
        <f>IF(Table13_1[[#This Row],[smoker]]="yes",1,0)</f>
        <v>0</v>
      </c>
      <c r="I616" s="4">
        <v>33</v>
      </c>
      <c r="J616" s="4">
        <v>0</v>
      </c>
      <c r="K616" s="12">
        <v>1880.07</v>
      </c>
      <c r="N616">
        <v>461</v>
      </c>
      <c r="O616">
        <v>13741.780313707774</v>
      </c>
      <c r="P616">
        <v>-3360.3016137077739</v>
      </c>
    </row>
    <row r="617" spans="1:16" x14ac:dyDescent="0.25">
      <c r="A617" s="4" t="s">
        <v>7</v>
      </c>
      <c r="B617" s="4">
        <f>ROUND(Table13_1[[#This Row],[bmi]],1)</f>
        <v>36.6</v>
      </c>
      <c r="C617" s="4" t="str" cm="1">
        <f t="array" ref="C617">_xlfn.IFS(Table13_1[[#This Row],[Round BMI]]&lt;18.5,"Underweight",AND(Table13_1[[#This Row],[Round BMI]]&gt;=18.5,Table13_1[[#This Row],[Round BMI]] &lt;=24.9),"Healthy Weight",AND(Table13_1[[#This Row],[Round BMI]]&gt;=25,Table13_1[[#This Row],[Round BMI]]&lt;=29.9),"Overweight",Table13_1[[#This Row],[Round BMI]]&gt;=30,"Obese")</f>
        <v>Obese</v>
      </c>
      <c r="D617" s="4" t="s">
        <v>8</v>
      </c>
      <c r="E617" s="4" t="str">
        <f>IF(Table13_1[[#This Row],[smoker]]="yes","smoker","non-smoker")</f>
        <v>smoker</v>
      </c>
      <c r="F617" s="4" t="s">
        <v>12</v>
      </c>
      <c r="G617" s="5">
        <v>47</v>
      </c>
      <c r="H617" s="5">
        <f>IF(Table13_1[[#This Row],[smoker]]="yes",1,0)</f>
        <v>1</v>
      </c>
      <c r="I617" s="4">
        <v>36.630000000000003</v>
      </c>
      <c r="J617" s="4">
        <v>1</v>
      </c>
      <c r="K617" s="12">
        <v>42969.852700000003</v>
      </c>
      <c r="N617">
        <v>462</v>
      </c>
      <c r="O617">
        <v>32193.851860936098</v>
      </c>
      <c r="P617">
        <v>-10049.819860936099</v>
      </c>
    </row>
    <row r="618" spans="1:16" x14ac:dyDescent="0.25">
      <c r="A618" s="4" t="s">
        <v>7</v>
      </c>
      <c r="B618" s="4">
        <f>ROUND(Table13_1[[#This Row],[bmi]],1)</f>
        <v>28.6</v>
      </c>
      <c r="C618" s="4" t="str" cm="1">
        <f t="array" ref="C618">_xlfn.IFS(Table13_1[[#This Row],[Round BMI]]&lt;18.5,"Underweight",AND(Table13_1[[#This Row],[Round BMI]]&gt;=18.5,Table13_1[[#This Row],[Round BMI]] &lt;=24.9),"Healthy Weight",AND(Table13_1[[#This Row],[Round BMI]]&gt;=25,Table13_1[[#This Row],[Round BMI]]&lt;=29.9),"Overweight",Table13_1[[#This Row],[Round BMI]]&gt;=30,"Obese")</f>
        <v>Overweight</v>
      </c>
      <c r="D618" s="4" t="s">
        <v>11</v>
      </c>
      <c r="E618" s="4" t="str">
        <f>IF(Table13_1[[#This Row],[smoker]]="yes","smoker","non-smoker")</f>
        <v>non-smoker</v>
      </c>
      <c r="F618" s="4" t="s">
        <v>14</v>
      </c>
      <c r="G618" s="5">
        <v>56</v>
      </c>
      <c r="H618" s="5">
        <f>IF(Table13_1[[#This Row],[smoker]]="yes",1,0)</f>
        <v>0</v>
      </c>
      <c r="I618" s="4">
        <v>28.594999999999999</v>
      </c>
      <c r="J618" s="4">
        <v>0</v>
      </c>
      <c r="K618" s="12">
        <v>11658.115</v>
      </c>
      <c r="N618">
        <v>463</v>
      </c>
      <c r="O618">
        <v>17091.833898618956</v>
      </c>
      <c r="P618">
        <v>-1861.509898618955</v>
      </c>
    </row>
    <row r="619" spans="1:16" x14ac:dyDescent="0.25">
      <c r="A619" s="4" t="s">
        <v>10</v>
      </c>
      <c r="B619" s="4">
        <f>ROUND(Table13_1[[#This Row],[bmi]],1)</f>
        <v>25.6</v>
      </c>
      <c r="C619" s="4" t="str" cm="1">
        <f t="array" ref="C619">_xlfn.IFS(Table13_1[[#This Row],[Round BMI]]&lt;18.5,"Underweight",AND(Table13_1[[#This Row],[Round BMI]]&gt;=18.5,Table13_1[[#This Row],[Round BMI]] &lt;=24.9),"Healthy Weight",AND(Table13_1[[#This Row],[Round BMI]]&gt;=25,Table13_1[[#This Row],[Round BMI]]&lt;=29.9),"Overweight",Table13_1[[#This Row],[Round BMI]]&gt;=30,"Obese")</f>
        <v>Overweight</v>
      </c>
      <c r="D619" s="4" t="s">
        <v>8</v>
      </c>
      <c r="E619" s="4" t="str">
        <f>IF(Table13_1[[#This Row],[smoker]]="yes","smoker","non-smoker")</f>
        <v>smoker</v>
      </c>
      <c r="F619" s="4" t="s">
        <v>9</v>
      </c>
      <c r="G619" s="5">
        <v>49</v>
      </c>
      <c r="H619" s="5">
        <f>IF(Table13_1[[#This Row],[smoker]]="yes",1,0)</f>
        <v>1</v>
      </c>
      <c r="I619" s="4">
        <v>25.6</v>
      </c>
      <c r="J619" s="4">
        <v>2</v>
      </c>
      <c r="K619" s="12">
        <v>23306.546999999999</v>
      </c>
      <c r="N619">
        <v>464</v>
      </c>
      <c r="O619">
        <v>10684.019164996027</v>
      </c>
      <c r="P619">
        <v>481.39843500397365</v>
      </c>
    </row>
    <row r="620" spans="1:16" x14ac:dyDescent="0.25">
      <c r="A620" s="4" t="s">
        <v>7</v>
      </c>
      <c r="B620" s="4">
        <f>ROUND(Table13_1[[#This Row],[bmi]],1)</f>
        <v>33.1</v>
      </c>
      <c r="C620" s="4" t="str" cm="1">
        <f t="array" ref="C620">_xlfn.IFS(Table13_1[[#This Row],[Round BMI]]&lt;18.5,"Underweight",AND(Table13_1[[#This Row],[Round BMI]]&gt;=18.5,Table13_1[[#This Row],[Round BMI]] &lt;=24.9),"Healthy Weight",AND(Table13_1[[#This Row],[Round BMI]]&gt;=25,Table13_1[[#This Row],[Round BMI]]&lt;=29.9),"Overweight",Table13_1[[#This Row],[Round BMI]]&gt;=30,"Obese")</f>
        <v>Obese</v>
      </c>
      <c r="D620" s="4" t="s">
        <v>8</v>
      </c>
      <c r="E620" s="4" t="str">
        <f>IF(Table13_1[[#This Row],[smoker]]="yes","smoker","non-smoker")</f>
        <v>smoker</v>
      </c>
      <c r="F620" s="4" t="s">
        <v>12</v>
      </c>
      <c r="G620" s="5">
        <v>19</v>
      </c>
      <c r="H620" s="5">
        <f>IF(Table13_1[[#This Row],[smoker]]="yes",1,0)</f>
        <v>1</v>
      </c>
      <c r="I620" s="4">
        <v>33.11</v>
      </c>
      <c r="J620" s="4">
        <v>0</v>
      </c>
      <c r="K620" s="12">
        <v>34439.855900000002</v>
      </c>
      <c r="N620">
        <v>465</v>
      </c>
      <c r="O620">
        <v>898.98032761353534</v>
      </c>
      <c r="P620">
        <v>733.05587238646467</v>
      </c>
    </row>
    <row r="621" spans="1:16" x14ac:dyDescent="0.25">
      <c r="A621" s="4" t="s">
        <v>7</v>
      </c>
      <c r="B621" s="4">
        <f>ROUND(Table13_1[[#This Row],[bmi]],1)</f>
        <v>37.1</v>
      </c>
      <c r="C621" s="4" t="str" cm="1">
        <f t="array" ref="C621">_xlfn.IFS(Table13_1[[#This Row],[Round BMI]]&lt;18.5,"Underweight",AND(Table13_1[[#This Row],[Round BMI]]&gt;=18.5,Table13_1[[#This Row],[Round BMI]] &lt;=24.9),"Healthy Weight",AND(Table13_1[[#This Row],[Round BMI]]&gt;=25,Table13_1[[#This Row],[Round BMI]]&lt;=29.9),"Overweight",Table13_1[[#This Row],[Round BMI]]&gt;=30,"Obese")</f>
        <v>Obese</v>
      </c>
      <c r="D621" s="4" t="s">
        <v>11</v>
      </c>
      <c r="E621" s="4" t="str">
        <f>IF(Table13_1[[#This Row],[smoker]]="yes","smoker","non-smoker")</f>
        <v>non-smoker</v>
      </c>
      <c r="F621" s="4" t="s">
        <v>9</v>
      </c>
      <c r="G621" s="5">
        <v>55</v>
      </c>
      <c r="H621" s="5">
        <f>IF(Table13_1[[#This Row],[smoker]]="yes",1,0)</f>
        <v>0</v>
      </c>
      <c r="I621" s="4">
        <v>37.1</v>
      </c>
      <c r="J621" s="4">
        <v>0</v>
      </c>
      <c r="K621" s="12">
        <v>10713.644</v>
      </c>
      <c r="N621">
        <v>466</v>
      </c>
      <c r="O621">
        <v>29051.76081591488</v>
      </c>
      <c r="P621">
        <v>-9529.792615914881</v>
      </c>
    </row>
    <row r="622" spans="1:16" x14ac:dyDescent="0.25">
      <c r="A622" s="4" t="s">
        <v>10</v>
      </c>
      <c r="B622" s="4">
        <f>ROUND(Table13_1[[#This Row],[bmi]],1)</f>
        <v>31.4</v>
      </c>
      <c r="C622" s="4" t="str" cm="1">
        <f t="array" ref="C622">_xlfn.IFS(Table13_1[[#This Row],[Round BMI]]&lt;18.5,"Underweight",AND(Table13_1[[#This Row],[Round BMI]]&gt;=18.5,Table13_1[[#This Row],[Round BMI]] &lt;=24.9),"Healthy Weight",AND(Table13_1[[#This Row],[Round BMI]]&gt;=25,Table13_1[[#This Row],[Round BMI]]&lt;=29.9),"Overweight",Table13_1[[#This Row],[Round BMI]]&gt;=30,"Obese")</f>
        <v>Obese</v>
      </c>
      <c r="D622" s="4" t="s">
        <v>11</v>
      </c>
      <c r="E622" s="4" t="str">
        <f>IF(Table13_1[[#This Row],[smoker]]="yes","smoker","non-smoker")</f>
        <v>non-smoker</v>
      </c>
      <c r="F622" s="4" t="s">
        <v>9</v>
      </c>
      <c r="G622" s="5">
        <v>30</v>
      </c>
      <c r="H622" s="5">
        <f>IF(Table13_1[[#This Row],[smoker]]="yes",1,0)</f>
        <v>0</v>
      </c>
      <c r="I622" s="4">
        <v>31.4</v>
      </c>
      <c r="J622" s="4">
        <v>1</v>
      </c>
      <c r="K622" s="12">
        <v>3659.346</v>
      </c>
      <c r="N622">
        <v>467</v>
      </c>
      <c r="O622">
        <v>13078.838638719226</v>
      </c>
      <c r="P622">
        <v>145.85436128077345</v>
      </c>
    </row>
    <row r="623" spans="1:16" x14ac:dyDescent="0.25">
      <c r="A623" s="4" t="s">
        <v>10</v>
      </c>
      <c r="B623" s="4">
        <f>ROUND(Table13_1[[#This Row],[bmi]],1)</f>
        <v>34.1</v>
      </c>
      <c r="C623" s="4" t="str" cm="1">
        <f t="array" ref="C623">_xlfn.IFS(Table13_1[[#This Row],[Round BMI]]&lt;18.5,"Underweight",AND(Table13_1[[#This Row],[Round BMI]]&gt;=18.5,Table13_1[[#This Row],[Round BMI]] &lt;=24.9),"Healthy Weight",AND(Table13_1[[#This Row],[Round BMI]]&gt;=25,Table13_1[[#This Row],[Round BMI]]&lt;=29.9),"Overweight",Table13_1[[#This Row],[Round BMI]]&gt;=30,"Obese")</f>
        <v>Obese</v>
      </c>
      <c r="D623" s="4" t="s">
        <v>8</v>
      </c>
      <c r="E623" s="4" t="str">
        <f>IF(Table13_1[[#This Row],[smoker]]="yes","smoker","non-smoker")</f>
        <v>smoker</v>
      </c>
      <c r="F623" s="4" t="s">
        <v>9</v>
      </c>
      <c r="G623" s="5">
        <v>37</v>
      </c>
      <c r="H623" s="5">
        <f>IF(Table13_1[[#This Row],[smoker]]="yes",1,0)</f>
        <v>1</v>
      </c>
      <c r="I623" s="4">
        <v>34.1</v>
      </c>
      <c r="J623" s="4">
        <v>4</v>
      </c>
      <c r="K623" s="12">
        <v>40182.245999999999</v>
      </c>
      <c r="N623">
        <v>468</v>
      </c>
      <c r="O623">
        <v>14168.822107490634</v>
      </c>
      <c r="P623">
        <v>-1525.4443074906339</v>
      </c>
    </row>
    <row r="624" spans="1:16" x14ac:dyDescent="0.25">
      <c r="A624" s="4" t="s">
        <v>7</v>
      </c>
      <c r="B624" s="4">
        <f>ROUND(Table13_1[[#This Row],[bmi]],1)</f>
        <v>21.3</v>
      </c>
      <c r="C624" s="4" t="str" cm="1">
        <f t="array" ref="C624">_xlfn.IFS(Table13_1[[#This Row],[Round BMI]]&lt;18.5,"Underweight",AND(Table13_1[[#This Row],[Round BMI]]&gt;=18.5,Table13_1[[#This Row],[Round BMI]] &lt;=24.9),"Healthy Weight",AND(Table13_1[[#This Row],[Round BMI]]&gt;=25,Table13_1[[#This Row],[Round BMI]]&lt;=29.9),"Overweight",Table13_1[[#This Row],[Round BMI]]&gt;=30,"Obese")</f>
        <v>Healthy Weight</v>
      </c>
      <c r="D624" s="4" t="s">
        <v>11</v>
      </c>
      <c r="E624" s="4" t="str">
        <f>IF(Table13_1[[#This Row],[smoker]]="yes","smoker","non-smoker")</f>
        <v>non-smoker</v>
      </c>
      <c r="F624" s="4" t="s">
        <v>9</v>
      </c>
      <c r="G624" s="5">
        <v>49</v>
      </c>
      <c r="H624" s="5">
        <f>IF(Table13_1[[#This Row],[smoker]]="yes",1,0)</f>
        <v>0</v>
      </c>
      <c r="I624" s="4">
        <v>21.3</v>
      </c>
      <c r="J624" s="4">
        <v>1</v>
      </c>
      <c r="K624" s="12">
        <v>9182.17</v>
      </c>
      <c r="N624">
        <v>469</v>
      </c>
      <c r="O624">
        <v>3417.9452597033255</v>
      </c>
      <c r="P624">
        <v>19870.983140296674</v>
      </c>
    </row>
    <row r="625" spans="1:16" x14ac:dyDescent="0.25">
      <c r="A625" s="4" t="s">
        <v>10</v>
      </c>
      <c r="B625" s="4">
        <f>ROUND(Table13_1[[#This Row],[bmi]],1)</f>
        <v>33.5</v>
      </c>
      <c r="C625" s="4" t="str" cm="1">
        <f t="array" ref="C625">_xlfn.IFS(Table13_1[[#This Row],[Round BMI]]&lt;18.5,"Underweight",AND(Table13_1[[#This Row],[Round BMI]]&gt;=18.5,Table13_1[[#This Row],[Round BMI]] &lt;=24.9),"Healthy Weight",AND(Table13_1[[#This Row],[Round BMI]]&gt;=25,Table13_1[[#This Row],[Round BMI]]&lt;=29.9),"Overweight",Table13_1[[#This Row],[Round BMI]]&gt;=30,"Obese")</f>
        <v>Obese</v>
      </c>
      <c r="D625" s="4" t="s">
        <v>8</v>
      </c>
      <c r="E625" s="4" t="str">
        <f>IF(Table13_1[[#This Row],[smoker]]="yes","smoker","non-smoker")</f>
        <v>smoker</v>
      </c>
      <c r="F625" s="4" t="s">
        <v>14</v>
      </c>
      <c r="G625" s="5">
        <v>18</v>
      </c>
      <c r="H625" s="5">
        <f>IF(Table13_1[[#This Row],[smoker]]="yes",1,0)</f>
        <v>1</v>
      </c>
      <c r="I625" s="4">
        <v>33.534999999999997</v>
      </c>
      <c r="J625" s="4">
        <v>0</v>
      </c>
      <c r="K625" s="12">
        <v>34617.840600000003</v>
      </c>
      <c r="N625">
        <v>470</v>
      </c>
      <c r="O625">
        <v>765.42436374628721</v>
      </c>
      <c r="P625">
        <v>1435.6727362537126</v>
      </c>
    </row>
    <row r="626" spans="1:16" x14ac:dyDescent="0.25">
      <c r="A626" s="4" t="s">
        <v>10</v>
      </c>
      <c r="B626" s="4">
        <f>ROUND(Table13_1[[#This Row],[bmi]],1)</f>
        <v>28.8</v>
      </c>
      <c r="C626" s="4" t="str" cm="1">
        <f t="array" ref="C626">_xlfn.IFS(Table13_1[[#This Row],[Round BMI]]&lt;18.5,"Underweight",AND(Table13_1[[#This Row],[Round BMI]]&gt;=18.5,Table13_1[[#This Row],[Round BMI]] &lt;=24.9),"Healthy Weight",AND(Table13_1[[#This Row],[Round BMI]]&gt;=25,Table13_1[[#This Row],[Round BMI]]&lt;=29.9),"Overweight",Table13_1[[#This Row],[Round BMI]]&gt;=30,"Obese")</f>
        <v>Overweight</v>
      </c>
      <c r="D626" s="4" t="s">
        <v>11</v>
      </c>
      <c r="E626" s="4" t="str">
        <f>IF(Table13_1[[#This Row],[smoker]]="yes","smoker","non-smoker")</f>
        <v>non-smoker</v>
      </c>
      <c r="F626" s="4" t="s">
        <v>13</v>
      </c>
      <c r="G626" s="5">
        <v>59</v>
      </c>
      <c r="H626" s="5">
        <f>IF(Table13_1[[#This Row],[smoker]]="yes",1,0)</f>
        <v>0</v>
      </c>
      <c r="I626" s="4">
        <v>28.785</v>
      </c>
      <c r="J626" s="4">
        <v>0</v>
      </c>
      <c r="K626" s="12">
        <v>12129.6142</v>
      </c>
      <c r="N626">
        <v>471</v>
      </c>
      <c r="O626">
        <v>5374.0526505512707</v>
      </c>
      <c r="P626">
        <v>-2877.0143505512706</v>
      </c>
    </row>
    <row r="627" spans="1:16" x14ac:dyDescent="0.25">
      <c r="A627" s="4" t="s">
        <v>7</v>
      </c>
      <c r="B627" s="4">
        <f>ROUND(Table13_1[[#This Row],[bmi]],1)</f>
        <v>26</v>
      </c>
      <c r="C627" s="4" t="str" cm="1">
        <f t="array" ref="C627">_xlfn.IFS(Table13_1[[#This Row],[Round BMI]]&lt;18.5,"Underweight",AND(Table13_1[[#This Row],[Round BMI]]&gt;=18.5,Table13_1[[#This Row],[Round BMI]] &lt;=24.9),"Healthy Weight",AND(Table13_1[[#This Row],[Round BMI]]&gt;=25,Table13_1[[#This Row],[Round BMI]]&lt;=29.9),"Overweight",Table13_1[[#This Row],[Round BMI]]&gt;=30,"Obese")</f>
        <v>Overweight</v>
      </c>
      <c r="D627" s="4" t="s">
        <v>11</v>
      </c>
      <c r="E627" s="4" t="str">
        <f>IF(Table13_1[[#This Row],[smoker]]="yes","smoker","non-smoker")</f>
        <v>non-smoker</v>
      </c>
      <c r="F627" s="4" t="s">
        <v>13</v>
      </c>
      <c r="G627" s="5">
        <v>29</v>
      </c>
      <c r="H627" s="5">
        <f>IF(Table13_1[[#This Row],[smoker]]="yes",1,0)</f>
        <v>0</v>
      </c>
      <c r="I627" s="4">
        <v>26.03</v>
      </c>
      <c r="J627" s="4">
        <v>0</v>
      </c>
      <c r="K627" s="12">
        <v>3736.4647</v>
      </c>
      <c r="N627">
        <v>472</v>
      </c>
      <c r="O627">
        <v>2231.076750318769</v>
      </c>
      <c r="P627">
        <v>-27.60495031876917</v>
      </c>
    </row>
    <row r="628" spans="1:16" x14ac:dyDescent="0.25">
      <c r="A628" s="4" t="s">
        <v>10</v>
      </c>
      <c r="B628" s="4">
        <f>ROUND(Table13_1[[#This Row],[bmi]],1)</f>
        <v>28.9</v>
      </c>
      <c r="C628" s="4" t="str" cm="1">
        <f t="array" ref="C628">_xlfn.IFS(Table13_1[[#This Row],[Round BMI]]&lt;18.5,"Underweight",AND(Table13_1[[#This Row],[Round BMI]]&gt;=18.5,Table13_1[[#This Row],[Round BMI]] &lt;=24.9),"Healthy Weight",AND(Table13_1[[#This Row],[Round BMI]]&gt;=25,Table13_1[[#This Row],[Round BMI]]&lt;=29.9),"Overweight",Table13_1[[#This Row],[Round BMI]]&gt;=30,"Obese")</f>
        <v>Overweight</v>
      </c>
      <c r="D628" s="4" t="s">
        <v>11</v>
      </c>
      <c r="E628" s="4" t="str">
        <f>IF(Table13_1[[#This Row],[smoker]]="yes","smoker","non-smoker")</f>
        <v>non-smoker</v>
      </c>
      <c r="F628" s="4" t="s">
        <v>14</v>
      </c>
      <c r="G628" s="5">
        <v>36</v>
      </c>
      <c r="H628" s="5">
        <f>IF(Table13_1[[#This Row],[smoker]]="yes",1,0)</f>
        <v>0</v>
      </c>
      <c r="I628" s="4">
        <v>28.88</v>
      </c>
      <c r="J628" s="4">
        <v>3</v>
      </c>
      <c r="K628" s="12">
        <v>6748.5911999999998</v>
      </c>
      <c r="N628">
        <v>473</v>
      </c>
      <c r="O628">
        <v>2387.5430657541428</v>
      </c>
      <c r="P628">
        <v>-643.07806575414293</v>
      </c>
    </row>
    <row r="629" spans="1:16" x14ac:dyDescent="0.25">
      <c r="A629" s="4" t="s">
        <v>10</v>
      </c>
      <c r="B629" s="4">
        <f>ROUND(Table13_1[[#This Row],[bmi]],1)</f>
        <v>42.5</v>
      </c>
      <c r="C629" s="4" t="str" cm="1">
        <f t="array" ref="C629">_xlfn.IFS(Table13_1[[#This Row],[Round BMI]]&lt;18.5,"Underweight",AND(Table13_1[[#This Row],[Round BMI]]&gt;=18.5,Table13_1[[#This Row],[Round BMI]] &lt;=24.9),"Healthy Weight",AND(Table13_1[[#This Row],[Round BMI]]&gt;=25,Table13_1[[#This Row],[Round BMI]]&lt;=29.9),"Overweight",Table13_1[[#This Row],[Round BMI]]&gt;=30,"Obese")</f>
        <v>Obese</v>
      </c>
      <c r="D629" s="4" t="s">
        <v>11</v>
      </c>
      <c r="E629" s="4" t="str">
        <f>IF(Table13_1[[#This Row],[smoker]]="yes","smoker","non-smoker")</f>
        <v>non-smoker</v>
      </c>
      <c r="F629" s="4" t="s">
        <v>12</v>
      </c>
      <c r="G629" s="5">
        <v>33</v>
      </c>
      <c r="H629" s="5">
        <f>IF(Table13_1[[#This Row],[smoker]]="yes",1,0)</f>
        <v>0</v>
      </c>
      <c r="I629" s="4">
        <v>42.46</v>
      </c>
      <c r="J629" s="4">
        <v>1</v>
      </c>
      <c r="K629" s="12">
        <v>11326.714900000001</v>
      </c>
      <c r="N629">
        <v>474</v>
      </c>
      <c r="O629">
        <v>10748.292494076208</v>
      </c>
      <c r="P629">
        <v>10130.491905923793</v>
      </c>
    </row>
    <row r="630" spans="1:16" x14ac:dyDescent="0.25">
      <c r="A630" s="4" t="s">
        <v>10</v>
      </c>
      <c r="B630" s="4">
        <f>ROUND(Table13_1[[#This Row],[bmi]],1)</f>
        <v>38</v>
      </c>
      <c r="C630" s="4" t="str" cm="1">
        <f t="array" ref="C630">_xlfn.IFS(Table13_1[[#This Row],[Round BMI]]&lt;18.5,"Underweight",AND(Table13_1[[#This Row],[Round BMI]]&gt;=18.5,Table13_1[[#This Row],[Round BMI]] &lt;=24.9),"Healthy Weight",AND(Table13_1[[#This Row],[Round BMI]]&gt;=25,Table13_1[[#This Row],[Round BMI]]&lt;=29.9),"Overweight",Table13_1[[#This Row],[Round BMI]]&gt;=30,"Obese")</f>
        <v>Obese</v>
      </c>
      <c r="D630" s="4" t="s">
        <v>11</v>
      </c>
      <c r="E630" s="4" t="str">
        <f>IF(Table13_1[[#This Row],[smoker]]="yes","smoker","non-smoker")</f>
        <v>non-smoker</v>
      </c>
      <c r="F630" s="4" t="s">
        <v>9</v>
      </c>
      <c r="G630" s="5">
        <v>58</v>
      </c>
      <c r="H630" s="5">
        <f>IF(Table13_1[[#This Row],[smoker]]="yes",1,0)</f>
        <v>0</v>
      </c>
      <c r="I630" s="4">
        <v>38</v>
      </c>
      <c r="J630" s="4">
        <v>0</v>
      </c>
      <c r="K630" s="12">
        <v>11365.951999999999</v>
      </c>
      <c r="N630">
        <v>475</v>
      </c>
      <c r="O630">
        <v>35131.481021615895</v>
      </c>
      <c r="P630">
        <v>-9749.1840216158962</v>
      </c>
    </row>
    <row r="631" spans="1:16" x14ac:dyDescent="0.25">
      <c r="A631" s="4" t="s">
        <v>7</v>
      </c>
      <c r="B631" s="4">
        <f>ROUND(Table13_1[[#This Row],[bmi]],1)</f>
        <v>39</v>
      </c>
      <c r="C631" s="4" t="str" cm="1">
        <f t="array" ref="C631">_xlfn.IFS(Table13_1[[#This Row],[Round BMI]]&lt;18.5,"Underweight",AND(Table13_1[[#This Row],[Round BMI]]&gt;=18.5,Table13_1[[#This Row],[Round BMI]] &lt;=24.9),"Healthy Weight",AND(Table13_1[[#This Row],[Round BMI]]&gt;=25,Table13_1[[#This Row],[Round BMI]]&lt;=29.9),"Overweight",Table13_1[[#This Row],[Round BMI]]&gt;=30,"Obese")</f>
        <v>Obese</v>
      </c>
      <c r="D631" s="4" t="s">
        <v>8</v>
      </c>
      <c r="E631" s="4" t="str">
        <f>IF(Table13_1[[#This Row],[smoker]]="yes","smoker","non-smoker")</f>
        <v>smoker</v>
      </c>
      <c r="F631" s="4" t="s">
        <v>13</v>
      </c>
      <c r="G631" s="5">
        <v>44</v>
      </c>
      <c r="H631" s="5">
        <f>IF(Table13_1[[#This Row],[smoker]]="yes",1,0)</f>
        <v>1</v>
      </c>
      <c r="I631" s="4">
        <v>38.950000000000003</v>
      </c>
      <c r="J631" s="4">
        <v>0</v>
      </c>
      <c r="K631" s="12">
        <v>42983.458500000001</v>
      </c>
      <c r="N631">
        <v>476</v>
      </c>
      <c r="O631">
        <v>37022.565944957038</v>
      </c>
      <c r="P631">
        <v>-8153.902044957038</v>
      </c>
    </row>
    <row r="632" spans="1:16" x14ac:dyDescent="0.25">
      <c r="A632" s="4" t="s">
        <v>10</v>
      </c>
      <c r="B632" s="4">
        <f>ROUND(Table13_1[[#This Row],[bmi]],1)</f>
        <v>36.1</v>
      </c>
      <c r="C632" s="4" t="str" cm="1">
        <f t="array" ref="C632">_xlfn.IFS(Table13_1[[#This Row],[Round BMI]]&lt;18.5,"Underweight",AND(Table13_1[[#This Row],[Round BMI]]&gt;=18.5,Table13_1[[#This Row],[Round BMI]] &lt;=24.9),"Healthy Weight",AND(Table13_1[[#This Row],[Round BMI]]&gt;=25,Table13_1[[#This Row],[Round BMI]]&lt;=29.9),"Overweight",Table13_1[[#This Row],[Round BMI]]&gt;=30,"Obese")</f>
        <v>Obese</v>
      </c>
      <c r="D632" s="4" t="s">
        <v>11</v>
      </c>
      <c r="E632" s="4" t="str">
        <f>IF(Table13_1[[#This Row],[smoker]]="yes","smoker","non-smoker")</f>
        <v>non-smoker</v>
      </c>
      <c r="F632" s="4" t="s">
        <v>9</v>
      </c>
      <c r="G632" s="5">
        <v>53</v>
      </c>
      <c r="H632" s="5">
        <f>IF(Table13_1[[#This Row],[smoker]]="yes",1,0)</f>
        <v>0</v>
      </c>
      <c r="I632" s="4">
        <v>36.1</v>
      </c>
      <c r="J632" s="4">
        <v>1</v>
      </c>
      <c r="K632" s="12">
        <v>10085.846</v>
      </c>
      <c r="N632">
        <v>477</v>
      </c>
      <c r="O632">
        <v>27069.783624727868</v>
      </c>
      <c r="P632">
        <v>8077.744875272132</v>
      </c>
    </row>
    <row r="633" spans="1:16" x14ac:dyDescent="0.25">
      <c r="A633" s="4" t="s">
        <v>10</v>
      </c>
      <c r="B633" s="4">
        <f>ROUND(Table13_1[[#This Row],[bmi]],1)</f>
        <v>29.3</v>
      </c>
      <c r="C633" s="4" t="str" cm="1">
        <f t="array" ref="C633">_xlfn.IFS(Table13_1[[#This Row],[Round BMI]]&lt;18.5,"Underweight",AND(Table13_1[[#This Row],[Round BMI]]&gt;=18.5,Table13_1[[#This Row],[Round BMI]] &lt;=24.9),"Healthy Weight",AND(Table13_1[[#This Row],[Round BMI]]&gt;=25,Table13_1[[#This Row],[Round BMI]]&lt;=29.9),"Overweight",Table13_1[[#This Row],[Round BMI]]&gt;=30,"Obese")</f>
        <v>Overweight</v>
      </c>
      <c r="D633" s="4" t="s">
        <v>11</v>
      </c>
      <c r="E633" s="4" t="str">
        <f>IF(Table13_1[[#This Row],[smoker]]="yes","smoker","non-smoker")</f>
        <v>non-smoker</v>
      </c>
      <c r="F633" s="4" t="s">
        <v>9</v>
      </c>
      <c r="G633" s="5">
        <v>24</v>
      </c>
      <c r="H633" s="5">
        <f>IF(Table13_1[[#This Row],[smoker]]="yes",1,0)</f>
        <v>0</v>
      </c>
      <c r="I633" s="4">
        <v>29.3</v>
      </c>
      <c r="J633" s="4">
        <v>0</v>
      </c>
      <c r="K633" s="12">
        <v>1977.8150000000001</v>
      </c>
      <c r="N633">
        <v>478</v>
      </c>
      <c r="O633">
        <v>5809.4245312863413</v>
      </c>
      <c r="P633">
        <v>-3275.0307312863415</v>
      </c>
    </row>
    <row r="634" spans="1:16" x14ac:dyDescent="0.25">
      <c r="A634" s="4" t="s">
        <v>7</v>
      </c>
      <c r="B634" s="4">
        <f>ROUND(Table13_1[[#This Row],[bmi]],1)</f>
        <v>35.5</v>
      </c>
      <c r="C634" s="4" t="str" cm="1">
        <f t="array" ref="C634">_xlfn.IFS(Table13_1[[#This Row],[Round BMI]]&lt;18.5,"Underweight",AND(Table13_1[[#This Row],[Round BMI]]&gt;=18.5,Table13_1[[#This Row],[Round BMI]] &lt;=24.9),"Healthy Weight",AND(Table13_1[[#This Row],[Round BMI]]&gt;=25,Table13_1[[#This Row],[Round BMI]]&lt;=29.9),"Overweight",Table13_1[[#This Row],[Round BMI]]&gt;=30,"Obese")</f>
        <v>Obese</v>
      </c>
      <c r="D634" s="4" t="s">
        <v>11</v>
      </c>
      <c r="E634" s="4" t="str">
        <f>IF(Table13_1[[#This Row],[smoker]]="yes","smoker","non-smoker")</f>
        <v>non-smoker</v>
      </c>
      <c r="F634" s="4" t="s">
        <v>12</v>
      </c>
      <c r="G634" s="5">
        <v>29</v>
      </c>
      <c r="H634" s="5">
        <f>IF(Table13_1[[#This Row],[smoker]]="yes",1,0)</f>
        <v>0</v>
      </c>
      <c r="I634" s="4">
        <v>35.53</v>
      </c>
      <c r="J634" s="4">
        <v>0</v>
      </c>
      <c r="K634" s="12">
        <v>3366.6696999999999</v>
      </c>
      <c r="N634">
        <v>479</v>
      </c>
      <c r="O634">
        <v>5172.2944704454039</v>
      </c>
      <c r="P634">
        <v>-3637.9899704454037</v>
      </c>
    </row>
    <row r="635" spans="1:16" x14ac:dyDescent="0.25">
      <c r="A635" s="4" t="s">
        <v>10</v>
      </c>
      <c r="B635" s="4">
        <f>ROUND(Table13_1[[#This Row],[bmi]],1)</f>
        <v>22.7</v>
      </c>
      <c r="C635" s="4" t="str" cm="1">
        <f t="array" ref="C635">_xlfn.IFS(Table13_1[[#This Row],[Round BMI]]&lt;18.5,"Underweight",AND(Table13_1[[#This Row],[Round BMI]]&gt;=18.5,Table13_1[[#This Row],[Round BMI]] &lt;=24.9),"Healthy Weight",AND(Table13_1[[#This Row],[Round BMI]]&gt;=25,Table13_1[[#This Row],[Round BMI]]&lt;=29.9),"Overweight",Table13_1[[#This Row],[Round BMI]]&gt;=30,"Obese")</f>
        <v>Healthy Weight</v>
      </c>
      <c r="D635" s="4" t="s">
        <v>11</v>
      </c>
      <c r="E635" s="4" t="str">
        <f>IF(Table13_1[[#This Row],[smoker]]="yes","smoker","non-smoker")</f>
        <v>non-smoker</v>
      </c>
      <c r="F635" s="4" t="s">
        <v>14</v>
      </c>
      <c r="G635" s="5">
        <v>40</v>
      </c>
      <c r="H635" s="5">
        <f>IF(Table13_1[[#This Row],[smoker]]="yes",1,0)</f>
        <v>0</v>
      </c>
      <c r="I635" s="4">
        <v>22.704999999999998</v>
      </c>
      <c r="J635" s="4">
        <v>2</v>
      </c>
      <c r="K635" s="12">
        <v>7173.36</v>
      </c>
      <c r="N635">
        <v>480</v>
      </c>
      <c r="O635">
        <v>4307.2509669173141</v>
      </c>
      <c r="P635">
        <v>-2482.9655669173144</v>
      </c>
    </row>
    <row r="636" spans="1:16" x14ac:dyDescent="0.25">
      <c r="A636" s="4" t="s">
        <v>10</v>
      </c>
      <c r="B636" s="4">
        <f>ROUND(Table13_1[[#This Row],[bmi]],1)</f>
        <v>39.700000000000003</v>
      </c>
      <c r="C636" s="4" t="str" cm="1">
        <f t="array" ref="C636">_xlfn.IFS(Table13_1[[#This Row],[Round BMI]]&lt;18.5,"Underweight",AND(Table13_1[[#This Row],[Round BMI]]&gt;=18.5,Table13_1[[#This Row],[Round BMI]] &lt;=24.9),"Healthy Weight",AND(Table13_1[[#This Row],[Round BMI]]&gt;=25,Table13_1[[#This Row],[Round BMI]]&lt;=29.9),"Overweight",Table13_1[[#This Row],[Round BMI]]&gt;=30,"Obese")</f>
        <v>Obese</v>
      </c>
      <c r="D636" s="4" t="s">
        <v>11</v>
      </c>
      <c r="E636" s="4" t="str">
        <f>IF(Table13_1[[#This Row],[smoker]]="yes","smoker","non-smoker")</f>
        <v>non-smoker</v>
      </c>
      <c r="F636" s="4" t="s">
        <v>9</v>
      </c>
      <c r="G636" s="5">
        <v>51</v>
      </c>
      <c r="H636" s="5">
        <f>IF(Table13_1[[#This Row],[smoker]]="yes",1,0)</f>
        <v>0</v>
      </c>
      <c r="I636" s="4">
        <v>39.700000000000003</v>
      </c>
      <c r="J636" s="4">
        <v>1</v>
      </c>
      <c r="K636" s="12">
        <v>9391.3459999999995</v>
      </c>
      <c r="N636">
        <v>481</v>
      </c>
      <c r="O636">
        <v>18862.765752672247</v>
      </c>
      <c r="P636">
        <v>-3307.576952672247</v>
      </c>
    </row>
    <row r="637" spans="1:16" x14ac:dyDescent="0.25">
      <c r="A637" s="4" t="s">
        <v>10</v>
      </c>
      <c r="B637" s="4">
        <f>ROUND(Table13_1[[#This Row],[bmi]],1)</f>
        <v>38.200000000000003</v>
      </c>
      <c r="C637" s="4" t="str" cm="1">
        <f t="array" ref="C637">_xlfn.IFS(Table13_1[[#This Row],[Round BMI]]&lt;18.5,"Underweight",AND(Table13_1[[#This Row],[Round BMI]]&gt;=18.5,Table13_1[[#This Row],[Round BMI]] &lt;=24.9),"Healthy Weight",AND(Table13_1[[#This Row],[Round BMI]]&gt;=25,Table13_1[[#This Row],[Round BMI]]&lt;=29.9),"Overweight",Table13_1[[#This Row],[Round BMI]]&gt;=30,"Obese")</f>
        <v>Obese</v>
      </c>
      <c r="D637" s="4" t="s">
        <v>11</v>
      </c>
      <c r="E637" s="4" t="str">
        <f>IF(Table13_1[[#This Row],[smoker]]="yes","smoker","non-smoker")</f>
        <v>non-smoker</v>
      </c>
      <c r="F637" s="4" t="s">
        <v>14</v>
      </c>
      <c r="G637" s="5">
        <v>64</v>
      </c>
      <c r="H637" s="5">
        <f>IF(Table13_1[[#This Row],[smoker]]="yes",1,0)</f>
        <v>0</v>
      </c>
      <c r="I637" s="4">
        <v>38.19</v>
      </c>
      <c r="J637" s="4">
        <v>0</v>
      </c>
      <c r="K637" s="12">
        <v>14410.9321</v>
      </c>
      <c r="N637">
        <v>482</v>
      </c>
      <c r="O637">
        <v>13551.507232662216</v>
      </c>
      <c r="P637">
        <v>-4246.8053326622157</v>
      </c>
    </row>
    <row r="638" spans="1:16" x14ac:dyDescent="0.25">
      <c r="A638" s="4" t="s">
        <v>7</v>
      </c>
      <c r="B638" s="4">
        <f>ROUND(Table13_1[[#This Row],[bmi]],1)</f>
        <v>24.5</v>
      </c>
      <c r="C638" s="4" t="str" cm="1">
        <f t="array" ref="C638">_xlfn.IFS(Table13_1[[#This Row],[Round BMI]]&lt;18.5,"Underweight",AND(Table13_1[[#This Row],[Round BMI]]&gt;=18.5,Table13_1[[#This Row],[Round BMI]] &lt;=24.9),"Healthy Weight",AND(Table13_1[[#This Row],[Round BMI]]&gt;=25,Table13_1[[#This Row],[Round BMI]]&lt;=29.9),"Overweight",Table13_1[[#This Row],[Round BMI]]&gt;=30,"Obese")</f>
        <v>Healthy Weight</v>
      </c>
      <c r="D638" s="4" t="s">
        <v>11</v>
      </c>
      <c r="E638" s="4" t="str">
        <f>IF(Table13_1[[#This Row],[smoker]]="yes","smoker","non-smoker")</f>
        <v>non-smoker</v>
      </c>
      <c r="F638" s="4" t="s">
        <v>13</v>
      </c>
      <c r="G638" s="5">
        <v>19</v>
      </c>
      <c r="H638" s="5">
        <f>IF(Table13_1[[#This Row],[smoker]]="yes",1,0)</f>
        <v>0</v>
      </c>
      <c r="I638" s="4">
        <v>24.51</v>
      </c>
      <c r="J638" s="4">
        <v>1</v>
      </c>
      <c r="K638" s="12">
        <v>2709.1118999999999</v>
      </c>
      <c r="N638">
        <v>483</v>
      </c>
      <c r="O638">
        <v>2628.5632328276679</v>
      </c>
      <c r="P638">
        <v>-1006.3747328276679</v>
      </c>
    </row>
    <row r="639" spans="1:16" x14ac:dyDescent="0.25">
      <c r="A639" s="4" t="s">
        <v>7</v>
      </c>
      <c r="B639" s="4">
        <f>ROUND(Table13_1[[#This Row],[bmi]],1)</f>
        <v>38.1</v>
      </c>
      <c r="C639" s="4" t="str" cm="1">
        <f t="array" ref="C639">_xlfn.IFS(Table13_1[[#This Row],[Round BMI]]&lt;18.5,"Underweight",AND(Table13_1[[#This Row],[Round BMI]]&gt;=18.5,Table13_1[[#This Row],[Round BMI]] &lt;=24.9),"Healthy Weight",AND(Table13_1[[#This Row],[Round BMI]]&gt;=25,Table13_1[[#This Row],[Round BMI]]&lt;=29.9),"Overweight",Table13_1[[#This Row],[Round BMI]]&gt;=30,"Obese")</f>
        <v>Obese</v>
      </c>
      <c r="D639" s="4" t="s">
        <v>11</v>
      </c>
      <c r="E639" s="4" t="str">
        <f>IF(Table13_1[[#This Row],[smoker]]="yes","smoker","non-smoker")</f>
        <v>non-smoker</v>
      </c>
      <c r="F639" s="4" t="s">
        <v>14</v>
      </c>
      <c r="G639" s="5">
        <v>35</v>
      </c>
      <c r="H639" s="5">
        <f>IF(Table13_1[[#This Row],[smoker]]="yes",1,0)</f>
        <v>0</v>
      </c>
      <c r="I639" s="4">
        <v>38.094999999999999</v>
      </c>
      <c r="J639" s="4">
        <v>2</v>
      </c>
      <c r="K639" s="12">
        <v>24915.046300000002</v>
      </c>
      <c r="N639">
        <v>484</v>
      </c>
      <c r="O639">
        <v>14234.188223431118</v>
      </c>
      <c r="P639">
        <v>-4354.1202234311186</v>
      </c>
    </row>
    <row r="640" spans="1:16" x14ac:dyDescent="0.25">
      <c r="A640" s="4" t="s">
        <v>10</v>
      </c>
      <c r="B640" s="4">
        <f>ROUND(Table13_1[[#This Row],[bmi]],1)</f>
        <v>26.4</v>
      </c>
      <c r="C640" s="4" t="str" cm="1">
        <f t="array" ref="C640">_xlfn.IFS(Table13_1[[#This Row],[Round BMI]]&lt;18.5,"Underweight",AND(Table13_1[[#This Row],[Round BMI]]&gt;=18.5,Table13_1[[#This Row],[Round BMI]] &lt;=24.9),"Healthy Weight",AND(Table13_1[[#This Row],[Round BMI]]&gt;=25,Table13_1[[#This Row],[Round BMI]]&lt;=29.9),"Overweight",Table13_1[[#This Row],[Round BMI]]&gt;=30,"Obese")</f>
        <v>Overweight</v>
      </c>
      <c r="D640" s="4" t="s">
        <v>8</v>
      </c>
      <c r="E640" s="4" t="str">
        <f>IF(Table13_1[[#This Row],[smoker]]="yes","smoker","non-smoker")</f>
        <v>smoker</v>
      </c>
      <c r="F640" s="4" t="s">
        <v>14</v>
      </c>
      <c r="G640" s="5">
        <v>39</v>
      </c>
      <c r="H640" s="5">
        <f>IF(Table13_1[[#This Row],[smoker]]="yes",1,0)</f>
        <v>1</v>
      </c>
      <c r="I640" s="4">
        <v>26.41</v>
      </c>
      <c r="J640" s="4">
        <v>0</v>
      </c>
      <c r="K640" s="12">
        <v>20149.322899999999</v>
      </c>
      <c r="N640">
        <v>485</v>
      </c>
      <c r="O640">
        <v>12734.017037757392</v>
      </c>
      <c r="P640">
        <v>-3170.9880377573918</v>
      </c>
    </row>
    <row r="641" spans="1:16" x14ac:dyDescent="0.25">
      <c r="A641" s="4" t="s">
        <v>10</v>
      </c>
      <c r="B641" s="4">
        <f>ROUND(Table13_1[[#This Row],[bmi]],1)</f>
        <v>33.700000000000003</v>
      </c>
      <c r="C641" s="4" t="str" cm="1">
        <f t="array" ref="C641">_xlfn.IFS(Table13_1[[#This Row],[Round BMI]]&lt;18.5,"Underweight",AND(Table13_1[[#This Row],[Round BMI]]&gt;=18.5,Table13_1[[#This Row],[Round BMI]] &lt;=24.9),"Healthy Weight",AND(Table13_1[[#This Row],[Round BMI]]&gt;=25,Table13_1[[#This Row],[Round BMI]]&lt;=29.9),"Overweight",Table13_1[[#This Row],[Round BMI]]&gt;=30,"Obese")</f>
        <v>Obese</v>
      </c>
      <c r="D641" s="4" t="s">
        <v>11</v>
      </c>
      <c r="E641" s="4" t="str">
        <f>IF(Table13_1[[#This Row],[smoker]]="yes","smoker","non-smoker")</f>
        <v>non-smoker</v>
      </c>
      <c r="F641" s="4" t="s">
        <v>12</v>
      </c>
      <c r="G641" s="5">
        <v>56</v>
      </c>
      <c r="H641" s="5">
        <f>IF(Table13_1[[#This Row],[smoker]]="yes",1,0)</f>
        <v>0</v>
      </c>
      <c r="I641" s="4">
        <v>33.659999999999997</v>
      </c>
      <c r="J641" s="4">
        <v>4</v>
      </c>
      <c r="K641" s="12">
        <v>12949.1554</v>
      </c>
      <c r="N641">
        <v>486</v>
      </c>
      <c r="O641">
        <v>5888.8791783125498</v>
      </c>
      <c r="P641">
        <v>-1541.8557783125498</v>
      </c>
    </row>
    <row r="642" spans="1:16" x14ac:dyDescent="0.25">
      <c r="A642" s="4" t="s">
        <v>10</v>
      </c>
      <c r="B642" s="4">
        <f>ROUND(Table13_1[[#This Row],[bmi]],1)</f>
        <v>42.4</v>
      </c>
      <c r="C642" s="4" t="str" cm="1">
        <f t="array" ref="C642">_xlfn.IFS(Table13_1[[#This Row],[Round BMI]]&lt;18.5,"Underweight",AND(Table13_1[[#This Row],[Round BMI]]&gt;=18.5,Table13_1[[#This Row],[Round BMI]] &lt;=24.9),"Healthy Weight",AND(Table13_1[[#This Row],[Round BMI]]&gt;=25,Table13_1[[#This Row],[Round BMI]]&lt;=29.9),"Overweight",Table13_1[[#This Row],[Round BMI]]&gt;=30,"Obese")</f>
        <v>Obese</v>
      </c>
      <c r="D642" s="4" t="s">
        <v>11</v>
      </c>
      <c r="E642" s="4" t="str">
        <f>IF(Table13_1[[#This Row],[smoker]]="yes","smoker","non-smoker")</f>
        <v>non-smoker</v>
      </c>
      <c r="F642" s="4" t="s">
        <v>9</v>
      </c>
      <c r="G642" s="5">
        <v>33</v>
      </c>
      <c r="H642" s="5">
        <f>IF(Table13_1[[#This Row],[smoker]]="yes",1,0)</f>
        <v>0</v>
      </c>
      <c r="I642" s="4">
        <v>42.4</v>
      </c>
      <c r="J642" s="4">
        <v>5</v>
      </c>
      <c r="K642" s="12">
        <v>6666.2430000000004</v>
      </c>
      <c r="N642">
        <v>487</v>
      </c>
      <c r="O642">
        <v>10151.76058328677</v>
      </c>
      <c r="P642">
        <v>2323.59071671323</v>
      </c>
    </row>
    <row r="643" spans="1:16" x14ac:dyDescent="0.25">
      <c r="A643" s="4" t="s">
        <v>10</v>
      </c>
      <c r="B643" s="4">
        <f>ROUND(Table13_1[[#This Row],[bmi]],1)</f>
        <v>28.3</v>
      </c>
      <c r="C643" s="4" t="str" cm="1">
        <f t="array" ref="C643">_xlfn.IFS(Table13_1[[#This Row],[Round BMI]]&lt;18.5,"Underweight",AND(Table13_1[[#This Row],[Round BMI]]&gt;=18.5,Table13_1[[#This Row],[Round BMI]] &lt;=24.9),"Healthy Weight",AND(Table13_1[[#This Row],[Round BMI]]&gt;=25,Table13_1[[#This Row],[Round BMI]]&lt;=29.9),"Overweight",Table13_1[[#This Row],[Round BMI]]&gt;=30,"Obese")</f>
        <v>Overweight</v>
      </c>
      <c r="D643" s="4" t="s">
        <v>8</v>
      </c>
      <c r="E643" s="4" t="str">
        <f>IF(Table13_1[[#This Row],[smoker]]="yes","smoker","non-smoker")</f>
        <v>smoker</v>
      </c>
      <c r="F643" s="4" t="s">
        <v>13</v>
      </c>
      <c r="G643" s="5">
        <v>42</v>
      </c>
      <c r="H643" s="5">
        <f>IF(Table13_1[[#This Row],[smoker]]="yes",1,0)</f>
        <v>1</v>
      </c>
      <c r="I643" s="4">
        <v>28.31</v>
      </c>
      <c r="J643" s="4">
        <v>3</v>
      </c>
      <c r="K643" s="12">
        <v>32787.458599999998</v>
      </c>
      <c r="N643">
        <v>488</v>
      </c>
      <c r="O643">
        <v>2033.5065226288089</v>
      </c>
      <c r="P643">
        <v>-779.57052262880893</v>
      </c>
    </row>
    <row r="644" spans="1:16" x14ac:dyDescent="0.25">
      <c r="A644" s="4" t="s">
        <v>10</v>
      </c>
      <c r="B644" s="4">
        <f>ROUND(Table13_1[[#This Row],[bmi]],1)</f>
        <v>33.9</v>
      </c>
      <c r="C644" s="4" t="str" cm="1">
        <f t="array" ref="C644">_xlfn.IFS(Table13_1[[#This Row],[Round BMI]]&lt;18.5,"Underweight",AND(Table13_1[[#This Row],[Round BMI]]&gt;=18.5,Table13_1[[#This Row],[Round BMI]] &lt;=24.9),"Healthy Weight",AND(Table13_1[[#This Row],[Round BMI]]&gt;=25,Table13_1[[#This Row],[Round BMI]]&lt;=29.9),"Overweight",Table13_1[[#This Row],[Round BMI]]&gt;=30,"Obese")</f>
        <v>Obese</v>
      </c>
      <c r="D644" s="4" t="s">
        <v>11</v>
      </c>
      <c r="E644" s="4" t="str">
        <f>IF(Table13_1[[#This Row],[smoker]]="yes","smoker","non-smoker")</f>
        <v>non-smoker</v>
      </c>
      <c r="F644" s="4" t="s">
        <v>14</v>
      </c>
      <c r="G644" s="5">
        <v>61</v>
      </c>
      <c r="H644" s="5">
        <f>IF(Table13_1[[#This Row],[smoker]]="yes",1,0)</f>
        <v>0</v>
      </c>
      <c r="I644" s="4">
        <v>33.914999999999999</v>
      </c>
      <c r="J644" s="4">
        <v>0</v>
      </c>
      <c r="K644" s="12">
        <v>13143.864799999999</v>
      </c>
      <c r="N644">
        <v>489</v>
      </c>
      <c r="O644">
        <v>35303.673182496983</v>
      </c>
      <c r="P644">
        <v>13581.462417503019</v>
      </c>
    </row>
    <row r="645" spans="1:16" x14ac:dyDescent="0.25">
      <c r="A645" s="4" t="s">
        <v>7</v>
      </c>
      <c r="B645" s="4">
        <f>ROUND(Table13_1[[#This Row],[bmi]],1)</f>
        <v>35</v>
      </c>
      <c r="C645" s="4" t="str" cm="1">
        <f t="array" ref="C645">_xlfn.IFS(Table13_1[[#This Row],[Round BMI]]&lt;18.5,"Underweight",AND(Table13_1[[#This Row],[Round BMI]]&gt;=18.5,Table13_1[[#This Row],[Round BMI]] &lt;=24.9),"Healthy Weight",AND(Table13_1[[#This Row],[Round BMI]]&gt;=25,Table13_1[[#This Row],[Round BMI]]&lt;=29.9),"Overweight",Table13_1[[#This Row],[Round BMI]]&gt;=30,"Obese")</f>
        <v>Obese</v>
      </c>
      <c r="D645" s="4" t="s">
        <v>11</v>
      </c>
      <c r="E645" s="4" t="str">
        <f>IF(Table13_1[[#This Row],[smoker]]="yes","smoker","non-smoker")</f>
        <v>non-smoker</v>
      </c>
      <c r="F645" s="4" t="s">
        <v>13</v>
      </c>
      <c r="G645" s="5">
        <v>23</v>
      </c>
      <c r="H645" s="5">
        <f>IF(Table13_1[[#This Row],[smoker]]="yes",1,0)</f>
        <v>0</v>
      </c>
      <c r="I645" s="4">
        <v>34.96</v>
      </c>
      <c r="J645" s="4">
        <v>3</v>
      </c>
      <c r="K645" s="12">
        <v>4466.6214</v>
      </c>
      <c r="N645">
        <v>490</v>
      </c>
      <c r="O645">
        <v>12065.646538396119</v>
      </c>
      <c r="P645">
        <v>-1603.6671383961184</v>
      </c>
    </row>
    <row r="646" spans="1:16" x14ac:dyDescent="0.25">
      <c r="A646" s="4" t="s">
        <v>10</v>
      </c>
      <c r="B646" s="4">
        <f>ROUND(Table13_1[[#This Row],[bmi]],1)</f>
        <v>35.299999999999997</v>
      </c>
      <c r="C646" s="4" t="str" cm="1">
        <f t="array" ref="C646">_xlfn.IFS(Table13_1[[#This Row],[Round BMI]]&lt;18.5,"Underweight",AND(Table13_1[[#This Row],[Round BMI]]&gt;=18.5,Table13_1[[#This Row],[Round BMI]] &lt;=24.9),"Healthy Weight",AND(Table13_1[[#This Row],[Round BMI]]&gt;=25,Table13_1[[#This Row],[Round BMI]]&lt;=29.9),"Overweight",Table13_1[[#This Row],[Round BMI]]&gt;=30,"Obese")</f>
        <v>Obese</v>
      </c>
      <c r="D646" s="4" t="s">
        <v>11</v>
      </c>
      <c r="E646" s="4" t="str">
        <f>IF(Table13_1[[#This Row],[smoker]]="yes","smoker","non-smoker")</f>
        <v>non-smoker</v>
      </c>
      <c r="F646" s="4" t="s">
        <v>12</v>
      </c>
      <c r="G646" s="5">
        <v>43</v>
      </c>
      <c r="H646" s="5">
        <f>IF(Table13_1[[#This Row],[smoker]]="yes",1,0)</f>
        <v>0</v>
      </c>
      <c r="I646" s="4">
        <v>35.31</v>
      </c>
      <c r="J646" s="4">
        <v>2</v>
      </c>
      <c r="K646" s="12">
        <v>18806.145499999999</v>
      </c>
      <c r="N646">
        <v>491</v>
      </c>
      <c r="O646">
        <v>3385.2824145619024</v>
      </c>
      <c r="P646">
        <v>-1636.5084145619026</v>
      </c>
    </row>
    <row r="647" spans="1:16" x14ac:dyDescent="0.25">
      <c r="A647" s="4" t="s">
        <v>10</v>
      </c>
      <c r="B647" s="4">
        <f>ROUND(Table13_1[[#This Row],[bmi]],1)</f>
        <v>30.8</v>
      </c>
      <c r="C647" s="4" t="str" cm="1">
        <f t="array" ref="C647">_xlfn.IFS(Table13_1[[#This Row],[Round BMI]]&lt;18.5,"Underweight",AND(Table13_1[[#This Row],[Round BMI]]&gt;=18.5,Table13_1[[#This Row],[Round BMI]] &lt;=24.9),"Healthy Weight",AND(Table13_1[[#This Row],[Round BMI]]&gt;=25,Table13_1[[#This Row],[Round BMI]]&lt;=29.9),"Overweight",Table13_1[[#This Row],[Round BMI]]&gt;=30,"Obese")</f>
        <v>Obese</v>
      </c>
      <c r="D647" s="4" t="s">
        <v>11</v>
      </c>
      <c r="E647" s="4" t="str">
        <f>IF(Table13_1[[#This Row],[smoker]]="yes","smoker","non-smoker")</f>
        <v>non-smoker</v>
      </c>
      <c r="F647" s="4" t="s">
        <v>14</v>
      </c>
      <c r="G647" s="5">
        <v>48</v>
      </c>
      <c r="H647" s="5">
        <f>IF(Table13_1[[#This Row],[smoker]]="yes",1,0)</f>
        <v>0</v>
      </c>
      <c r="I647" s="4">
        <v>30.78</v>
      </c>
      <c r="J647" s="4">
        <v>3</v>
      </c>
      <c r="K647" s="12">
        <v>10141.136200000001</v>
      </c>
      <c r="N647">
        <v>492</v>
      </c>
      <c r="O647">
        <v>11698.083752218568</v>
      </c>
      <c r="P647">
        <v>12815.007547781432</v>
      </c>
    </row>
    <row r="648" spans="1:16" x14ac:dyDescent="0.25">
      <c r="A648" s="4" t="s">
        <v>10</v>
      </c>
      <c r="B648" s="4">
        <f>ROUND(Table13_1[[#This Row],[bmi]],1)</f>
        <v>26.2</v>
      </c>
      <c r="C648" s="4" t="str" cm="1">
        <f t="array" ref="C648">_xlfn.IFS(Table13_1[[#This Row],[Round BMI]]&lt;18.5,"Underweight",AND(Table13_1[[#This Row],[Round BMI]]&gt;=18.5,Table13_1[[#This Row],[Round BMI]] &lt;=24.9),"Healthy Weight",AND(Table13_1[[#This Row],[Round BMI]]&gt;=25,Table13_1[[#This Row],[Round BMI]]&lt;=29.9),"Overweight",Table13_1[[#This Row],[Round BMI]]&gt;=30,"Obese")</f>
        <v>Overweight</v>
      </c>
      <c r="D648" s="4" t="s">
        <v>11</v>
      </c>
      <c r="E648" s="4" t="str">
        <f>IF(Table13_1[[#This Row],[smoker]]="yes","smoker","non-smoker")</f>
        <v>non-smoker</v>
      </c>
      <c r="F648" s="4" t="s">
        <v>13</v>
      </c>
      <c r="G648" s="5">
        <v>39</v>
      </c>
      <c r="H648" s="5">
        <f>IF(Table13_1[[#This Row],[smoker]]="yes",1,0)</f>
        <v>0</v>
      </c>
      <c r="I648" s="4">
        <v>26.22</v>
      </c>
      <c r="J648" s="4">
        <v>1</v>
      </c>
      <c r="K648" s="12">
        <v>6123.5688</v>
      </c>
      <c r="N648">
        <v>493</v>
      </c>
      <c r="O648">
        <v>610.55493701326395</v>
      </c>
      <c r="P648">
        <v>1585.918262986736</v>
      </c>
    </row>
    <row r="649" spans="1:16" x14ac:dyDescent="0.25">
      <c r="A649" s="4" t="s">
        <v>7</v>
      </c>
      <c r="B649" s="4">
        <f>ROUND(Table13_1[[#This Row],[bmi]],1)</f>
        <v>23.4</v>
      </c>
      <c r="C649" s="4" t="str" cm="1">
        <f t="array" ref="C649">_xlfn.IFS(Table13_1[[#This Row],[Round BMI]]&lt;18.5,"Underweight",AND(Table13_1[[#This Row],[Round BMI]]&gt;=18.5,Table13_1[[#This Row],[Round BMI]] &lt;=24.9),"Healthy Weight",AND(Table13_1[[#This Row],[Round BMI]]&gt;=25,Table13_1[[#This Row],[Round BMI]]&lt;=29.9),"Overweight",Table13_1[[#This Row],[Round BMI]]&gt;=30,"Obese")</f>
        <v>Healthy Weight</v>
      </c>
      <c r="D649" s="4" t="s">
        <v>11</v>
      </c>
      <c r="E649" s="4" t="str">
        <f>IF(Table13_1[[#This Row],[smoker]]="yes","smoker","non-smoker")</f>
        <v>non-smoker</v>
      </c>
      <c r="F649" s="4" t="s">
        <v>14</v>
      </c>
      <c r="G649" s="5">
        <v>40</v>
      </c>
      <c r="H649" s="5">
        <f>IF(Table13_1[[#This Row],[smoker]]="yes",1,0)</f>
        <v>0</v>
      </c>
      <c r="I649" s="4">
        <v>23.37</v>
      </c>
      <c r="J649" s="4">
        <v>3</v>
      </c>
      <c r="K649" s="12">
        <v>8252.2842999999993</v>
      </c>
      <c r="N649">
        <v>494</v>
      </c>
      <c r="O649">
        <v>17594.401452269583</v>
      </c>
      <c r="P649">
        <v>-5020.3524522695825</v>
      </c>
    </row>
    <row r="650" spans="1:16" x14ac:dyDescent="0.25">
      <c r="A650" s="4" t="s">
        <v>10</v>
      </c>
      <c r="B650" s="4">
        <f>ROUND(Table13_1[[#This Row],[bmi]],1)</f>
        <v>28.5</v>
      </c>
      <c r="C650" s="4" t="str" cm="1">
        <f t="array" ref="C650">_xlfn.IFS(Table13_1[[#This Row],[Round BMI]]&lt;18.5,"Underweight",AND(Table13_1[[#This Row],[Round BMI]]&gt;=18.5,Table13_1[[#This Row],[Round BMI]] &lt;=24.9),"Healthy Weight",AND(Table13_1[[#This Row],[Round BMI]]&gt;=25,Table13_1[[#This Row],[Round BMI]]&lt;=29.9),"Overweight",Table13_1[[#This Row],[Round BMI]]&gt;=30,"Obese")</f>
        <v>Overweight</v>
      </c>
      <c r="D650" s="4" t="s">
        <v>11</v>
      </c>
      <c r="E650" s="4" t="str">
        <f>IF(Table13_1[[#This Row],[smoker]]="yes","smoker","non-smoker")</f>
        <v>non-smoker</v>
      </c>
      <c r="F650" s="4" t="s">
        <v>14</v>
      </c>
      <c r="G650" s="5">
        <v>18</v>
      </c>
      <c r="H650" s="5">
        <f>IF(Table13_1[[#This Row],[smoker]]="yes",1,0)</f>
        <v>0</v>
      </c>
      <c r="I650" s="4">
        <v>28.5</v>
      </c>
      <c r="J650" s="4">
        <v>0</v>
      </c>
      <c r="K650" s="12">
        <v>1712.2270000000001</v>
      </c>
      <c r="N650">
        <v>495</v>
      </c>
      <c r="O650">
        <v>27289.060436964701</v>
      </c>
      <c r="P650">
        <v>-9346.954436964701</v>
      </c>
    </row>
    <row r="651" spans="1:16" x14ac:dyDescent="0.25">
      <c r="A651" s="4" t="s">
        <v>7</v>
      </c>
      <c r="B651" s="4">
        <f>ROUND(Table13_1[[#This Row],[bmi]],1)</f>
        <v>33</v>
      </c>
      <c r="C651" s="4" t="str" cm="1">
        <f t="array" ref="C651">_xlfn.IFS(Table13_1[[#This Row],[Round BMI]]&lt;18.5,"Underweight",AND(Table13_1[[#This Row],[Round BMI]]&gt;=18.5,Table13_1[[#This Row],[Round BMI]] &lt;=24.9),"Healthy Weight",AND(Table13_1[[#This Row],[Round BMI]]&gt;=25,Table13_1[[#This Row],[Round BMI]]&lt;=29.9),"Overweight",Table13_1[[#This Row],[Round BMI]]&gt;=30,"Obese")</f>
        <v>Obese</v>
      </c>
      <c r="D651" s="4" t="s">
        <v>11</v>
      </c>
      <c r="E651" s="4" t="str">
        <f>IF(Table13_1[[#This Row],[smoker]]="yes","smoker","non-smoker")</f>
        <v>non-smoker</v>
      </c>
      <c r="F651" s="4" t="s">
        <v>14</v>
      </c>
      <c r="G651" s="5">
        <v>58</v>
      </c>
      <c r="H651" s="5">
        <f>IF(Table13_1[[#This Row],[smoker]]="yes",1,0)</f>
        <v>0</v>
      </c>
      <c r="I651" s="4">
        <v>32.965000000000003</v>
      </c>
      <c r="J651" s="4">
        <v>0</v>
      </c>
      <c r="K651" s="12">
        <v>12430.9534</v>
      </c>
      <c r="N651">
        <v>496</v>
      </c>
      <c r="O651">
        <v>2043.5304497714314</v>
      </c>
      <c r="P651">
        <v>-76.507749771431463</v>
      </c>
    </row>
    <row r="652" spans="1:16" x14ac:dyDescent="0.25">
      <c r="A652" s="4" t="s">
        <v>7</v>
      </c>
      <c r="B652" s="4">
        <f>ROUND(Table13_1[[#This Row],[bmi]],1)</f>
        <v>42.7</v>
      </c>
      <c r="C652" s="4" t="str" cm="1">
        <f t="array" ref="C652">_xlfn.IFS(Table13_1[[#This Row],[Round BMI]]&lt;18.5,"Underweight",AND(Table13_1[[#This Row],[Round BMI]]&gt;=18.5,Table13_1[[#This Row],[Round BMI]] &lt;=24.9),"Healthy Weight",AND(Table13_1[[#This Row],[Round BMI]]&gt;=25,Table13_1[[#This Row],[Round BMI]]&lt;=29.9),"Overweight",Table13_1[[#This Row],[Round BMI]]&gt;=30,"Obese")</f>
        <v>Obese</v>
      </c>
      <c r="D652" s="4" t="s">
        <v>11</v>
      </c>
      <c r="E652" s="4" t="str">
        <f>IF(Table13_1[[#This Row],[smoker]]="yes","smoker","non-smoker")</f>
        <v>non-smoker</v>
      </c>
      <c r="F652" s="4" t="s">
        <v>12</v>
      </c>
      <c r="G652" s="5">
        <v>49</v>
      </c>
      <c r="H652" s="5">
        <f>IF(Table13_1[[#This Row],[smoker]]="yes",1,0)</f>
        <v>0</v>
      </c>
      <c r="I652" s="4">
        <v>42.68</v>
      </c>
      <c r="J652" s="4">
        <v>2</v>
      </c>
      <c r="K652" s="12">
        <v>9800.8881999999994</v>
      </c>
      <c r="N652">
        <v>497</v>
      </c>
      <c r="O652">
        <v>4433.2630871945448</v>
      </c>
      <c r="P652">
        <v>498.38391280545511</v>
      </c>
    </row>
    <row r="653" spans="1:16" x14ac:dyDescent="0.25">
      <c r="A653" s="4" t="s">
        <v>7</v>
      </c>
      <c r="B653" s="4">
        <f>ROUND(Table13_1[[#This Row],[bmi]],1)</f>
        <v>39.6</v>
      </c>
      <c r="C653" s="4" t="str" cm="1">
        <f t="array" ref="C653">_xlfn.IFS(Table13_1[[#This Row],[Round BMI]]&lt;18.5,"Underweight",AND(Table13_1[[#This Row],[Round BMI]]&gt;=18.5,Table13_1[[#This Row],[Round BMI]] &lt;=24.9),"Healthy Weight",AND(Table13_1[[#This Row],[Round BMI]]&gt;=25,Table13_1[[#This Row],[Round BMI]]&lt;=29.9),"Overweight",Table13_1[[#This Row],[Round BMI]]&gt;=30,"Obese")</f>
        <v>Obese</v>
      </c>
      <c r="D653" s="4" t="s">
        <v>11</v>
      </c>
      <c r="E653" s="4" t="str">
        <f>IF(Table13_1[[#This Row],[smoker]]="yes","smoker","non-smoker")</f>
        <v>non-smoker</v>
      </c>
      <c r="F653" s="4" t="s">
        <v>12</v>
      </c>
      <c r="G653" s="5">
        <v>53</v>
      </c>
      <c r="H653" s="5">
        <f>IF(Table13_1[[#This Row],[smoker]]="yes",1,0)</f>
        <v>0</v>
      </c>
      <c r="I653" s="4">
        <v>39.6</v>
      </c>
      <c r="J653" s="4">
        <v>1</v>
      </c>
      <c r="K653" s="12">
        <v>10579.710999999999</v>
      </c>
      <c r="N653">
        <v>498</v>
      </c>
      <c r="O653">
        <v>9684.5983443097102</v>
      </c>
      <c r="P653">
        <v>-1656.6303443097104</v>
      </c>
    </row>
    <row r="654" spans="1:16" x14ac:dyDescent="0.25">
      <c r="A654" s="4" t="s">
        <v>7</v>
      </c>
      <c r="B654" s="4">
        <f>ROUND(Table13_1[[#This Row],[bmi]],1)</f>
        <v>31.1</v>
      </c>
      <c r="C654" s="4" t="str" cm="1">
        <f t="array" ref="C654">_xlfn.IFS(Table13_1[[#This Row],[Round BMI]]&lt;18.5,"Underweight",AND(Table13_1[[#This Row],[Round BMI]]&gt;=18.5,Table13_1[[#This Row],[Round BMI]] &lt;=24.9),"Healthy Weight",AND(Table13_1[[#This Row],[Round BMI]]&gt;=25,Table13_1[[#This Row],[Round BMI]]&lt;=29.9),"Overweight",Table13_1[[#This Row],[Round BMI]]&gt;=30,"Obese")</f>
        <v>Obese</v>
      </c>
      <c r="D654" s="4" t="s">
        <v>11</v>
      </c>
      <c r="E654" s="4" t="str">
        <f>IF(Table13_1[[#This Row],[smoker]]="yes","smoker","non-smoker")</f>
        <v>non-smoker</v>
      </c>
      <c r="F654" s="4" t="s">
        <v>12</v>
      </c>
      <c r="G654" s="5">
        <v>48</v>
      </c>
      <c r="H654" s="5">
        <f>IF(Table13_1[[#This Row],[smoker]]="yes",1,0)</f>
        <v>0</v>
      </c>
      <c r="I654" s="4">
        <v>31.13</v>
      </c>
      <c r="J654" s="4">
        <v>0</v>
      </c>
      <c r="K654" s="12">
        <v>8280.6226999999999</v>
      </c>
      <c r="N654">
        <v>499</v>
      </c>
      <c r="O654">
        <v>7907.6102155688322</v>
      </c>
      <c r="P654">
        <v>303.48998443116852</v>
      </c>
    </row>
    <row r="655" spans="1:16" x14ac:dyDescent="0.25">
      <c r="A655" s="4" t="s">
        <v>7</v>
      </c>
      <c r="B655" s="4">
        <f>ROUND(Table13_1[[#This Row],[bmi]],1)</f>
        <v>36.299999999999997</v>
      </c>
      <c r="C655" s="4" t="str" cm="1">
        <f t="array" ref="C655">_xlfn.IFS(Table13_1[[#This Row],[Round BMI]]&lt;18.5,"Underweight",AND(Table13_1[[#This Row],[Round BMI]]&gt;=18.5,Table13_1[[#This Row],[Round BMI]] &lt;=24.9),"Healthy Weight",AND(Table13_1[[#This Row],[Round BMI]]&gt;=25,Table13_1[[#This Row],[Round BMI]]&lt;=29.9),"Overweight",Table13_1[[#This Row],[Round BMI]]&gt;=30,"Obese")</f>
        <v>Obese</v>
      </c>
      <c r="D655" s="4" t="s">
        <v>11</v>
      </c>
      <c r="E655" s="4" t="str">
        <f>IF(Table13_1[[#This Row],[smoker]]="yes","smoker","non-smoker")</f>
        <v>non-smoker</v>
      </c>
      <c r="F655" s="4" t="s">
        <v>12</v>
      </c>
      <c r="G655" s="5">
        <v>45</v>
      </c>
      <c r="H655" s="5">
        <f>IF(Table13_1[[#This Row],[smoker]]="yes",1,0)</f>
        <v>0</v>
      </c>
      <c r="I655" s="4">
        <v>36.299999999999997</v>
      </c>
      <c r="J655" s="4">
        <v>2</v>
      </c>
      <c r="K655" s="12">
        <v>8527.5319999999992</v>
      </c>
      <c r="N655">
        <v>500</v>
      </c>
      <c r="O655">
        <v>16500.475067666848</v>
      </c>
      <c r="P655">
        <v>-3029.6150676668476</v>
      </c>
    </row>
    <row r="656" spans="1:16" x14ac:dyDescent="0.25">
      <c r="A656" s="4" t="s">
        <v>7</v>
      </c>
      <c r="B656" s="4">
        <f>ROUND(Table13_1[[#This Row],[bmi]],1)</f>
        <v>35.200000000000003</v>
      </c>
      <c r="C656" s="4" t="str" cm="1">
        <f t="array" ref="C656">_xlfn.IFS(Table13_1[[#This Row],[Round BMI]]&lt;18.5,"Underweight",AND(Table13_1[[#This Row],[Round BMI]]&gt;=18.5,Table13_1[[#This Row],[Round BMI]] &lt;=24.9),"Healthy Weight",AND(Table13_1[[#This Row],[Round BMI]]&gt;=25,Table13_1[[#This Row],[Round BMI]]&lt;=29.9),"Overweight",Table13_1[[#This Row],[Round BMI]]&gt;=30,"Obese")</f>
        <v>Obese</v>
      </c>
      <c r="D656" s="4" t="s">
        <v>11</v>
      </c>
      <c r="E656" s="4" t="str">
        <f>IF(Table13_1[[#This Row],[smoker]]="yes","smoker","non-smoker")</f>
        <v>non-smoker</v>
      </c>
      <c r="F656" s="4" t="s">
        <v>12</v>
      </c>
      <c r="G656" s="5">
        <v>59</v>
      </c>
      <c r="H656" s="5">
        <f>IF(Table13_1[[#This Row],[smoker]]="yes",1,0)</f>
        <v>0</v>
      </c>
      <c r="I656" s="4">
        <v>35.200000000000003</v>
      </c>
      <c r="J656" s="4">
        <v>0</v>
      </c>
      <c r="K656" s="12">
        <v>12244.531000000001</v>
      </c>
      <c r="N656">
        <v>501</v>
      </c>
      <c r="O656">
        <v>30257.954438142806</v>
      </c>
      <c r="P656">
        <v>5939.7445618571946</v>
      </c>
    </row>
    <row r="657" spans="1:16" x14ac:dyDescent="0.25">
      <c r="A657" s="4" t="s">
        <v>7</v>
      </c>
      <c r="B657" s="4">
        <f>ROUND(Table13_1[[#This Row],[bmi]],1)</f>
        <v>25.3</v>
      </c>
      <c r="C657" s="4" t="str" cm="1">
        <f t="array" ref="C657">_xlfn.IFS(Table13_1[[#This Row],[Round BMI]]&lt;18.5,"Underweight",AND(Table13_1[[#This Row],[Round BMI]]&gt;=18.5,Table13_1[[#This Row],[Round BMI]] &lt;=24.9),"Healthy Weight",AND(Table13_1[[#This Row],[Round BMI]]&gt;=25,Table13_1[[#This Row],[Round BMI]]&lt;=29.9),"Overweight",Table13_1[[#This Row],[Round BMI]]&gt;=30,"Obese")</f>
        <v>Overweight</v>
      </c>
      <c r="D657" s="4" t="s">
        <v>8</v>
      </c>
      <c r="E657" s="4" t="str">
        <f>IF(Table13_1[[#This Row],[smoker]]="yes","smoker","non-smoker")</f>
        <v>smoker</v>
      </c>
      <c r="F657" s="4" t="s">
        <v>12</v>
      </c>
      <c r="G657" s="5">
        <v>52</v>
      </c>
      <c r="H657" s="5">
        <f>IF(Table13_1[[#This Row],[smoker]]="yes",1,0)</f>
        <v>1</v>
      </c>
      <c r="I657" s="4">
        <v>25.3</v>
      </c>
      <c r="J657" s="4">
        <v>2</v>
      </c>
      <c r="K657" s="12">
        <v>24667.419000000002</v>
      </c>
      <c r="N657">
        <v>502</v>
      </c>
      <c r="O657">
        <v>7362.5514529713146</v>
      </c>
      <c r="P657">
        <v>-525.18275297131459</v>
      </c>
    </row>
    <row r="658" spans="1:16" x14ac:dyDescent="0.25">
      <c r="A658" s="4" t="s">
        <v>7</v>
      </c>
      <c r="B658" s="4">
        <f>ROUND(Table13_1[[#This Row],[bmi]],1)</f>
        <v>42.4</v>
      </c>
      <c r="C658" s="4" t="str" cm="1">
        <f t="array" ref="C658">_xlfn.IFS(Table13_1[[#This Row],[Round BMI]]&lt;18.5,"Underweight",AND(Table13_1[[#This Row],[Round BMI]]&gt;=18.5,Table13_1[[#This Row],[Round BMI]] &lt;=24.9),"Healthy Weight",AND(Table13_1[[#This Row],[Round BMI]]&gt;=25,Table13_1[[#This Row],[Round BMI]]&lt;=29.9),"Overweight",Table13_1[[#This Row],[Round BMI]]&gt;=30,"Obese")</f>
        <v>Obese</v>
      </c>
      <c r="D658" s="4" t="s">
        <v>11</v>
      </c>
      <c r="E658" s="4" t="str">
        <f>IF(Table13_1[[#This Row],[smoker]]="yes","smoker","non-smoker")</f>
        <v>non-smoker</v>
      </c>
      <c r="F658" s="4" t="s">
        <v>9</v>
      </c>
      <c r="G658" s="5">
        <v>26</v>
      </c>
      <c r="H658" s="5">
        <f>IF(Table13_1[[#This Row],[smoker]]="yes",1,0)</f>
        <v>0</v>
      </c>
      <c r="I658" s="4">
        <v>42.4</v>
      </c>
      <c r="J658" s="4">
        <v>1</v>
      </c>
      <c r="K658" s="12">
        <v>3410.3240000000001</v>
      </c>
      <c r="N658">
        <v>503</v>
      </c>
      <c r="O658">
        <v>32802.628717163294</v>
      </c>
      <c r="P658">
        <v>-10584.513817163293</v>
      </c>
    </row>
    <row r="659" spans="1:16" x14ac:dyDescent="0.25">
      <c r="A659" s="4" t="s">
        <v>10</v>
      </c>
      <c r="B659" s="4">
        <f>ROUND(Table13_1[[#This Row],[bmi]],1)</f>
        <v>33.200000000000003</v>
      </c>
      <c r="C659" s="4" t="str" cm="1">
        <f t="array" ref="C659">_xlfn.IFS(Table13_1[[#This Row],[Round BMI]]&lt;18.5,"Underweight",AND(Table13_1[[#This Row],[Round BMI]]&gt;=18.5,Table13_1[[#This Row],[Round BMI]] &lt;=24.9),"Healthy Weight",AND(Table13_1[[#This Row],[Round BMI]]&gt;=25,Table13_1[[#This Row],[Round BMI]]&lt;=29.9),"Overweight",Table13_1[[#This Row],[Round BMI]]&gt;=30,"Obese")</f>
        <v>Obese</v>
      </c>
      <c r="D659" s="4" t="s">
        <v>11</v>
      </c>
      <c r="E659" s="4" t="str">
        <f>IF(Table13_1[[#This Row],[smoker]]="yes","smoker","non-smoker")</f>
        <v>non-smoker</v>
      </c>
      <c r="F659" s="4" t="s">
        <v>13</v>
      </c>
      <c r="G659" s="5">
        <v>27</v>
      </c>
      <c r="H659" s="5">
        <f>IF(Table13_1[[#This Row],[smoker]]="yes",1,0)</f>
        <v>0</v>
      </c>
      <c r="I659" s="4">
        <v>33.155000000000001</v>
      </c>
      <c r="J659" s="4">
        <v>2</v>
      </c>
      <c r="K659" s="12">
        <v>4058.7123999999999</v>
      </c>
      <c r="N659">
        <v>504</v>
      </c>
      <c r="O659">
        <v>26343.776043048212</v>
      </c>
      <c r="P659">
        <v>6204.5644569517863</v>
      </c>
    </row>
    <row r="660" spans="1:16" x14ac:dyDescent="0.25">
      <c r="A660" s="4" t="s">
        <v>7</v>
      </c>
      <c r="B660" s="4">
        <f>ROUND(Table13_1[[#This Row],[bmi]],1)</f>
        <v>35.9</v>
      </c>
      <c r="C660" s="4" t="str" cm="1">
        <f t="array" ref="C660">_xlfn.IFS(Table13_1[[#This Row],[Round BMI]]&lt;18.5,"Underweight",AND(Table13_1[[#This Row],[Round BMI]]&gt;=18.5,Table13_1[[#This Row],[Round BMI]] &lt;=24.9),"Healthy Weight",AND(Table13_1[[#This Row],[Round BMI]]&gt;=25,Table13_1[[#This Row],[Round BMI]]&lt;=29.9),"Overweight",Table13_1[[#This Row],[Round BMI]]&gt;=30,"Obese")</f>
        <v>Obese</v>
      </c>
      <c r="D660" s="4" t="s">
        <v>11</v>
      </c>
      <c r="E660" s="4" t="str">
        <f>IF(Table13_1[[#This Row],[smoker]]="yes","smoker","non-smoker")</f>
        <v>non-smoker</v>
      </c>
      <c r="F660" s="4" t="s">
        <v>14</v>
      </c>
      <c r="G660" s="5">
        <v>48</v>
      </c>
      <c r="H660" s="5">
        <f>IF(Table13_1[[#This Row],[smoker]]="yes",1,0)</f>
        <v>0</v>
      </c>
      <c r="I660" s="4">
        <v>35.909999999999997</v>
      </c>
      <c r="J660" s="4">
        <v>1</v>
      </c>
      <c r="K660" s="12">
        <v>26392.260300000002</v>
      </c>
      <c r="N660">
        <v>505</v>
      </c>
      <c r="O660">
        <v>7480.1753001048737</v>
      </c>
      <c r="P660">
        <v>-1505.7906001048741</v>
      </c>
    </row>
    <row r="661" spans="1:16" x14ac:dyDescent="0.25">
      <c r="A661" s="4" t="s">
        <v>7</v>
      </c>
      <c r="B661" s="4">
        <f>ROUND(Table13_1[[#This Row],[bmi]],1)</f>
        <v>28.8</v>
      </c>
      <c r="C661" s="4" t="str" cm="1">
        <f t="array" ref="C661">_xlfn.IFS(Table13_1[[#This Row],[Round BMI]]&lt;18.5,"Underweight",AND(Table13_1[[#This Row],[Round BMI]]&gt;=18.5,Table13_1[[#This Row],[Round BMI]] &lt;=24.9),"Healthy Weight",AND(Table13_1[[#This Row],[Round BMI]]&gt;=25,Table13_1[[#This Row],[Round BMI]]&lt;=29.9),"Overweight",Table13_1[[#This Row],[Round BMI]]&gt;=30,"Obese")</f>
        <v>Overweight</v>
      </c>
      <c r="D661" s="4" t="s">
        <v>11</v>
      </c>
      <c r="E661" s="4" t="str">
        <f>IF(Table13_1[[#This Row],[smoker]]="yes","smoker","non-smoker")</f>
        <v>non-smoker</v>
      </c>
      <c r="F661" s="4" t="s">
        <v>14</v>
      </c>
      <c r="G661" s="5">
        <v>57</v>
      </c>
      <c r="H661" s="5">
        <f>IF(Table13_1[[#This Row],[smoker]]="yes",1,0)</f>
        <v>0</v>
      </c>
      <c r="I661" s="4">
        <v>28.785</v>
      </c>
      <c r="J661" s="4">
        <v>4</v>
      </c>
      <c r="K661" s="12">
        <v>14394.3982</v>
      </c>
      <c r="N661">
        <v>506</v>
      </c>
      <c r="O661">
        <v>8795.3314023923231</v>
      </c>
      <c r="P661">
        <v>-1998.4682023923233</v>
      </c>
    </row>
    <row r="662" spans="1:16" x14ac:dyDescent="0.25">
      <c r="A662" s="4" t="s">
        <v>10</v>
      </c>
      <c r="B662" s="4">
        <f>ROUND(Table13_1[[#This Row],[bmi]],1)</f>
        <v>46.5</v>
      </c>
      <c r="C662" s="4" t="str" cm="1">
        <f t="array" ref="C662">_xlfn.IFS(Table13_1[[#This Row],[Round BMI]]&lt;18.5,"Underweight",AND(Table13_1[[#This Row],[Round BMI]]&gt;=18.5,Table13_1[[#This Row],[Round BMI]] &lt;=24.9),"Healthy Weight",AND(Table13_1[[#This Row],[Round BMI]]&gt;=25,Table13_1[[#This Row],[Round BMI]]&lt;=29.9),"Overweight",Table13_1[[#This Row],[Round BMI]]&gt;=30,"Obese")</f>
        <v>Obese</v>
      </c>
      <c r="D662" s="4" t="s">
        <v>11</v>
      </c>
      <c r="E662" s="4" t="str">
        <f>IF(Table13_1[[#This Row],[smoker]]="yes","smoker","non-smoker")</f>
        <v>non-smoker</v>
      </c>
      <c r="F662" s="4" t="s">
        <v>12</v>
      </c>
      <c r="G662" s="5">
        <v>37</v>
      </c>
      <c r="H662" s="5">
        <f>IF(Table13_1[[#This Row],[smoker]]="yes",1,0)</f>
        <v>0</v>
      </c>
      <c r="I662" s="4">
        <v>46.53</v>
      </c>
      <c r="J662" s="4">
        <v>3</v>
      </c>
      <c r="K662" s="12">
        <v>6435.6237000000001</v>
      </c>
      <c r="N662">
        <v>507</v>
      </c>
      <c r="O662">
        <v>4133.4635776949144</v>
      </c>
      <c r="P662">
        <v>-1490.1950776949143</v>
      </c>
    </row>
    <row r="663" spans="1:16" x14ac:dyDescent="0.25">
      <c r="A663" s="4" t="s">
        <v>7</v>
      </c>
      <c r="B663" s="4">
        <f>ROUND(Table13_1[[#This Row],[bmi]],1)</f>
        <v>24</v>
      </c>
      <c r="C663" s="4" t="str" cm="1">
        <f t="array" ref="C663">_xlfn.IFS(Table13_1[[#This Row],[Round BMI]]&lt;18.5,"Underweight",AND(Table13_1[[#This Row],[Round BMI]]&gt;=18.5,Table13_1[[#This Row],[Round BMI]] &lt;=24.9),"Healthy Weight",AND(Table13_1[[#This Row],[Round BMI]]&gt;=25,Table13_1[[#This Row],[Round BMI]]&lt;=29.9),"Overweight",Table13_1[[#This Row],[Round BMI]]&gt;=30,"Obese")</f>
        <v>Healthy Weight</v>
      </c>
      <c r="D663" s="4" t="s">
        <v>11</v>
      </c>
      <c r="E663" s="4" t="str">
        <f>IF(Table13_1[[#This Row],[smoker]]="yes","smoker","non-smoker")</f>
        <v>non-smoker</v>
      </c>
      <c r="F663" s="4" t="s">
        <v>12</v>
      </c>
      <c r="G663" s="5">
        <v>57</v>
      </c>
      <c r="H663" s="5">
        <f>IF(Table13_1[[#This Row],[smoker]]="yes",1,0)</f>
        <v>0</v>
      </c>
      <c r="I663" s="4">
        <v>23.98</v>
      </c>
      <c r="J663" s="4">
        <v>1</v>
      </c>
      <c r="K663" s="12">
        <v>22192.437099999999</v>
      </c>
      <c r="N663">
        <v>508</v>
      </c>
      <c r="O663">
        <v>1903.0457243171666</v>
      </c>
      <c r="P663">
        <v>1174.0497756828333</v>
      </c>
    </row>
    <row r="664" spans="1:16" x14ac:dyDescent="0.25">
      <c r="A664" s="4" t="s">
        <v>7</v>
      </c>
      <c r="B664" s="4">
        <f>ROUND(Table13_1[[#This Row],[bmi]],1)</f>
        <v>31.5</v>
      </c>
      <c r="C664" s="4" t="str" cm="1">
        <f t="array" ref="C664">_xlfn.IFS(Table13_1[[#This Row],[Round BMI]]&lt;18.5,"Underweight",AND(Table13_1[[#This Row],[Round BMI]]&gt;=18.5,Table13_1[[#This Row],[Round BMI]] &lt;=24.9),"Healthy Weight",AND(Table13_1[[#This Row],[Round BMI]]&gt;=25,Table13_1[[#This Row],[Round BMI]]&lt;=29.9),"Overweight",Table13_1[[#This Row],[Round BMI]]&gt;=30,"Obese")</f>
        <v>Obese</v>
      </c>
      <c r="D664" s="4" t="s">
        <v>11</v>
      </c>
      <c r="E664" s="4" t="str">
        <f>IF(Table13_1[[#This Row],[smoker]]="yes","smoker","non-smoker")</f>
        <v>non-smoker</v>
      </c>
      <c r="F664" s="4" t="s">
        <v>14</v>
      </c>
      <c r="G664" s="5">
        <v>32</v>
      </c>
      <c r="H664" s="5">
        <f>IF(Table13_1[[#This Row],[smoker]]="yes",1,0)</f>
        <v>0</v>
      </c>
      <c r="I664" s="4">
        <v>31.54</v>
      </c>
      <c r="J664" s="4">
        <v>1</v>
      </c>
      <c r="K664" s="12">
        <v>5148.5526</v>
      </c>
      <c r="N664">
        <v>509</v>
      </c>
      <c r="O664">
        <v>2218.8037475352303</v>
      </c>
      <c r="P664">
        <v>825.4095524647696</v>
      </c>
    </row>
    <row r="665" spans="1:16" x14ac:dyDescent="0.25">
      <c r="A665" s="4" t="s">
        <v>10</v>
      </c>
      <c r="B665" s="4">
        <f>ROUND(Table13_1[[#This Row],[bmi]],1)</f>
        <v>33.700000000000003</v>
      </c>
      <c r="C665" s="4" t="str" cm="1">
        <f t="array" ref="C665">_xlfn.IFS(Table13_1[[#This Row],[Round BMI]]&lt;18.5,"Underweight",AND(Table13_1[[#This Row],[Round BMI]]&gt;=18.5,Table13_1[[#This Row],[Round BMI]] &lt;=24.9),"Healthy Weight",AND(Table13_1[[#This Row],[Round BMI]]&gt;=25,Table13_1[[#This Row],[Round BMI]]&lt;=29.9),"Overweight",Table13_1[[#This Row],[Round BMI]]&gt;=30,"Obese")</f>
        <v>Obese</v>
      </c>
      <c r="D665" s="4" t="s">
        <v>11</v>
      </c>
      <c r="E665" s="4" t="str">
        <f>IF(Table13_1[[#This Row],[smoker]]="yes","smoker","non-smoker")</f>
        <v>non-smoker</v>
      </c>
      <c r="F665" s="4" t="s">
        <v>12</v>
      </c>
      <c r="G665" s="5">
        <v>18</v>
      </c>
      <c r="H665" s="5">
        <f>IF(Table13_1[[#This Row],[smoker]]="yes",1,0)</f>
        <v>0</v>
      </c>
      <c r="I665" s="4">
        <v>33.659999999999997</v>
      </c>
      <c r="J665" s="4">
        <v>0</v>
      </c>
      <c r="K665" s="12">
        <v>1136.3994</v>
      </c>
      <c r="N665">
        <v>510</v>
      </c>
      <c r="O665">
        <v>11831.787801182334</v>
      </c>
      <c r="P665">
        <v>-376.50780118233342</v>
      </c>
    </row>
    <row r="666" spans="1:16" x14ac:dyDescent="0.25">
      <c r="A666" s="4" t="s">
        <v>7</v>
      </c>
      <c r="B666" s="4">
        <f>ROUND(Table13_1[[#This Row],[bmi]],1)</f>
        <v>23</v>
      </c>
      <c r="C666" s="4" t="str" cm="1">
        <f t="array" ref="C666">_xlfn.IFS(Table13_1[[#This Row],[Round BMI]]&lt;18.5,"Underweight",AND(Table13_1[[#This Row],[Round BMI]]&gt;=18.5,Table13_1[[#This Row],[Round BMI]] &lt;=24.9),"Healthy Weight",AND(Table13_1[[#This Row],[Round BMI]]&gt;=25,Table13_1[[#This Row],[Round BMI]]&lt;=29.9),"Overweight",Table13_1[[#This Row],[Round BMI]]&gt;=30,"Obese")</f>
        <v>Healthy Weight</v>
      </c>
      <c r="D666" s="4" t="s">
        <v>8</v>
      </c>
      <c r="E666" s="4" t="str">
        <f>IF(Table13_1[[#This Row],[smoker]]="yes","smoker","non-smoker")</f>
        <v>smoker</v>
      </c>
      <c r="F666" s="4" t="s">
        <v>12</v>
      </c>
      <c r="G666" s="5">
        <v>64</v>
      </c>
      <c r="H666" s="5">
        <f>IF(Table13_1[[#This Row],[smoker]]="yes",1,0)</f>
        <v>1</v>
      </c>
      <c r="I666" s="4">
        <v>22.99</v>
      </c>
      <c r="J666" s="4">
        <v>0</v>
      </c>
      <c r="K666" s="12">
        <v>27037.914100000002</v>
      </c>
      <c r="N666">
        <v>511</v>
      </c>
      <c r="O666">
        <v>13144.953893086338</v>
      </c>
      <c r="P666">
        <v>-1381.9529930863391</v>
      </c>
    </row>
    <row r="667" spans="1:16" x14ac:dyDescent="0.25">
      <c r="A667" s="4" t="s">
        <v>10</v>
      </c>
      <c r="B667" s="4">
        <f>ROUND(Table13_1[[#This Row],[bmi]],1)</f>
        <v>38.1</v>
      </c>
      <c r="C667" s="4" t="str" cm="1">
        <f t="array" ref="C667">_xlfn.IFS(Table13_1[[#This Row],[Round BMI]]&lt;18.5,"Underweight",AND(Table13_1[[#This Row],[Round BMI]]&gt;=18.5,Table13_1[[#This Row],[Round BMI]] &lt;=24.9),"Healthy Weight",AND(Table13_1[[#This Row],[Round BMI]]&gt;=25,Table13_1[[#This Row],[Round BMI]]&lt;=29.9),"Overweight",Table13_1[[#This Row],[Round BMI]]&gt;=30,"Obese")</f>
        <v>Obese</v>
      </c>
      <c r="D667" s="4" t="s">
        <v>8</v>
      </c>
      <c r="E667" s="4" t="str">
        <f>IF(Table13_1[[#This Row],[smoker]]="yes","smoker","non-smoker")</f>
        <v>smoker</v>
      </c>
      <c r="F667" s="4" t="s">
        <v>12</v>
      </c>
      <c r="G667" s="5">
        <v>43</v>
      </c>
      <c r="H667" s="5">
        <f>IF(Table13_1[[#This Row],[smoker]]="yes",1,0)</f>
        <v>1</v>
      </c>
      <c r="I667" s="4">
        <v>38.06</v>
      </c>
      <c r="J667" s="4">
        <v>2</v>
      </c>
      <c r="K667" s="12">
        <v>42560.430399999997</v>
      </c>
      <c r="N667">
        <v>512</v>
      </c>
      <c r="O667">
        <v>5692.6855393640699</v>
      </c>
      <c r="P667">
        <v>-3194.2711393640698</v>
      </c>
    </row>
    <row r="668" spans="1:16" x14ac:dyDescent="0.25">
      <c r="A668" s="4" t="s">
        <v>10</v>
      </c>
      <c r="B668" s="4">
        <f>ROUND(Table13_1[[#This Row],[bmi]],1)</f>
        <v>28.7</v>
      </c>
      <c r="C668" s="4" t="str" cm="1">
        <f t="array" ref="C668">_xlfn.IFS(Table13_1[[#This Row],[Round BMI]]&lt;18.5,"Underweight",AND(Table13_1[[#This Row],[Round BMI]]&gt;=18.5,Table13_1[[#This Row],[Round BMI]] &lt;=24.9),"Healthy Weight",AND(Table13_1[[#This Row],[Round BMI]]&gt;=25,Table13_1[[#This Row],[Round BMI]]&lt;=29.9),"Overweight",Table13_1[[#This Row],[Round BMI]]&gt;=30,"Obese")</f>
        <v>Overweight</v>
      </c>
      <c r="D668" s="4" t="s">
        <v>11</v>
      </c>
      <c r="E668" s="4" t="str">
        <f>IF(Table13_1[[#This Row],[smoker]]="yes","smoker","non-smoker")</f>
        <v>non-smoker</v>
      </c>
      <c r="F668" s="4" t="s">
        <v>9</v>
      </c>
      <c r="G668" s="5">
        <v>49</v>
      </c>
      <c r="H668" s="5">
        <f>IF(Table13_1[[#This Row],[smoker]]="yes",1,0)</f>
        <v>0</v>
      </c>
      <c r="I668" s="4">
        <v>28.7</v>
      </c>
      <c r="J668" s="4">
        <v>1</v>
      </c>
      <c r="K668" s="12">
        <v>8703.4560000000001</v>
      </c>
      <c r="N668">
        <v>513</v>
      </c>
      <c r="O668">
        <v>8263.4639473573843</v>
      </c>
      <c r="P668">
        <v>1097.8628526426164</v>
      </c>
    </row>
    <row r="669" spans="1:16" x14ac:dyDescent="0.25">
      <c r="A669" s="4" t="s">
        <v>7</v>
      </c>
      <c r="B669" s="4">
        <f>ROUND(Table13_1[[#This Row],[bmi]],1)</f>
        <v>32.799999999999997</v>
      </c>
      <c r="C669" s="4" t="str" cm="1">
        <f t="array" ref="C669">_xlfn.IFS(Table13_1[[#This Row],[Round BMI]]&lt;18.5,"Underweight",AND(Table13_1[[#This Row],[Round BMI]]&gt;=18.5,Table13_1[[#This Row],[Round BMI]] &lt;=24.9),"Healthy Weight",AND(Table13_1[[#This Row],[Round BMI]]&gt;=25,Table13_1[[#This Row],[Round BMI]]&lt;=29.9),"Overweight",Table13_1[[#This Row],[Round BMI]]&gt;=30,"Obese")</f>
        <v>Obese</v>
      </c>
      <c r="D669" s="4" t="s">
        <v>8</v>
      </c>
      <c r="E669" s="4" t="str">
        <f>IF(Table13_1[[#This Row],[smoker]]="yes","smoker","non-smoker")</f>
        <v>smoker</v>
      </c>
      <c r="F669" s="4" t="s">
        <v>13</v>
      </c>
      <c r="G669" s="5">
        <v>40</v>
      </c>
      <c r="H669" s="5">
        <f>IF(Table13_1[[#This Row],[smoker]]="yes",1,0)</f>
        <v>1</v>
      </c>
      <c r="I669" s="4">
        <v>32.774999999999999</v>
      </c>
      <c r="J669" s="4">
        <v>2</v>
      </c>
      <c r="K669" s="12">
        <v>40003.332199999997</v>
      </c>
      <c r="N669">
        <v>514</v>
      </c>
      <c r="O669">
        <v>2580.65390745887</v>
      </c>
      <c r="P669">
        <v>-1324.35490745887</v>
      </c>
    </row>
    <row r="670" spans="1:16" x14ac:dyDescent="0.25">
      <c r="A670" s="4" t="s">
        <v>10</v>
      </c>
      <c r="B670" s="4">
        <f>ROUND(Table13_1[[#This Row],[bmi]],1)</f>
        <v>32</v>
      </c>
      <c r="C670" s="4" t="str" cm="1">
        <f t="array" ref="C670">_xlfn.IFS(Table13_1[[#This Row],[Round BMI]]&lt;18.5,"Underweight",AND(Table13_1[[#This Row],[Round BMI]]&gt;=18.5,Table13_1[[#This Row],[Round BMI]] &lt;=24.9),"Healthy Weight",AND(Table13_1[[#This Row],[Round BMI]]&gt;=25,Table13_1[[#This Row],[Round BMI]]&lt;=29.9),"Overweight",Table13_1[[#This Row],[Round BMI]]&gt;=30,"Obese")</f>
        <v>Obese</v>
      </c>
      <c r="D670" s="4" t="s">
        <v>8</v>
      </c>
      <c r="E670" s="4" t="str">
        <f>IF(Table13_1[[#This Row],[smoker]]="yes","smoker","non-smoker")</f>
        <v>smoker</v>
      </c>
      <c r="F670" s="4" t="s">
        <v>14</v>
      </c>
      <c r="G670" s="5">
        <v>62</v>
      </c>
      <c r="H670" s="5">
        <f>IF(Table13_1[[#This Row],[smoker]]="yes",1,0)</f>
        <v>1</v>
      </c>
      <c r="I670" s="4">
        <v>32.015000000000001</v>
      </c>
      <c r="J670" s="4">
        <v>0</v>
      </c>
      <c r="K670" s="12">
        <v>45710.207799999996</v>
      </c>
      <c r="N670">
        <v>515</v>
      </c>
      <c r="O670">
        <v>31346.658269660791</v>
      </c>
      <c r="P670">
        <v>-10264.498269660791</v>
      </c>
    </row>
    <row r="671" spans="1:16" x14ac:dyDescent="0.25">
      <c r="A671" s="4" t="s">
        <v>7</v>
      </c>
      <c r="B671" s="4">
        <f>ROUND(Table13_1[[#This Row],[bmi]],1)</f>
        <v>29.8</v>
      </c>
      <c r="C671" s="4" t="str" cm="1">
        <f t="array" ref="C671">_xlfn.IFS(Table13_1[[#This Row],[Round BMI]]&lt;18.5,"Underweight",AND(Table13_1[[#This Row],[Round BMI]]&gt;=18.5,Table13_1[[#This Row],[Round BMI]] &lt;=24.9),"Healthy Weight",AND(Table13_1[[#This Row],[Round BMI]]&gt;=25,Table13_1[[#This Row],[Round BMI]]&lt;=29.9),"Overweight",Table13_1[[#This Row],[Round BMI]]&gt;=30,"Obese")</f>
        <v>Overweight</v>
      </c>
      <c r="D671" s="4" t="s">
        <v>11</v>
      </c>
      <c r="E671" s="4" t="str">
        <f>IF(Table13_1[[#This Row],[smoker]]="yes","smoker","non-smoker")</f>
        <v>non-smoker</v>
      </c>
      <c r="F671" s="4" t="s">
        <v>12</v>
      </c>
      <c r="G671" s="5">
        <v>40</v>
      </c>
      <c r="H671" s="5">
        <f>IF(Table13_1[[#This Row],[smoker]]="yes",1,0)</f>
        <v>0</v>
      </c>
      <c r="I671" s="4">
        <v>29.81</v>
      </c>
      <c r="J671" s="4">
        <v>1</v>
      </c>
      <c r="K671" s="12">
        <v>6500.2358999999997</v>
      </c>
      <c r="N671">
        <v>516</v>
      </c>
      <c r="O671">
        <v>14342.597128401179</v>
      </c>
      <c r="P671">
        <v>-2979.8421284011802</v>
      </c>
    </row>
    <row r="672" spans="1:16" x14ac:dyDescent="0.25">
      <c r="A672" s="4" t="s">
        <v>10</v>
      </c>
      <c r="B672" s="4">
        <f>ROUND(Table13_1[[#This Row],[bmi]],1)</f>
        <v>31.6</v>
      </c>
      <c r="C672" s="4" t="str" cm="1">
        <f t="array" ref="C672">_xlfn.IFS(Table13_1[[#This Row],[Round BMI]]&lt;18.5,"Underweight",AND(Table13_1[[#This Row],[Round BMI]]&gt;=18.5,Table13_1[[#This Row],[Round BMI]] &lt;=24.9),"Healthy Weight",AND(Table13_1[[#This Row],[Round BMI]]&gt;=25,Table13_1[[#This Row],[Round BMI]]&lt;=29.9),"Overweight",Table13_1[[#This Row],[Round BMI]]&gt;=30,"Obese")</f>
        <v>Obese</v>
      </c>
      <c r="D672" s="4" t="s">
        <v>11</v>
      </c>
      <c r="E672" s="4" t="str">
        <f>IF(Table13_1[[#This Row],[smoker]]="yes","smoker","non-smoker")</f>
        <v>non-smoker</v>
      </c>
      <c r="F672" s="4" t="s">
        <v>12</v>
      </c>
      <c r="G672" s="5">
        <v>30</v>
      </c>
      <c r="H672" s="5">
        <f>IF(Table13_1[[#This Row],[smoker]]="yes",1,0)</f>
        <v>0</v>
      </c>
      <c r="I672" s="4">
        <v>31.57</v>
      </c>
      <c r="J672" s="4">
        <v>3</v>
      </c>
      <c r="K672" s="12">
        <v>4837.5823</v>
      </c>
      <c r="N672">
        <v>517</v>
      </c>
      <c r="O672">
        <v>4892.2961182854042</v>
      </c>
      <c r="P672">
        <v>22831.992681714593</v>
      </c>
    </row>
    <row r="673" spans="1:16" x14ac:dyDescent="0.25">
      <c r="A673" s="4" t="s">
        <v>7</v>
      </c>
      <c r="B673" s="4">
        <f>ROUND(Table13_1[[#This Row],[bmi]],1)</f>
        <v>31.2</v>
      </c>
      <c r="C673" s="4" t="str" cm="1">
        <f t="array" ref="C673">_xlfn.IFS(Table13_1[[#This Row],[Round BMI]]&lt;18.5,"Underweight",AND(Table13_1[[#This Row],[Round BMI]]&gt;=18.5,Table13_1[[#This Row],[Round BMI]] &lt;=24.9),"Healthy Weight",AND(Table13_1[[#This Row],[Round BMI]]&gt;=25,Table13_1[[#This Row],[Round BMI]]&lt;=29.9),"Overweight",Table13_1[[#This Row],[Round BMI]]&gt;=30,"Obese")</f>
        <v>Obese</v>
      </c>
      <c r="D673" s="4" t="s">
        <v>11</v>
      </c>
      <c r="E673" s="4" t="str">
        <f>IF(Table13_1[[#This Row],[smoker]]="yes","smoker","non-smoker")</f>
        <v>non-smoker</v>
      </c>
      <c r="F673" s="4" t="s">
        <v>14</v>
      </c>
      <c r="G673" s="5">
        <v>29</v>
      </c>
      <c r="H673" s="5">
        <f>IF(Table13_1[[#This Row],[smoker]]="yes",1,0)</f>
        <v>0</v>
      </c>
      <c r="I673" s="4">
        <v>31.16</v>
      </c>
      <c r="J673" s="4">
        <v>0</v>
      </c>
      <c r="K673" s="12">
        <v>3943.5954000000002</v>
      </c>
      <c r="N673">
        <v>518</v>
      </c>
      <c r="O673">
        <v>10262.321612409687</v>
      </c>
      <c r="P673">
        <v>-1848.8586124096873</v>
      </c>
    </row>
    <row r="674" spans="1:16" x14ac:dyDescent="0.25">
      <c r="A674" s="4" t="s">
        <v>10</v>
      </c>
      <c r="B674" s="4">
        <f>ROUND(Table13_1[[#This Row],[bmi]],1)</f>
        <v>29.7</v>
      </c>
      <c r="C674" s="4" t="str" cm="1">
        <f t="array" ref="C674">_xlfn.IFS(Table13_1[[#This Row],[Round BMI]]&lt;18.5,"Underweight",AND(Table13_1[[#This Row],[Round BMI]]&gt;=18.5,Table13_1[[#This Row],[Round BMI]] &lt;=24.9),"Healthy Weight",AND(Table13_1[[#This Row],[Round BMI]]&gt;=25,Table13_1[[#This Row],[Round BMI]]&lt;=29.9),"Overweight",Table13_1[[#This Row],[Round BMI]]&gt;=30,"Obese")</f>
        <v>Overweight</v>
      </c>
      <c r="D674" s="4" t="s">
        <v>11</v>
      </c>
      <c r="E674" s="4" t="str">
        <f>IF(Table13_1[[#This Row],[smoker]]="yes","smoker","non-smoker")</f>
        <v>non-smoker</v>
      </c>
      <c r="F674" s="4" t="s">
        <v>12</v>
      </c>
      <c r="G674" s="5">
        <v>36</v>
      </c>
      <c r="H674" s="5">
        <f>IF(Table13_1[[#This Row],[smoker]]="yes",1,0)</f>
        <v>0</v>
      </c>
      <c r="I674" s="4">
        <v>29.7</v>
      </c>
      <c r="J674" s="4">
        <v>0</v>
      </c>
      <c r="K674" s="12">
        <v>4399.7309999999998</v>
      </c>
      <c r="N674">
        <v>519</v>
      </c>
      <c r="O674">
        <v>7372.8591819951171</v>
      </c>
      <c r="P674">
        <v>-2132.0941819951167</v>
      </c>
    </row>
    <row r="675" spans="1:16" x14ac:dyDescent="0.25">
      <c r="A675" s="4" t="s">
        <v>7</v>
      </c>
      <c r="B675" s="4">
        <f>ROUND(Table13_1[[#This Row],[bmi]],1)</f>
        <v>31</v>
      </c>
      <c r="C675" s="4" t="str" cm="1">
        <f t="array" ref="C675">_xlfn.IFS(Table13_1[[#This Row],[Round BMI]]&lt;18.5,"Underweight",AND(Table13_1[[#This Row],[Round BMI]]&gt;=18.5,Table13_1[[#This Row],[Round BMI]] &lt;=24.9),"Healthy Weight",AND(Table13_1[[#This Row],[Round BMI]]&gt;=25,Table13_1[[#This Row],[Round BMI]]&lt;=29.9),"Overweight",Table13_1[[#This Row],[Round BMI]]&gt;=30,"Obese")</f>
        <v>Obese</v>
      </c>
      <c r="D675" s="4" t="s">
        <v>11</v>
      </c>
      <c r="E675" s="4" t="str">
        <f>IF(Table13_1[[#This Row],[smoker]]="yes","smoker","non-smoker")</f>
        <v>non-smoker</v>
      </c>
      <c r="F675" s="4" t="s">
        <v>12</v>
      </c>
      <c r="G675" s="5">
        <v>41</v>
      </c>
      <c r="H675" s="5">
        <f>IF(Table13_1[[#This Row],[smoker]]="yes",1,0)</f>
        <v>0</v>
      </c>
      <c r="I675" s="4">
        <v>31.02</v>
      </c>
      <c r="J675" s="4">
        <v>0</v>
      </c>
      <c r="K675" s="12">
        <v>6185.3208000000004</v>
      </c>
      <c r="N675">
        <v>520</v>
      </c>
      <c r="O675">
        <v>5827.7274117727184</v>
      </c>
      <c r="P675">
        <v>-1969.9682117727184</v>
      </c>
    </row>
    <row r="676" spans="1:16" x14ac:dyDescent="0.25">
      <c r="A676" s="4" t="s">
        <v>7</v>
      </c>
      <c r="B676" s="4">
        <f>ROUND(Table13_1[[#This Row],[bmi]],1)</f>
        <v>43.9</v>
      </c>
      <c r="C676" s="4" t="str" cm="1">
        <f t="array" ref="C676">_xlfn.IFS(Table13_1[[#This Row],[Round BMI]]&lt;18.5,"Underweight",AND(Table13_1[[#This Row],[Round BMI]]&gt;=18.5,Table13_1[[#This Row],[Round BMI]] &lt;=24.9),"Healthy Weight",AND(Table13_1[[#This Row],[Round BMI]]&gt;=25,Table13_1[[#This Row],[Round BMI]]&lt;=29.9),"Overweight",Table13_1[[#This Row],[Round BMI]]&gt;=30,"Obese")</f>
        <v>Obese</v>
      </c>
      <c r="D676" s="4" t="s">
        <v>8</v>
      </c>
      <c r="E676" s="4" t="str">
        <f>IF(Table13_1[[#This Row],[smoker]]="yes","smoker","non-smoker")</f>
        <v>smoker</v>
      </c>
      <c r="F676" s="4" t="s">
        <v>12</v>
      </c>
      <c r="G676" s="5">
        <v>44</v>
      </c>
      <c r="H676" s="5">
        <f>IF(Table13_1[[#This Row],[smoker]]="yes",1,0)</f>
        <v>1</v>
      </c>
      <c r="I676" s="4">
        <v>43.89</v>
      </c>
      <c r="J676" s="4">
        <v>2</v>
      </c>
      <c r="K676" s="12">
        <v>46200.985099999998</v>
      </c>
      <c r="N676">
        <v>521</v>
      </c>
      <c r="O676">
        <v>9595.5603700626198</v>
      </c>
      <c r="P676">
        <v>16061.014929937381</v>
      </c>
    </row>
    <row r="677" spans="1:16" x14ac:dyDescent="0.25">
      <c r="A677" s="4" t="s">
        <v>10</v>
      </c>
      <c r="B677" s="4">
        <f>ROUND(Table13_1[[#This Row],[bmi]],1)</f>
        <v>21.4</v>
      </c>
      <c r="C677" s="4" t="str" cm="1">
        <f t="array" ref="C677">_xlfn.IFS(Table13_1[[#This Row],[Round BMI]]&lt;18.5,"Underweight",AND(Table13_1[[#This Row],[Round BMI]]&gt;=18.5,Table13_1[[#This Row],[Round BMI]] &lt;=24.9),"Healthy Weight",AND(Table13_1[[#This Row],[Round BMI]]&gt;=25,Table13_1[[#This Row],[Round BMI]]&lt;=29.9),"Overweight",Table13_1[[#This Row],[Round BMI]]&gt;=30,"Obese")</f>
        <v>Healthy Weight</v>
      </c>
      <c r="D677" s="4" t="s">
        <v>11</v>
      </c>
      <c r="E677" s="4" t="str">
        <f>IF(Table13_1[[#This Row],[smoker]]="yes","smoker","non-smoker")</f>
        <v>non-smoker</v>
      </c>
      <c r="F677" s="4" t="s">
        <v>13</v>
      </c>
      <c r="G677" s="5">
        <v>45</v>
      </c>
      <c r="H677" s="5">
        <f>IF(Table13_1[[#This Row],[smoker]]="yes",1,0)</f>
        <v>0</v>
      </c>
      <c r="I677" s="4">
        <v>21.375</v>
      </c>
      <c r="J677" s="4">
        <v>0</v>
      </c>
      <c r="K677" s="12">
        <v>7222.7861999999996</v>
      </c>
      <c r="N677">
        <v>522</v>
      </c>
      <c r="O677">
        <v>10380.683890019054</v>
      </c>
      <c r="P677">
        <v>-6386.5060900190547</v>
      </c>
    </row>
    <row r="678" spans="1:16" x14ac:dyDescent="0.25">
      <c r="A678" s="4" t="s">
        <v>7</v>
      </c>
      <c r="B678" s="4">
        <f>ROUND(Table13_1[[#This Row],[bmi]],1)</f>
        <v>40.799999999999997</v>
      </c>
      <c r="C678" s="4" t="str" cm="1">
        <f t="array" ref="C678">_xlfn.IFS(Table13_1[[#This Row],[Round BMI]]&lt;18.5,"Underweight",AND(Table13_1[[#This Row],[Round BMI]]&gt;=18.5,Table13_1[[#This Row],[Round BMI]] &lt;=24.9),"Healthy Weight",AND(Table13_1[[#This Row],[Round BMI]]&gt;=25,Table13_1[[#This Row],[Round BMI]]&lt;=29.9),"Overweight",Table13_1[[#This Row],[Round BMI]]&gt;=30,"Obese")</f>
        <v>Obese</v>
      </c>
      <c r="D678" s="4" t="s">
        <v>11</v>
      </c>
      <c r="E678" s="4" t="str">
        <f>IF(Table13_1[[#This Row],[smoker]]="yes","smoker","non-smoker")</f>
        <v>non-smoker</v>
      </c>
      <c r="F678" s="4" t="s">
        <v>12</v>
      </c>
      <c r="G678" s="5">
        <v>55</v>
      </c>
      <c r="H678" s="5">
        <f>IF(Table13_1[[#This Row],[smoker]]="yes",1,0)</f>
        <v>0</v>
      </c>
      <c r="I678" s="4">
        <v>40.81</v>
      </c>
      <c r="J678" s="4">
        <v>3</v>
      </c>
      <c r="K678" s="12">
        <v>12485.8009</v>
      </c>
      <c r="N678">
        <v>523</v>
      </c>
      <c r="O678">
        <v>11963.145823017121</v>
      </c>
      <c r="P678">
        <v>-2096.8410230171212</v>
      </c>
    </row>
    <row r="679" spans="1:16" x14ac:dyDescent="0.25">
      <c r="A679" s="4" t="s">
        <v>10</v>
      </c>
      <c r="B679" s="4">
        <f>ROUND(Table13_1[[#This Row],[bmi]],1)</f>
        <v>31.4</v>
      </c>
      <c r="C679" s="4" t="str" cm="1">
        <f t="array" ref="C679">_xlfn.IFS(Table13_1[[#This Row],[Round BMI]]&lt;18.5,"Underweight",AND(Table13_1[[#This Row],[Round BMI]]&gt;=18.5,Table13_1[[#This Row],[Round BMI]] &lt;=24.9),"Healthy Weight",AND(Table13_1[[#This Row],[Round BMI]]&gt;=25,Table13_1[[#This Row],[Round BMI]]&lt;=29.9),"Overweight",Table13_1[[#This Row],[Round BMI]]&gt;=30,"Obese")</f>
        <v>Obese</v>
      </c>
      <c r="D679" s="4" t="s">
        <v>8</v>
      </c>
      <c r="E679" s="4" t="str">
        <f>IF(Table13_1[[#This Row],[smoker]]="yes","smoker","non-smoker")</f>
        <v>smoker</v>
      </c>
      <c r="F679" s="4" t="s">
        <v>13</v>
      </c>
      <c r="G679" s="5">
        <v>60</v>
      </c>
      <c r="H679" s="5">
        <f>IF(Table13_1[[#This Row],[smoker]]="yes",1,0)</f>
        <v>1</v>
      </c>
      <c r="I679" s="4">
        <v>31.35</v>
      </c>
      <c r="J679" s="4">
        <v>3</v>
      </c>
      <c r="K679" s="12">
        <v>46130.5265</v>
      </c>
      <c r="N679">
        <v>524</v>
      </c>
      <c r="O679">
        <v>9838.9653295617209</v>
      </c>
      <c r="P679">
        <v>-4441.3486295617213</v>
      </c>
    </row>
    <row r="680" spans="1:16" x14ac:dyDescent="0.25">
      <c r="A680" s="4" t="s">
        <v>10</v>
      </c>
      <c r="B680" s="4">
        <f>ROUND(Table13_1[[#This Row],[bmi]],1)</f>
        <v>36.1</v>
      </c>
      <c r="C680" s="4" t="str" cm="1">
        <f t="array" ref="C680">_xlfn.IFS(Table13_1[[#This Row],[Round BMI]]&lt;18.5,"Underweight",AND(Table13_1[[#This Row],[Round BMI]]&gt;=18.5,Table13_1[[#This Row],[Round BMI]] &lt;=24.9),"Healthy Weight",AND(Table13_1[[#This Row],[Round BMI]]&gt;=25,Table13_1[[#This Row],[Round BMI]]&lt;=29.9),"Overweight",Table13_1[[#This Row],[Round BMI]]&gt;=30,"Obese")</f>
        <v>Obese</v>
      </c>
      <c r="D680" s="4" t="s">
        <v>11</v>
      </c>
      <c r="E680" s="4" t="str">
        <f>IF(Table13_1[[#This Row],[smoker]]="yes","smoker","non-smoker")</f>
        <v>non-smoker</v>
      </c>
      <c r="F680" s="4" t="s">
        <v>9</v>
      </c>
      <c r="G680" s="5">
        <v>56</v>
      </c>
      <c r="H680" s="5">
        <f>IF(Table13_1[[#This Row],[smoker]]="yes",1,0)</f>
        <v>0</v>
      </c>
      <c r="I680" s="4">
        <v>36.1</v>
      </c>
      <c r="J680" s="4">
        <v>3</v>
      </c>
      <c r="K680" s="12">
        <v>12363.547</v>
      </c>
      <c r="N680">
        <v>525</v>
      </c>
      <c r="O680">
        <v>31402.478163315955</v>
      </c>
      <c r="P680">
        <v>6843.1151366840459</v>
      </c>
    </row>
    <row r="681" spans="1:16" x14ac:dyDescent="0.25">
      <c r="A681" s="4" t="s">
        <v>7</v>
      </c>
      <c r="B681" s="4">
        <f>ROUND(Table13_1[[#This Row],[bmi]],1)</f>
        <v>23.2</v>
      </c>
      <c r="C681" s="4" t="str" cm="1">
        <f t="array" ref="C681">_xlfn.IFS(Table13_1[[#This Row],[Round BMI]]&lt;18.5,"Underweight",AND(Table13_1[[#This Row],[Round BMI]]&gt;=18.5,Table13_1[[#This Row],[Round BMI]] &lt;=24.9),"Healthy Weight",AND(Table13_1[[#This Row],[Round BMI]]&gt;=25,Table13_1[[#This Row],[Round BMI]]&lt;=29.9),"Overweight",Table13_1[[#This Row],[Round BMI]]&gt;=30,"Obese")</f>
        <v>Healthy Weight</v>
      </c>
      <c r="D681" s="4" t="s">
        <v>11</v>
      </c>
      <c r="E681" s="4" t="str">
        <f>IF(Table13_1[[#This Row],[smoker]]="yes","smoker","non-smoker")</f>
        <v>non-smoker</v>
      </c>
      <c r="F681" s="4" t="s">
        <v>13</v>
      </c>
      <c r="G681" s="5">
        <v>49</v>
      </c>
      <c r="H681" s="5">
        <f>IF(Table13_1[[#This Row],[smoker]]="yes",1,0)</f>
        <v>0</v>
      </c>
      <c r="I681" s="4">
        <v>23.18</v>
      </c>
      <c r="J681" s="4">
        <v>2</v>
      </c>
      <c r="K681" s="12">
        <v>10156.7832</v>
      </c>
      <c r="N681">
        <v>526</v>
      </c>
      <c r="O681">
        <v>3442.847282015935</v>
      </c>
      <c r="P681">
        <v>8039.7875179840648</v>
      </c>
    </row>
    <row r="682" spans="1:16" x14ac:dyDescent="0.25">
      <c r="A682" s="4" t="s">
        <v>7</v>
      </c>
      <c r="B682" s="4">
        <f>ROUND(Table13_1[[#This Row],[bmi]],1)</f>
        <v>17.399999999999999</v>
      </c>
      <c r="C682" s="4" t="str" cm="1">
        <f t="array" ref="C682">_xlfn.IFS(Table13_1[[#This Row],[Round BMI]]&lt;18.5,"Underweight",AND(Table13_1[[#This Row],[Round BMI]]&gt;=18.5,Table13_1[[#This Row],[Round BMI]] &lt;=24.9),"Healthy Weight",AND(Table13_1[[#This Row],[Round BMI]]&gt;=25,Table13_1[[#This Row],[Round BMI]]&lt;=29.9),"Overweight",Table13_1[[#This Row],[Round BMI]]&gt;=30,"Obese")</f>
        <v>Underweight</v>
      </c>
      <c r="D682" s="4" t="s">
        <v>11</v>
      </c>
      <c r="E682" s="4" t="str">
        <f>IF(Table13_1[[#This Row],[smoker]]="yes","smoker","non-smoker")</f>
        <v>non-smoker</v>
      </c>
      <c r="F682" s="4" t="s">
        <v>9</v>
      </c>
      <c r="G682" s="5">
        <v>21</v>
      </c>
      <c r="H682" s="5">
        <f>IF(Table13_1[[#This Row],[smoker]]="yes",1,0)</f>
        <v>0</v>
      </c>
      <c r="I682" s="4">
        <v>17.399999999999999</v>
      </c>
      <c r="J682" s="4">
        <v>1</v>
      </c>
      <c r="K682" s="12">
        <v>2585.2689999999998</v>
      </c>
      <c r="N682">
        <v>527</v>
      </c>
      <c r="O682">
        <v>3588.8103050903483</v>
      </c>
      <c r="P682">
        <v>20470.869894909651</v>
      </c>
    </row>
    <row r="683" spans="1:16" x14ac:dyDescent="0.25">
      <c r="A683" s="4" t="s">
        <v>10</v>
      </c>
      <c r="B683" s="4">
        <f>ROUND(Table13_1[[#This Row],[bmi]],1)</f>
        <v>20.3</v>
      </c>
      <c r="C683" s="4" t="str" cm="1">
        <f t="array" ref="C683">_xlfn.IFS(Table13_1[[#This Row],[Round BMI]]&lt;18.5,"Underweight",AND(Table13_1[[#This Row],[Round BMI]]&gt;=18.5,Table13_1[[#This Row],[Round BMI]] &lt;=24.9),"Healthy Weight",AND(Table13_1[[#This Row],[Round BMI]]&gt;=25,Table13_1[[#This Row],[Round BMI]]&lt;=29.9),"Overweight",Table13_1[[#This Row],[Round BMI]]&gt;=30,"Obese")</f>
        <v>Healthy Weight</v>
      </c>
      <c r="D683" s="4" t="s">
        <v>11</v>
      </c>
      <c r="E683" s="4" t="str">
        <f>IF(Table13_1[[#This Row],[smoker]]="yes","smoker","non-smoker")</f>
        <v>non-smoker</v>
      </c>
      <c r="F683" s="4" t="s">
        <v>9</v>
      </c>
      <c r="G683" s="5">
        <v>19</v>
      </c>
      <c r="H683" s="5">
        <f>IF(Table13_1[[#This Row],[smoker]]="yes",1,0)</f>
        <v>0</v>
      </c>
      <c r="I683" s="4">
        <v>20.3</v>
      </c>
      <c r="J683" s="4">
        <v>0</v>
      </c>
      <c r="K683" s="12">
        <v>1242.26</v>
      </c>
      <c r="N683">
        <v>528</v>
      </c>
      <c r="O683">
        <v>9824.8240045065068</v>
      </c>
      <c r="P683">
        <v>36.200995493492883</v>
      </c>
    </row>
    <row r="684" spans="1:16" x14ac:dyDescent="0.25">
      <c r="A684" s="4" t="s">
        <v>10</v>
      </c>
      <c r="B684" s="4">
        <f>ROUND(Table13_1[[#This Row],[bmi]],1)</f>
        <v>35.299999999999997</v>
      </c>
      <c r="C684" s="4" t="str" cm="1">
        <f t="array" ref="C684">_xlfn.IFS(Table13_1[[#This Row],[Round BMI]]&lt;18.5,"Underweight",AND(Table13_1[[#This Row],[Round BMI]]&gt;=18.5,Table13_1[[#This Row],[Round BMI]] &lt;=24.9),"Healthy Weight",AND(Table13_1[[#This Row],[Round BMI]]&gt;=25,Table13_1[[#This Row],[Round BMI]]&lt;=29.9),"Overweight",Table13_1[[#This Row],[Round BMI]]&gt;=30,"Obese")</f>
        <v>Obese</v>
      </c>
      <c r="D684" s="4" t="s">
        <v>8</v>
      </c>
      <c r="E684" s="4" t="str">
        <f>IF(Table13_1[[#This Row],[smoker]]="yes","smoker","non-smoker")</f>
        <v>smoker</v>
      </c>
      <c r="F684" s="4" t="s">
        <v>9</v>
      </c>
      <c r="G684" s="5">
        <v>39</v>
      </c>
      <c r="H684" s="5">
        <f>IF(Table13_1[[#This Row],[smoker]]="yes",1,0)</f>
        <v>1</v>
      </c>
      <c r="I684" s="4">
        <v>35.299999999999997</v>
      </c>
      <c r="J684" s="4">
        <v>2</v>
      </c>
      <c r="K684" s="12">
        <v>40103.89</v>
      </c>
      <c r="N684">
        <v>529</v>
      </c>
      <c r="O684">
        <v>12920.801831566247</v>
      </c>
      <c r="P684">
        <v>-4577.8930315662474</v>
      </c>
    </row>
    <row r="685" spans="1:16" x14ac:dyDescent="0.25">
      <c r="A685" s="4" t="s">
        <v>10</v>
      </c>
      <c r="B685" s="4">
        <f>ROUND(Table13_1[[#This Row],[bmi]],1)</f>
        <v>24.3</v>
      </c>
      <c r="C685" s="4" t="str" cm="1">
        <f t="array" ref="C685">_xlfn.IFS(Table13_1[[#This Row],[Round BMI]]&lt;18.5,"Underweight",AND(Table13_1[[#This Row],[Round BMI]]&gt;=18.5,Table13_1[[#This Row],[Round BMI]] &lt;=24.9),"Healthy Weight",AND(Table13_1[[#This Row],[Round BMI]]&gt;=25,Table13_1[[#This Row],[Round BMI]]&lt;=29.9),"Overweight",Table13_1[[#This Row],[Round BMI]]&gt;=30,"Obese")</f>
        <v>Healthy Weight</v>
      </c>
      <c r="D685" s="4" t="s">
        <v>11</v>
      </c>
      <c r="E685" s="4" t="str">
        <f>IF(Table13_1[[#This Row],[smoker]]="yes","smoker","non-smoker")</f>
        <v>non-smoker</v>
      </c>
      <c r="F685" s="4" t="s">
        <v>13</v>
      </c>
      <c r="G685" s="5">
        <v>53</v>
      </c>
      <c r="H685" s="5">
        <f>IF(Table13_1[[#This Row],[smoker]]="yes",1,0)</f>
        <v>0</v>
      </c>
      <c r="I685" s="4">
        <v>24.32</v>
      </c>
      <c r="J685" s="4">
        <v>0</v>
      </c>
      <c r="K685" s="12">
        <v>9863.4717999999993</v>
      </c>
      <c r="N685">
        <v>530</v>
      </c>
      <c r="O685">
        <v>732.85847009292593</v>
      </c>
      <c r="P685">
        <v>975.14292990707418</v>
      </c>
    </row>
    <row r="686" spans="1:16" x14ac:dyDescent="0.25">
      <c r="A686" s="4" t="s">
        <v>7</v>
      </c>
      <c r="B686" s="4">
        <f>ROUND(Table13_1[[#This Row],[bmi]],1)</f>
        <v>18.5</v>
      </c>
      <c r="C686" s="4" t="str" cm="1">
        <f t="array" ref="C686">_xlfn.IFS(Table13_1[[#This Row],[Round BMI]]&lt;18.5,"Underweight",AND(Table13_1[[#This Row],[Round BMI]]&gt;=18.5,Table13_1[[#This Row],[Round BMI]] &lt;=24.9),"Healthy Weight",AND(Table13_1[[#This Row],[Round BMI]]&gt;=25,Table13_1[[#This Row],[Round BMI]]&lt;=29.9),"Overweight",Table13_1[[#This Row],[Round BMI]]&gt;=30,"Obese")</f>
        <v>Healthy Weight</v>
      </c>
      <c r="D686" s="4" t="s">
        <v>11</v>
      </c>
      <c r="E686" s="4" t="str">
        <f>IF(Table13_1[[#This Row],[smoker]]="yes","smoker","non-smoker")</f>
        <v>non-smoker</v>
      </c>
      <c r="F686" s="4" t="s">
        <v>9</v>
      </c>
      <c r="G686" s="5">
        <v>33</v>
      </c>
      <c r="H686" s="5">
        <f>IF(Table13_1[[#This Row],[smoker]]="yes",1,0)</f>
        <v>0</v>
      </c>
      <c r="I686" s="4">
        <v>18.5</v>
      </c>
      <c r="J686" s="4">
        <v>1</v>
      </c>
      <c r="K686" s="12">
        <v>4766.0219999999999</v>
      </c>
      <c r="N686">
        <v>531</v>
      </c>
      <c r="O686">
        <v>40439.154302901166</v>
      </c>
      <c r="P686">
        <v>8236.3633970988303</v>
      </c>
    </row>
    <row r="687" spans="1:16" x14ac:dyDescent="0.25">
      <c r="A687" s="4" t="s">
        <v>10</v>
      </c>
      <c r="B687" s="4">
        <f>ROUND(Table13_1[[#This Row],[bmi]],1)</f>
        <v>26.4</v>
      </c>
      <c r="C687" s="4" t="str" cm="1">
        <f t="array" ref="C687">_xlfn.IFS(Table13_1[[#This Row],[Round BMI]]&lt;18.5,"Underweight",AND(Table13_1[[#This Row],[Round BMI]]&gt;=18.5,Table13_1[[#This Row],[Round BMI]] &lt;=24.9),"Healthy Weight",AND(Table13_1[[#This Row],[Round BMI]]&gt;=25,Table13_1[[#This Row],[Round BMI]]&lt;=29.9),"Overweight",Table13_1[[#This Row],[Round BMI]]&gt;=30,"Obese")</f>
        <v>Overweight</v>
      </c>
      <c r="D687" s="4" t="s">
        <v>11</v>
      </c>
      <c r="E687" s="4" t="str">
        <f>IF(Table13_1[[#This Row],[smoker]]="yes","smoker","non-smoker")</f>
        <v>non-smoker</v>
      </c>
      <c r="F687" s="4" t="s">
        <v>14</v>
      </c>
      <c r="G687" s="5">
        <v>53</v>
      </c>
      <c r="H687" s="5">
        <f>IF(Table13_1[[#This Row],[smoker]]="yes",1,0)</f>
        <v>0</v>
      </c>
      <c r="I687" s="4">
        <v>26.41</v>
      </c>
      <c r="J687" s="4">
        <v>2</v>
      </c>
      <c r="K687" s="12">
        <v>11244.376899999999</v>
      </c>
      <c r="N687">
        <v>532</v>
      </c>
      <c r="O687">
        <v>14096.245088442989</v>
      </c>
      <c r="P687">
        <v>-52.768388442989817</v>
      </c>
    </row>
    <row r="688" spans="1:16" x14ac:dyDescent="0.25">
      <c r="A688" s="4" t="s">
        <v>10</v>
      </c>
      <c r="B688" s="4">
        <f>ROUND(Table13_1[[#This Row],[bmi]],1)</f>
        <v>26.1</v>
      </c>
      <c r="C688" s="4" t="str" cm="1">
        <f t="array" ref="C688">_xlfn.IFS(Table13_1[[#This Row],[Round BMI]]&lt;18.5,"Underweight",AND(Table13_1[[#This Row],[Round BMI]]&gt;=18.5,Table13_1[[#This Row],[Round BMI]] &lt;=24.9),"Healthy Weight",AND(Table13_1[[#This Row],[Round BMI]]&gt;=25,Table13_1[[#This Row],[Round BMI]]&lt;=29.9),"Overweight",Table13_1[[#This Row],[Round BMI]]&gt;=30,"Obese")</f>
        <v>Overweight</v>
      </c>
      <c r="D688" s="4" t="s">
        <v>11</v>
      </c>
      <c r="E688" s="4" t="str">
        <f>IF(Table13_1[[#This Row],[smoker]]="yes","smoker","non-smoker")</f>
        <v>non-smoker</v>
      </c>
      <c r="F688" s="4" t="s">
        <v>14</v>
      </c>
      <c r="G688" s="5">
        <v>42</v>
      </c>
      <c r="H688" s="5">
        <f>IF(Table13_1[[#This Row],[smoker]]="yes",1,0)</f>
        <v>0</v>
      </c>
      <c r="I688" s="4">
        <v>26.125</v>
      </c>
      <c r="J688" s="4">
        <v>2</v>
      </c>
      <c r="K688" s="12">
        <v>7729.6458000000002</v>
      </c>
      <c r="N688">
        <v>533</v>
      </c>
      <c r="O688">
        <v>13616.342849775907</v>
      </c>
      <c r="P688">
        <v>-690.45684977590645</v>
      </c>
    </row>
    <row r="689" spans="1:16" x14ac:dyDescent="0.25">
      <c r="A689" s="4" t="s">
        <v>10</v>
      </c>
      <c r="B689" s="4">
        <f>ROUND(Table13_1[[#This Row],[bmi]],1)</f>
        <v>41.7</v>
      </c>
      <c r="C689" s="4" t="str" cm="1">
        <f t="array" ref="C689">_xlfn.IFS(Table13_1[[#This Row],[Round BMI]]&lt;18.5,"Underweight",AND(Table13_1[[#This Row],[Round BMI]]&gt;=18.5,Table13_1[[#This Row],[Round BMI]] &lt;=24.9),"Healthy Weight",AND(Table13_1[[#This Row],[Round BMI]]&gt;=25,Table13_1[[#This Row],[Round BMI]]&lt;=29.9),"Overweight",Table13_1[[#This Row],[Round BMI]]&gt;=30,"Obese")</f>
        <v>Obese</v>
      </c>
      <c r="D689" s="4" t="s">
        <v>11</v>
      </c>
      <c r="E689" s="4" t="str">
        <f>IF(Table13_1[[#This Row],[smoker]]="yes","smoker","non-smoker")</f>
        <v>non-smoker</v>
      </c>
      <c r="F689" s="4" t="s">
        <v>12</v>
      </c>
      <c r="G689" s="5">
        <v>40</v>
      </c>
      <c r="H689" s="5">
        <f>IF(Table13_1[[#This Row],[smoker]]="yes",1,0)</f>
        <v>0</v>
      </c>
      <c r="I689" s="4">
        <v>41.69</v>
      </c>
      <c r="J689" s="4">
        <v>0</v>
      </c>
      <c r="K689" s="12">
        <v>5438.7491</v>
      </c>
      <c r="N689">
        <v>534</v>
      </c>
      <c r="O689">
        <v>9085.4646618558963</v>
      </c>
      <c r="P689">
        <v>10129.240838144104</v>
      </c>
    </row>
    <row r="690" spans="1:16" x14ac:dyDescent="0.25">
      <c r="A690" s="4" t="s">
        <v>7</v>
      </c>
      <c r="B690" s="4">
        <f>ROUND(Table13_1[[#This Row],[bmi]],1)</f>
        <v>24.1</v>
      </c>
      <c r="C690" s="4" t="str" cm="1">
        <f t="array" ref="C690">_xlfn.IFS(Table13_1[[#This Row],[Round BMI]]&lt;18.5,"Underweight",AND(Table13_1[[#This Row],[Round BMI]]&gt;=18.5,Table13_1[[#This Row],[Round BMI]] &lt;=24.9),"Healthy Weight",AND(Table13_1[[#This Row],[Round BMI]]&gt;=25,Table13_1[[#This Row],[Round BMI]]&lt;=29.9),"Overweight",Table13_1[[#This Row],[Round BMI]]&gt;=30,"Obese")</f>
        <v>Healthy Weight</v>
      </c>
      <c r="D690" s="4" t="s">
        <v>11</v>
      </c>
      <c r="E690" s="4" t="str">
        <f>IF(Table13_1[[#This Row],[smoker]]="yes","smoker","non-smoker")</f>
        <v>non-smoker</v>
      </c>
      <c r="F690" s="4" t="s">
        <v>9</v>
      </c>
      <c r="G690" s="5">
        <v>47</v>
      </c>
      <c r="H690" s="5">
        <f>IF(Table13_1[[#This Row],[smoker]]="yes",1,0)</f>
        <v>0</v>
      </c>
      <c r="I690" s="4">
        <v>24.1</v>
      </c>
      <c r="J690" s="4">
        <v>1</v>
      </c>
      <c r="K690" s="12">
        <v>26236.58</v>
      </c>
      <c r="N690">
        <v>535</v>
      </c>
      <c r="O690">
        <v>17428.14387796431</v>
      </c>
      <c r="P690">
        <v>-3597.0286779643102</v>
      </c>
    </row>
    <row r="691" spans="1:16" x14ac:dyDescent="0.25">
      <c r="A691" s="4" t="s">
        <v>10</v>
      </c>
      <c r="B691" s="4">
        <f>ROUND(Table13_1[[#This Row],[bmi]],1)</f>
        <v>31.1</v>
      </c>
      <c r="C691" s="4" t="str" cm="1">
        <f t="array" ref="C691">_xlfn.IFS(Table13_1[[#This Row],[Round BMI]]&lt;18.5,"Underweight",AND(Table13_1[[#This Row],[Round BMI]]&gt;=18.5,Table13_1[[#This Row],[Round BMI]] &lt;=24.9),"Healthy Weight",AND(Table13_1[[#This Row],[Round BMI]]&gt;=25,Table13_1[[#This Row],[Round BMI]]&lt;=29.9),"Overweight",Table13_1[[#This Row],[Round BMI]]&gt;=30,"Obese")</f>
        <v>Obese</v>
      </c>
      <c r="D691" s="4" t="s">
        <v>8</v>
      </c>
      <c r="E691" s="4" t="str">
        <f>IF(Table13_1[[#This Row],[smoker]]="yes","smoker","non-smoker")</f>
        <v>smoker</v>
      </c>
      <c r="F691" s="4" t="s">
        <v>12</v>
      </c>
      <c r="G691" s="5">
        <v>27</v>
      </c>
      <c r="H691" s="5">
        <f>IF(Table13_1[[#This Row],[smoker]]="yes",1,0)</f>
        <v>1</v>
      </c>
      <c r="I691" s="4">
        <v>31.13</v>
      </c>
      <c r="J691" s="4">
        <v>1</v>
      </c>
      <c r="K691" s="12">
        <v>34806.467700000001</v>
      </c>
      <c r="N691">
        <v>536</v>
      </c>
      <c r="O691">
        <v>7188.8997805335775</v>
      </c>
      <c r="P691">
        <v>-1121.7729805335775</v>
      </c>
    </row>
    <row r="692" spans="1:16" x14ac:dyDescent="0.25">
      <c r="A692" s="4" t="s">
        <v>10</v>
      </c>
      <c r="B692" s="4">
        <f>ROUND(Table13_1[[#This Row],[bmi]],1)</f>
        <v>27.4</v>
      </c>
      <c r="C692" s="4" t="str" cm="1">
        <f t="array" ref="C692">_xlfn.IFS(Table13_1[[#This Row],[Round BMI]]&lt;18.5,"Underweight",AND(Table13_1[[#This Row],[Round BMI]]&gt;=18.5,Table13_1[[#This Row],[Round BMI]] &lt;=24.9),"Healthy Weight",AND(Table13_1[[#This Row],[Round BMI]]&gt;=25,Table13_1[[#This Row],[Round BMI]]&lt;=29.9),"Overweight",Table13_1[[#This Row],[Round BMI]]&gt;=30,"Obese")</f>
        <v>Overweight</v>
      </c>
      <c r="D692" s="4" t="s">
        <v>11</v>
      </c>
      <c r="E692" s="4" t="str">
        <f>IF(Table13_1[[#This Row],[smoker]]="yes","smoker","non-smoker")</f>
        <v>non-smoker</v>
      </c>
      <c r="F692" s="4" t="s">
        <v>14</v>
      </c>
      <c r="G692" s="5">
        <v>21</v>
      </c>
      <c r="H692" s="5">
        <f>IF(Table13_1[[#This Row],[smoker]]="yes",1,0)</f>
        <v>0</v>
      </c>
      <c r="I692" s="4">
        <v>27.36</v>
      </c>
      <c r="J692" s="4">
        <v>0</v>
      </c>
      <c r="K692" s="12">
        <v>2104.1134000000002</v>
      </c>
      <c r="N692">
        <v>537</v>
      </c>
      <c r="O692">
        <v>10346.790880871631</v>
      </c>
      <c r="P692">
        <v>-4374.4128808716314</v>
      </c>
    </row>
    <row r="693" spans="1:16" x14ac:dyDescent="0.25">
      <c r="A693" s="4" t="s">
        <v>10</v>
      </c>
      <c r="B693" s="4">
        <f>ROUND(Table13_1[[#This Row],[bmi]],1)</f>
        <v>36.200000000000003</v>
      </c>
      <c r="C693" s="4" t="str" cm="1">
        <f t="array" ref="C693">_xlfn.IFS(Table13_1[[#This Row],[Round BMI]]&lt;18.5,"Underweight",AND(Table13_1[[#This Row],[Round BMI]]&gt;=18.5,Table13_1[[#This Row],[Round BMI]] &lt;=24.9),"Healthy Weight",AND(Table13_1[[#This Row],[Round BMI]]&gt;=25,Table13_1[[#This Row],[Round BMI]]&lt;=29.9),"Overweight",Table13_1[[#This Row],[Round BMI]]&gt;=30,"Obese")</f>
        <v>Obese</v>
      </c>
      <c r="D693" s="4" t="s">
        <v>11</v>
      </c>
      <c r="E693" s="4" t="str">
        <f>IF(Table13_1[[#This Row],[smoker]]="yes","smoker","non-smoker")</f>
        <v>non-smoker</v>
      </c>
      <c r="F693" s="4" t="s">
        <v>9</v>
      </c>
      <c r="G693" s="5">
        <v>47</v>
      </c>
      <c r="H693" s="5">
        <f>IF(Table13_1[[#This Row],[smoker]]="yes",1,0)</f>
        <v>0</v>
      </c>
      <c r="I693" s="4">
        <v>36.200000000000003</v>
      </c>
      <c r="J693" s="4">
        <v>1</v>
      </c>
      <c r="K693" s="12">
        <v>8068.1850000000004</v>
      </c>
      <c r="N693">
        <v>538</v>
      </c>
      <c r="O693">
        <v>10425.224955901884</v>
      </c>
      <c r="P693">
        <v>-1600.1389559018844</v>
      </c>
    </row>
    <row r="694" spans="1:16" x14ac:dyDescent="0.25">
      <c r="A694" s="4" t="s">
        <v>10</v>
      </c>
      <c r="B694" s="4">
        <f>ROUND(Table13_1[[#This Row],[bmi]],1)</f>
        <v>32.4</v>
      </c>
      <c r="C694" s="4" t="str" cm="1">
        <f t="array" ref="C694">_xlfn.IFS(Table13_1[[#This Row],[Round BMI]]&lt;18.5,"Underweight",AND(Table13_1[[#This Row],[Round BMI]]&gt;=18.5,Table13_1[[#This Row],[Round BMI]] &lt;=24.9),"Healthy Weight",AND(Table13_1[[#This Row],[Round BMI]]&gt;=25,Table13_1[[#This Row],[Round BMI]]&lt;=29.9),"Overweight",Table13_1[[#This Row],[Round BMI]]&gt;=30,"Obese")</f>
        <v>Obese</v>
      </c>
      <c r="D694" s="4" t="s">
        <v>11</v>
      </c>
      <c r="E694" s="4" t="str">
        <f>IF(Table13_1[[#This Row],[smoker]]="yes","smoker","non-smoker")</f>
        <v>non-smoker</v>
      </c>
      <c r="F694" s="4" t="s">
        <v>13</v>
      </c>
      <c r="G694" s="5">
        <v>20</v>
      </c>
      <c r="H694" s="5">
        <f>IF(Table13_1[[#This Row],[smoker]]="yes",1,0)</f>
        <v>0</v>
      </c>
      <c r="I694" s="4">
        <v>32.395000000000003</v>
      </c>
      <c r="J694" s="4">
        <v>1</v>
      </c>
      <c r="K694" s="12">
        <v>2362.2289999999998</v>
      </c>
      <c r="N694">
        <v>539</v>
      </c>
      <c r="O694">
        <v>9259.7421242474556</v>
      </c>
      <c r="P694">
        <v>-1026.6446242474558</v>
      </c>
    </row>
    <row r="695" spans="1:16" x14ac:dyDescent="0.25">
      <c r="A695" s="4" t="s">
        <v>10</v>
      </c>
      <c r="B695" s="4">
        <f>ROUND(Table13_1[[#This Row],[bmi]],1)</f>
        <v>23.7</v>
      </c>
      <c r="C695" s="4" t="str" cm="1">
        <f t="array" ref="C695">_xlfn.IFS(Table13_1[[#This Row],[Round BMI]]&lt;18.5,"Underweight",AND(Table13_1[[#This Row],[Round BMI]]&gt;=18.5,Table13_1[[#This Row],[Round BMI]] &lt;=24.9),"Healthy Weight",AND(Table13_1[[#This Row],[Round BMI]]&gt;=25,Table13_1[[#This Row],[Round BMI]]&lt;=29.9),"Overweight",Table13_1[[#This Row],[Round BMI]]&gt;=30,"Obese")</f>
        <v>Healthy Weight</v>
      </c>
      <c r="D695" s="4" t="s">
        <v>11</v>
      </c>
      <c r="E695" s="4" t="str">
        <f>IF(Table13_1[[#This Row],[smoker]]="yes","smoker","non-smoker")</f>
        <v>non-smoker</v>
      </c>
      <c r="F695" s="4" t="s">
        <v>13</v>
      </c>
      <c r="G695" s="5">
        <v>24</v>
      </c>
      <c r="H695" s="5">
        <f>IF(Table13_1[[#This Row],[smoker]]="yes",1,0)</f>
        <v>0</v>
      </c>
      <c r="I695" s="4">
        <v>23.655000000000001</v>
      </c>
      <c r="J695" s="4">
        <v>0</v>
      </c>
      <c r="K695" s="12">
        <v>2352.9684000000002</v>
      </c>
      <c r="N695">
        <v>540</v>
      </c>
      <c r="O695">
        <v>11653.295989390126</v>
      </c>
      <c r="P695">
        <v>15692.746110609873</v>
      </c>
    </row>
    <row r="696" spans="1:16" x14ac:dyDescent="0.25">
      <c r="A696" s="4" t="s">
        <v>7</v>
      </c>
      <c r="B696" s="4">
        <f>ROUND(Table13_1[[#This Row],[bmi]],1)</f>
        <v>34.799999999999997</v>
      </c>
      <c r="C696" s="4" t="str" cm="1">
        <f t="array" ref="C696">_xlfn.IFS(Table13_1[[#This Row],[Round BMI]]&lt;18.5,"Underweight",AND(Table13_1[[#This Row],[Round BMI]]&gt;=18.5,Table13_1[[#This Row],[Round BMI]] &lt;=24.9),"Healthy Weight",AND(Table13_1[[#This Row],[Round BMI]]&gt;=25,Table13_1[[#This Row],[Round BMI]]&lt;=29.9),"Overweight",Table13_1[[#This Row],[Round BMI]]&gt;=30,"Obese")</f>
        <v>Obese</v>
      </c>
      <c r="D696" s="4" t="s">
        <v>11</v>
      </c>
      <c r="E696" s="4" t="str">
        <f>IF(Table13_1[[#This Row],[smoker]]="yes","smoker","non-smoker")</f>
        <v>non-smoker</v>
      </c>
      <c r="F696" s="4" t="s">
        <v>9</v>
      </c>
      <c r="G696" s="5">
        <v>27</v>
      </c>
      <c r="H696" s="5">
        <f>IF(Table13_1[[#This Row],[smoker]]="yes",1,0)</f>
        <v>0</v>
      </c>
      <c r="I696" s="4">
        <v>34.799999999999997</v>
      </c>
      <c r="J696" s="4">
        <v>1</v>
      </c>
      <c r="K696" s="12">
        <v>3577.9989999999998</v>
      </c>
      <c r="N696">
        <v>541</v>
      </c>
      <c r="O696">
        <v>10314.974125644894</v>
      </c>
      <c r="P696">
        <v>-4118.5261256448939</v>
      </c>
    </row>
    <row r="697" spans="1:16" x14ac:dyDescent="0.25">
      <c r="A697" s="4" t="s">
        <v>7</v>
      </c>
      <c r="B697" s="4">
        <f>ROUND(Table13_1[[#This Row],[bmi]],1)</f>
        <v>40.200000000000003</v>
      </c>
      <c r="C697" s="4" t="str" cm="1">
        <f t="array" ref="C697">_xlfn.IFS(Table13_1[[#This Row],[Round BMI]]&lt;18.5,"Underweight",AND(Table13_1[[#This Row],[Round BMI]]&gt;=18.5,Table13_1[[#This Row],[Round BMI]] &lt;=24.9),"Healthy Weight",AND(Table13_1[[#This Row],[Round BMI]]&gt;=25,Table13_1[[#This Row],[Round BMI]]&lt;=29.9),"Overweight",Table13_1[[#This Row],[Round BMI]]&gt;=30,"Obese")</f>
        <v>Obese</v>
      </c>
      <c r="D697" s="4" t="s">
        <v>11</v>
      </c>
      <c r="E697" s="4" t="str">
        <f>IF(Table13_1[[#This Row],[smoker]]="yes","smoker","non-smoker")</f>
        <v>non-smoker</v>
      </c>
      <c r="F697" s="4" t="s">
        <v>13</v>
      </c>
      <c r="G697" s="5">
        <v>26</v>
      </c>
      <c r="H697" s="5">
        <f>IF(Table13_1[[#This Row],[smoker]]="yes",1,0)</f>
        <v>0</v>
      </c>
      <c r="I697" s="4">
        <v>40.185000000000002</v>
      </c>
      <c r="J697" s="4">
        <v>0</v>
      </c>
      <c r="K697" s="12">
        <v>3201.2451999999998</v>
      </c>
      <c r="N697">
        <v>542</v>
      </c>
      <c r="O697">
        <v>4232.8814958301582</v>
      </c>
      <c r="P697">
        <v>-1176.4933958301581</v>
      </c>
    </row>
    <row r="698" spans="1:16" x14ac:dyDescent="0.25">
      <c r="A698" s="4" t="s">
        <v>7</v>
      </c>
      <c r="B698" s="4">
        <f>ROUND(Table13_1[[#This Row],[bmi]],1)</f>
        <v>32.299999999999997</v>
      </c>
      <c r="C698" s="4" t="str" cm="1">
        <f t="array" ref="C698">_xlfn.IFS(Table13_1[[#This Row],[Round BMI]]&lt;18.5,"Underweight",AND(Table13_1[[#This Row],[Round BMI]]&gt;=18.5,Table13_1[[#This Row],[Round BMI]] &lt;=24.9),"Healthy Weight",AND(Table13_1[[#This Row],[Round BMI]]&gt;=25,Table13_1[[#This Row],[Round BMI]]&lt;=29.9),"Overweight",Table13_1[[#This Row],[Round BMI]]&gt;=30,"Obese")</f>
        <v>Obese</v>
      </c>
      <c r="D698" s="4" t="s">
        <v>11</v>
      </c>
      <c r="E698" s="4" t="str">
        <f>IF(Table13_1[[#This Row],[smoker]]="yes","smoker","non-smoker")</f>
        <v>non-smoker</v>
      </c>
      <c r="F698" s="4" t="s">
        <v>14</v>
      </c>
      <c r="G698" s="5">
        <v>53</v>
      </c>
      <c r="H698" s="5">
        <f>IF(Table13_1[[#This Row],[smoker]]="yes",1,0)</f>
        <v>0</v>
      </c>
      <c r="I698" s="4">
        <v>32.299999999999997</v>
      </c>
      <c r="J698" s="4">
        <v>2</v>
      </c>
      <c r="K698" s="12">
        <v>29186.482400000001</v>
      </c>
      <c r="N698">
        <v>543</v>
      </c>
      <c r="O698">
        <v>15824.955506757684</v>
      </c>
      <c r="P698">
        <v>-1937.7515067576842</v>
      </c>
    </row>
    <row r="699" spans="1:16" x14ac:dyDescent="0.25">
      <c r="A699" s="4" t="s">
        <v>10</v>
      </c>
      <c r="B699" s="4">
        <f>ROUND(Table13_1[[#This Row],[bmi]],1)</f>
        <v>35.799999999999997</v>
      </c>
      <c r="C699" s="4" t="str" cm="1">
        <f t="array" ref="C699">_xlfn.IFS(Table13_1[[#This Row],[Round BMI]]&lt;18.5,"Underweight",AND(Table13_1[[#This Row],[Round BMI]]&gt;=18.5,Table13_1[[#This Row],[Round BMI]] &lt;=24.9),"Healthy Weight",AND(Table13_1[[#This Row],[Round BMI]]&gt;=25,Table13_1[[#This Row],[Round BMI]]&lt;=29.9),"Overweight",Table13_1[[#This Row],[Round BMI]]&gt;=30,"Obese")</f>
        <v>Obese</v>
      </c>
      <c r="D699" s="4" t="s">
        <v>8</v>
      </c>
      <c r="E699" s="4" t="str">
        <f>IF(Table13_1[[#This Row],[smoker]]="yes","smoker","non-smoker")</f>
        <v>smoker</v>
      </c>
      <c r="F699" s="4" t="s">
        <v>12</v>
      </c>
      <c r="G699" s="5">
        <v>41</v>
      </c>
      <c r="H699" s="5">
        <f>IF(Table13_1[[#This Row],[smoker]]="yes",1,0)</f>
        <v>1</v>
      </c>
      <c r="I699" s="4">
        <v>35.75</v>
      </c>
      <c r="J699" s="4">
        <v>1</v>
      </c>
      <c r="K699" s="12">
        <v>40273.645499999999</v>
      </c>
      <c r="N699">
        <v>544</v>
      </c>
      <c r="O699">
        <v>40891.478872365871</v>
      </c>
      <c r="P699">
        <v>22878.949127634129</v>
      </c>
    </row>
    <row r="700" spans="1:16" x14ac:dyDescent="0.25">
      <c r="A700" s="4" t="s">
        <v>10</v>
      </c>
      <c r="B700" s="4">
        <f>ROUND(Table13_1[[#This Row],[bmi]],1)</f>
        <v>33.700000000000003</v>
      </c>
      <c r="C700" s="4" t="str" cm="1">
        <f t="array" ref="C700">_xlfn.IFS(Table13_1[[#This Row],[Round BMI]]&lt;18.5,"Underweight",AND(Table13_1[[#This Row],[Round BMI]]&gt;=18.5,Table13_1[[#This Row],[Round BMI]] &lt;=24.9),"Healthy Weight",AND(Table13_1[[#This Row],[Round BMI]]&gt;=25,Table13_1[[#This Row],[Round BMI]]&lt;=29.9),"Overweight",Table13_1[[#This Row],[Round BMI]]&gt;=30,"Obese")</f>
        <v>Obese</v>
      </c>
      <c r="D700" s="4" t="s">
        <v>11</v>
      </c>
      <c r="E700" s="4" t="str">
        <f>IF(Table13_1[[#This Row],[smoker]]="yes","smoker","non-smoker")</f>
        <v>non-smoker</v>
      </c>
      <c r="F700" s="4" t="s">
        <v>13</v>
      </c>
      <c r="G700" s="5">
        <v>56</v>
      </c>
      <c r="H700" s="5">
        <f>IF(Table13_1[[#This Row],[smoker]]="yes",1,0)</f>
        <v>0</v>
      </c>
      <c r="I700" s="4">
        <v>33.725000000000001</v>
      </c>
      <c r="J700" s="4">
        <v>0</v>
      </c>
      <c r="K700" s="12">
        <v>10976.245800000001</v>
      </c>
      <c r="N700">
        <v>545</v>
      </c>
      <c r="O700">
        <v>11544.234897481498</v>
      </c>
      <c r="P700">
        <v>-1312.734997481497</v>
      </c>
    </row>
    <row r="701" spans="1:16" x14ac:dyDescent="0.25">
      <c r="A701" s="4" t="s">
        <v>7</v>
      </c>
      <c r="B701" s="4">
        <f>ROUND(Table13_1[[#This Row],[bmi]],1)</f>
        <v>39.299999999999997</v>
      </c>
      <c r="C701" s="4" t="str" cm="1">
        <f t="array" ref="C701">_xlfn.IFS(Table13_1[[#This Row],[Round BMI]]&lt;18.5,"Underweight",AND(Table13_1[[#This Row],[Round BMI]]&gt;=18.5,Table13_1[[#This Row],[Round BMI]] &lt;=24.9),"Healthy Weight",AND(Table13_1[[#This Row],[Round BMI]]&gt;=25,Table13_1[[#This Row],[Round BMI]]&lt;=29.9),"Overweight",Table13_1[[#This Row],[Round BMI]]&gt;=30,"Obese")</f>
        <v>Obese</v>
      </c>
      <c r="D701" s="4" t="s">
        <v>11</v>
      </c>
      <c r="E701" s="4" t="str">
        <f>IF(Table13_1[[#This Row],[smoker]]="yes","smoker","non-smoker")</f>
        <v>non-smoker</v>
      </c>
      <c r="F701" s="4" t="s">
        <v>12</v>
      </c>
      <c r="G701" s="5">
        <v>23</v>
      </c>
      <c r="H701" s="5">
        <f>IF(Table13_1[[#This Row],[smoker]]="yes",1,0)</f>
        <v>0</v>
      </c>
      <c r="I701" s="4">
        <v>39.270000000000003</v>
      </c>
      <c r="J701" s="4">
        <v>2</v>
      </c>
      <c r="K701" s="12">
        <v>3500.6122999999998</v>
      </c>
      <c r="N701">
        <v>546</v>
      </c>
      <c r="O701">
        <v>33606.901207520787</v>
      </c>
      <c r="P701">
        <v>-9799.6606075207856</v>
      </c>
    </row>
    <row r="702" spans="1:16" x14ac:dyDescent="0.25">
      <c r="A702" s="4" t="s">
        <v>7</v>
      </c>
      <c r="B702" s="4">
        <f>ROUND(Table13_1[[#This Row],[bmi]],1)</f>
        <v>34.9</v>
      </c>
      <c r="C702" s="4" t="str" cm="1">
        <f t="array" ref="C702">_xlfn.IFS(Table13_1[[#This Row],[Round BMI]]&lt;18.5,"Underweight",AND(Table13_1[[#This Row],[Round BMI]]&gt;=18.5,Table13_1[[#This Row],[Round BMI]] &lt;=24.9),"Healthy Weight",AND(Table13_1[[#This Row],[Round BMI]]&gt;=25,Table13_1[[#This Row],[Round BMI]]&lt;=29.9),"Overweight",Table13_1[[#This Row],[Round BMI]]&gt;=30,"Obese")</f>
        <v>Obese</v>
      </c>
      <c r="D702" s="4" t="s">
        <v>11</v>
      </c>
      <c r="E702" s="4" t="str">
        <f>IF(Table13_1[[#This Row],[smoker]]="yes","smoker","non-smoker")</f>
        <v>non-smoker</v>
      </c>
      <c r="F702" s="4" t="s">
        <v>12</v>
      </c>
      <c r="G702" s="5">
        <v>21</v>
      </c>
      <c r="H702" s="5">
        <f>IF(Table13_1[[#This Row],[smoker]]="yes",1,0)</f>
        <v>0</v>
      </c>
      <c r="I702" s="4">
        <v>34.869999999999997</v>
      </c>
      <c r="J702" s="4">
        <v>0</v>
      </c>
      <c r="K702" s="12">
        <v>2020.5523000000001</v>
      </c>
      <c r="N702">
        <v>547</v>
      </c>
      <c r="O702">
        <v>6521.8212867375796</v>
      </c>
      <c r="P702">
        <v>-3252.9746867375798</v>
      </c>
    </row>
    <row r="703" spans="1:16" x14ac:dyDescent="0.25">
      <c r="A703" s="4" t="s">
        <v>7</v>
      </c>
      <c r="B703" s="4">
        <f>ROUND(Table13_1[[#This Row],[bmi]],1)</f>
        <v>44.7</v>
      </c>
      <c r="C703" s="4" t="str" cm="1">
        <f t="array" ref="C703">_xlfn.IFS(Table13_1[[#This Row],[Round BMI]]&lt;18.5,"Underweight",AND(Table13_1[[#This Row],[Round BMI]]&gt;=18.5,Table13_1[[#This Row],[Round BMI]] &lt;=24.9),"Healthy Weight",AND(Table13_1[[#This Row],[Round BMI]]&gt;=25,Table13_1[[#This Row],[Round BMI]]&lt;=29.9),"Overweight",Table13_1[[#This Row],[Round BMI]]&gt;=30,"Obese")</f>
        <v>Obese</v>
      </c>
      <c r="D703" s="4" t="s">
        <v>11</v>
      </c>
      <c r="E703" s="4" t="str">
        <f>IF(Table13_1[[#This Row],[smoker]]="yes","smoker","non-smoker")</f>
        <v>non-smoker</v>
      </c>
      <c r="F703" s="4" t="s">
        <v>14</v>
      </c>
      <c r="G703" s="5">
        <v>50</v>
      </c>
      <c r="H703" s="5">
        <f>IF(Table13_1[[#This Row],[smoker]]="yes",1,0)</f>
        <v>0</v>
      </c>
      <c r="I703" s="4">
        <v>44.744999999999997</v>
      </c>
      <c r="J703" s="4">
        <v>0</v>
      </c>
      <c r="K703" s="12">
        <v>9541.6955999999991</v>
      </c>
      <c r="N703">
        <v>548</v>
      </c>
      <c r="O703">
        <v>17798.569161424741</v>
      </c>
      <c r="P703">
        <v>-6260.1481614247405</v>
      </c>
    </row>
    <row r="704" spans="1:16" x14ac:dyDescent="0.25">
      <c r="A704" s="4" t="s">
        <v>10</v>
      </c>
      <c r="B704" s="4">
        <f>ROUND(Table13_1[[#This Row],[bmi]],1)</f>
        <v>41.5</v>
      </c>
      <c r="C704" s="4" t="str" cm="1">
        <f t="array" ref="C704">_xlfn.IFS(Table13_1[[#This Row],[Round BMI]]&lt;18.5,"Underweight",AND(Table13_1[[#This Row],[Round BMI]]&gt;=18.5,Table13_1[[#This Row],[Round BMI]] &lt;=24.9),"Healthy Weight",AND(Table13_1[[#This Row],[Round BMI]]&gt;=25,Table13_1[[#This Row],[Round BMI]]&lt;=29.9),"Overweight",Table13_1[[#This Row],[Round BMI]]&gt;=30,"Obese")</f>
        <v>Obese</v>
      </c>
      <c r="D704" s="4" t="s">
        <v>11</v>
      </c>
      <c r="E704" s="4" t="str">
        <f>IF(Table13_1[[#This Row],[smoker]]="yes","smoker","non-smoker")</f>
        <v>non-smoker</v>
      </c>
      <c r="F704" s="4" t="s">
        <v>12</v>
      </c>
      <c r="G704" s="5">
        <v>53</v>
      </c>
      <c r="H704" s="5">
        <f>IF(Table13_1[[#This Row],[smoker]]="yes",1,0)</f>
        <v>0</v>
      </c>
      <c r="I704" s="4">
        <v>41.47</v>
      </c>
      <c r="J704" s="4">
        <v>0</v>
      </c>
      <c r="K704" s="12">
        <v>9504.3102999999992</v>
      </c>
      <c r="N704">
        <v>549</v>
      </c>
      <c r="O704">
        <v>3546.809169312618</v>
      </c>
      <c r="P704">
        <v>-333.18716931261815</v>
      </c>
    </row>
    <row r="705" spans="1:16" x14ac:dyDescent="0.25">
      <c r="A705" s="4" t="s">
        <v>7</v>
      </c>
      <c r="B705" s="4">
        <f>ROUND(Table13_1[[#This Row],[bmi]],1)</f>
        <v>26.4</v>
      </c>
      <c r="C705" s="4" t="str" cm="1">
        <f t="array" ref="C705">_xlfn.IFS(Table13_1[[#This Row],[Round BMI]]&lt;18.5,"Underweight",AND(Table13_1[[#This Row],[Round BMI]]&gt;=18.5,Table13_1[[#This Row],[Round BMI]] &lt;=24.9),"Healthy Weight",AND(Table13_1[[#This Row],[Round BMI]]&gt;=25,Table13_1[[#This Row],[Round BMI]]&lt;=29.9),"Overweight",Table13_1[[#This Row],[Round BMI]]&gt;=30,"Obese")</f>
        <v>Overweight</v>
      </c>
      <c r="D705" s="4" t="s">
        <v>11</v>
      </c>
      <c r="E705" s="4" t="str">
        <f>IF(Table13_1[[#This Row],[smoker]]="yes","smoker","non-smoker")</f>
        <v>non-smoker</v>
      </c>
      <c r="F705" s="4" t="s">
        <v>13</v>
      </c>
      <c r="G705" s="5">
        <v>34</v>
      </c>
      <c r="H705" s="5">
        <f>IF(Table13_1[[#This Row],[smoker]]="yes",1,0)</f>
        <v>0</v>
      </c>
      <c r="I705" s="4">
        <v>26.41</v>
      </c>
      <c r="J705" s="4">
        <v>1</v>
      </c>
      <c r="K705" s="12">
        <v>5385.3379000000004</v>
      </c>
      <c r="N705">
        <v>550</v>
      </c>
      <c r="O705">
        <v>37665.694094294093</v>
      </c>
      <c r="P705">
        <v>8197.510905705909</v>
      </c>
    </row>
    <row r="706" spans="1:16" x14ac:dyDescent="0.25">
      <c r="A706" s="4" t="s">
        <v>7</v>
      </c>
      <c r="B706" s="4">
        <f>ROUND(Table13_1[[#This Row],[bmi]],1)</f>
        <v>29.5</v>
      </c>
      <c r="C706" s="4" t="str" cm="1">
        <f t="array" ref="C706">_xlfn.IFS(Table13_1[[#This Row],[Round BMI]]&lt;18.5,"Underweight",AND(Table13_1[[#This Row],[Round BMI]]&gt;=18.5,Table13_1[[#This Row],[Round BMI]] &lt;=24.9),"Healthy Weight",AND(Table13_1[[#This Row],[Round BMI]]&gt;=25,Table13_1[[#This Row],[Round BMI]]&lt;=29.9),"Overweight",Table13_1[[#This Row],[Round BMI]]&gt;=30,"Obese")</f>
        <v>Overweight</v>
      </c>
      <c r="D706" s="4" t="s">
        <v>11</v>
      </c>
      <c r="E706" s="4" t="str">
        <f>IF(Table13_1[[#This Row],[smoker]]="yes","smoker","non-smoker")</f>
        <v>non-smoker</v>
      </c>
      <c r="F706" s="4" t="s">
        <v>13</v>
      </c>
      <c r="G706" s="5">
        <v>47</v>
      </c>
      <c r="H706" s="5">
        <f>IF(Table13_1[[#This Row],[smoker]]="yes",1,0)</f>
        <v>0</v>
      </c>
      <c r="I706" s="4">
        <v>29.545000000000002</v>
      </c>
      <c r="J706" s="4">
        <v>1</v>
      </c>
      <c r="K706" s="12">
        <v>8930.9346000000005</v>
      </c>
      <c r="N706">
        <v>551</v>
      </c>
      <c r="O706">
        <v>14054.772791131018</v>
      </c>
      <c r="P706">
        <v>-664.2137911310183</v>
      </c>
    </row>
    <row r="707" spans="1:16" x14ac:dyDescent="0.25">
      <c r="A707" s="4" t="s">
        <v>7</v>
      </c>
      <c r="B707" s="4">
        <f>ROUND(Table13_1[[#This Row],[bmi]],1)</f>
        <v>32.9</v>
      </c>
      <c r="C707" s="4" t="str" cm="1">
        <f t="array" ref="C707">_xlfn.IFS(Table13_1[[#This Row],[Round BMI]]&lt;18.5,"Underweight",AND(Table13_1[[#This Row],[Round BMI]]&gt;=18.5,Table13_1[[#This Row],[Round BMI]] &lt;=24.9),"Healthy Weight",AND(Table13_1[[#This Row],[Round BMI]]&gt;=25,Table13_1[[#This Row],[Round BMI]]&lt;=29.9),"Overweight",Table13_1[[#This Row],[Round BMI]]&gt;=30,"Obese")</f>
        <v>Obese</v>
      </c>
      <c r="D707" s="4" t="s">
        <v>11</v>
      </c>
      <c r="E707" s="4" t="str">
        <f>IF(Table13_1[[#This Row],[smoker]]="yes","smoker","non-smoker")</f>
        <v>non-smoker</v>
      </c>
      <c r="F707" s="4" t="s">
        <v>9</v>
      </c>
      <c r="G707" s="5">
        <v>33</v>
      </c>
      <c r="H707" s="5">
        <f>IF(Table13_1[[#This Row],[smoker]]="yes",1,0)</f>
        <v>0</v>
      </c>
      <c r="I707" s="4">
        <v>32.9</v>
      </c>
      <c r="J707" s="4">
        <v>2</v>
      </c>
      <c r="K707" s="12">
        <v>5375.0379999999996</v>
      </c>
      <c r="N707">
        <v>552</v>
      </c>
      <c r="O707">
        <v>5459.5759405769149</v>
      </c>
      <c r="P707">
        <v>-1486.6512405769149</v>
      </c>
    </row>
    <row r="708" spans="1:16" x14ac:dyDescent="0.25">
      <c r="A708" s="4" t="s">
        <v>7</v>
      </c>
      <c r="B708" s="4">
        <f>ROUND(Table13_1[[#This Row],[bmi]],1)</f>
        <v>38.1</v>
      </c>
      <c r="C708" s="4" t="str" cm="1">
        <f t="array" ref="C708">_xlfn.IFS(Table13_1[[#This Row],[Round BMI]]&lt;18.5,"Underweight",AND(Table13_1[[#This Row],[Round BMI]]&gt;=18.5,Table13_1[[#This Row],[Round BMI]] &lt;=24.9),"Healthy Weight",AND(Table13_1[[#This Row],[Round BMI]]&gt;=25,Table13_1[[#This Row],[Round BMI]]&lt;=29.9),"Overweight",Table13_1[[#This Row],[Round BMI]]&gt;=30,"Obese")</f>
        <v>Obese</v>
      </c>
      <c r="D708" s="4" t="s">
        <v>8</v>
      </c>
      <c r="E708" s="4" t="str">
        <f>IF(Table13_1[[#This Row],[smoker]]="yes","smoker","non-smoker")</f>
        <v>smoker</v>
      </c>
      <c r="F708" s="4" t="s">
        <v>12</v>
      </c>
      <c r="G708" s="5">
        <v>51</v>
      </c>
      <c r="H708" s="5">
        <f>IF(Table13_1[[#This Row],[smoker]]="yes",1,0)</f>
        <v>1</v>
      </c>
      <c r="I708" s="4">
        <v>38.06</v>
      </c>
      <c r="J708" s="4">
        <v>0</v>
      </c>
      <c r="K708" s="12">
        <v>44400.4064</v>
      </c>
      <c r="N708">
        <v>553</v>
      </c>
      <c r="O708">
        <v>10771.520097093264</v>
      </c>
      <c r="P708">
        <v>2185.5979029067366</v>
      </c>
    </row>
    <row r="709" spans="1:16" x14ac:dyDescent="0.25">
      <c r="A709" s="4" t="s">
        <v>10</v>
      </c>
      <c r="B709" s="4">
        <f>ROUND(Table13_1[[#This Row],[bmi]],1)</f>
        <v>28.7</v>
      </c>
      <c r="C709" s="4" t="str" cm="1">
        <f t="array" ref="C709">_xlfn.IFS(Table13_1[[#This Row],[Round BMI]]&lt;18.5,"Underweight",AND(Table13_1[[#This Row],[Round BMI]]&gt;=18.5,Table13_1[[#This Row],[Round BMI]] &lt;=24.9),"Healthy Weight",AND(Table13_1[[#This Row],[Round BMI]]&gt;=25,Table13_1[[#This Row],[Round BMI]]&lt;=29.9),"Overweight",Table13_1[[#This Row],[Round BMI]]&gt;=30,"Obese")</f>
        <v>Overweight</v>
      </c>
      <c r="D709" s="4" t="s">
        <v>11</v>
      </c>
      <c r="E709" s="4" t="str">
        <f>IF(Table13_1[[#This Row],[smoker]]="yes","smoker","non-smoker")</f>
        <v>non-smoker</v>
      </c>
      <c r="F709" s="4" t="s">
        <v>13</v>
      </c>
      <c r="G709" s="5">
        <v>49</v>
      </c>
      <c r="H709" s="5">
        <f>IF(Table13_1[[#This Row],[smoker]]="yes",1,0)</f>
        <v>0</v>
      </c>
      <c r="I709" s="4">
        <v>28.69</v>
      </c>
      <c r="J709" s="4">
        <v>3</v>
      </c>
      <c r="K709" s="12">
        <v>10264.4421</v>
      </c>
      <c r="N709">
        <v>554</v>
      </c>
      <c r="O709">
        <v>12464.754646231075</v>
      </c>
      <c r="P709">
        <v>-1277.0979462310752</v>
      </c>
    </row>
    <row r="710" spans="1:16" x14ac:dyDescent="0.25">
      <c r="A710" s="4" t="s">
        <v>7</v>
      </c>
      <c r="B710" s="4">
        <f>ROUND(Table13_1[[#This Row],[bmi]],1)</f>
        <v>30.5</v>
      </c>
      <c r="C710" s="4" t="str" cm="1">
        <f t="array" ref="C710">_xlfn.IFS(Table13_1[[#This Row],[Round BMI]]&lt;18.5,"Underweight",AND(Table13_1[[#This Row],[Round BMI]]&gt;=18.5,Table13_1[[#This Row],[Round BMI]] &lt;=24.9),"Healthy Weight",AND(Table13_1[[#This Row],[Round BMI]]&gt;=25,Table13_1[[#This Row],[Round BMI]]&lt;=29.9),"Overweight",Table13_1[[#This Row],[Round BMI]]&gt;=30,"Obese")</f>
        <v>Obese</v>
      </c>
      <c r="D710" s="4" t="s">
        <v>11</v>
      </c>
      <c r="E710" s="4" t="str">
        <f>IF(Table13_1[[#This Row],[smoker]]="yes","smoker","non-smoker")</f>
        <v>non-smoker</v>
      </c>
      <c r="F710" s="4" t="s">
        <v>14</v>
      </c>
      <c r="G710" s="5">
        <v>31</v>
      </c>
      <c r="H710" s="5">
        <f>IF(Table13_1[[#This Row],[smoker]]="yes",1,0)</f>
        <v>0</v>
      </c>
      <c r="I710" s="4">
        <v>30.495000000000001</v>
      </c>
      <c r="J710" s="4">
        <v>3</v>
      </c>
      <c r="K710" s="12">
        <v>6113.2309999999998</v>
      </c>
      <c r="N710">
        <v>555</v>
      </c>
      <c r="O710">
        <v>7643.9775274812537</v>
      </c>
      <c r="P710">
        <v>10234.923172518746</v>
      </c>
    </row>
    <row r="711" spans="1:16" x14ac:dyDescent="0.25">
      <c r="A711" s="4" t="s">
        <v>7</v>
      </c>
      <c r="B711" s="4">
        <f>ROUND(Table13_1[[#This Row],[bmi]],1)</f>
        <v>27.7</v>
      </c>
      <c r="C711" s="4" t="str" cm="1">
        <f t="array" ref="C711">_xlfn.IFS(Table13_1[[#This Row],[Round BMI]]&lt;18.5,"Underweight",AND(Table13_1[[#This Row],[Round BMI]]&gt;=18.5,Table13_1[[#This Row],[Round BMI]] &lt;=24.9),"Healthy Weight",AND(Table13_1[[#This Row],[Round BMI]]&gt;=25,Table13_1[[#This Row],[Round BMI]]&lt;=29.9),"Overweight",Table13_1[[#This Row],[Round BMI]]&gt;=30,"Obese")</f>
        <v>Overweight</v>
      </c>
      <c r="D711" s="4" t="s">
        <v>11</v>
      </c>
      <c r="E711" s="4" t="str">
        <f>IF(Table13_1[[#This Row],[smoker]]="yes","smoker","non-smoker")</f>
        <v>non-smoker</v>
      </c>
      <c r="F711" s="4" t="s">
        <v>14</v>
      </c>
      <c r="G711" s="5">
        <v>36</v>
      </c>
      <c r="H711" s="5">
        <f>IF(Table13_1[[#This Row],[smoker]]="yes",1,0)</f>
        <v>0</v>
      </c>
      <c r="I711" s="4">
        <v>27.74</v>
      </c>
      <c r="J711" s="4">
        <v>0</v>
      </c>
      <c r="K711" s="12">
        <v>5469.0065999999997</v>
      </c>
      <c r="N711">
        <v>556</v>
      </c>
      <c r="O711">
        <v>3724.0848457717193</v>
      </c>
      <c r="P711">
        <v>123.58915422828068</v>
      </c>
    </row>
    <row r="712" spans="1:16" x14ac:dyDescent="0.25">
      <c r="A712" s="4" t="s">
        <v>10</v>
      </c>
      <c r="B712" s="4">
        <f>ROUND(Table13_1[[#This Row],[bmi]],1)</f>
        <v>35.200000000000003</v>
      </c>
      <c r="C712" s="4" t="str" cm="1">
        <f t="array" ref="C712">_xlfn.IFS(Table13_1[[#This Row],[Round BMI]]&lt;18.5,"Underweight",AND(Table13_1[[#This Row],[Round BMI]]&gt;=18.5,Table13_1[[#This Row],[Round BMI]] &lt;=24.9),"Healthy Weight",AND(Table13_1[[#This Row],[Round BMI]]&gt;=25,Table13_1[[#This Row],[Round BMI]]&lt;=29.9),"Overweight",Table13_1[[#This Row],[Round BMI]]&gt;=30,"Obese")</f>
        <v>Obese</v>
      </c>
      <c r="D712" s="4" t="s">
        <v>11</v>
      </c>
      <c r="E712" s="4" t="str">
        <f>IF(Table13_1[[#This Row],[smoker]]="yes","smoker","non-smoker")</f>
        <v>non-smoker</v>
      </c>
      <c r="F712" s="4" t="s">
        <v>12</v>
      </c>
      <c r="G712" s="5">
        <v>18</v>
      </c>
      <c r="H712" s="5">
        <f>IF(Table13_1[[#This Row],[smoker]]="yes",1,0)</f>
        <v>0</v>
      </c>
      <c r="I712" s="4">
        <v>35.200000000000003</v>
      </c>
      <c r="J712" s="4">
        <v>1</v>
      </c>
      <c r="K712" s="12">
        <v>1727.54</v>
      </c>
      <c r="N712">
        <v>557</v>
      </c>
      <c r="O712">
        <v>10994.521185561591</v>
      </c>
      <c r="P712">
        <v>-2659.9315855615914</v>
      </c>
    </row>
    <row r="713" spans="1:16" x14ac:dyDescent="0.25">
      <c r="A713" s="4" t="s">
        <v>7</v>
      </c>
      <c r="B713" s="4">
        <f>ROUND(Table13_1[[#This Row],[bmi]],1)</f>
        <v>23.5</v>
      </c>
      <c r="C713" s="4" t="str" cm="1">
        <f t="array" ref="C713">_xlfn.IFS(Table13_1[[#This Row],[Round BMI]]&lt;18.5,"Underweight",AND(Table13_1[[#This Row],[Round BMI]]&gt;=18.5,Table13_1[[#This Row],[Round BMI]] &lt;=24.9),"Healthy Weight",AND(Table13_1[[#This Row],[Round BMI]]&gt;=25,Table13_1[[#This Row],[Round BMI]]&lt;=29.9),"Overweight",Table13_1[[#This Row],[Round BMI]]&gt;=30,"Obese")</f>
        <v>Healthy Weight</v>
      </c>
      <c r="D713" s="4" t="s">
        <v>11</v>
      </c>
      <c r="E713" s="4" t="str">
        <f>IF(Table13_1[[#This Row],[smoker]]="yes","smoker","non-smoker")</f>
        <v>non-smoker</v>
      </c>
      <c r="F713" s="4" t="s">
        <v>12</v>
      </c>
      <c r="G713" s="5">
        <v>50</v>
      </c>
      <c r="H713" s="5">
        <f>IF(Table13_1[[#This Row],[smoker]]="yes",1,0)</f>
        <v>0</v>
      </c>
      <c r="I713" s="4">
        <v>23.54</v>
      </c>
      <c r="J713" s="4">
        <v>2</v>
      </c>
      <c r="K713" s="12">
        <v>10107.220600000001</v>
      </c>
      <c r="N713">
        <v>558</v>
      </c>
      <c r="O713">
        <v>7674.6503622392302</v>
      </c>
      <c r="P713">
        <v>-3739.4704622392301</v>
      </c>
    </row>
    <row r="714" spans="1:16" x14ac:dyDescent="0.25">
      <c r="A714" s="4" t="s">
        <v>7</v>
      </c>
      <c r="B714" s="4">
        <f>ROUND(Table13_1[[#This Row],[bmi]],1)</f>
        <v>30.7</v>
      </c>
      <c r="C714" s="4" t="str" cm="1">
        <f t="array" ref="C714">_xlfn.IFS(Table13_1[[#This Row],[Round BMI]]&lt;18.5,"Underweight",AND(Table13_1[[#This Row],[Round BMI]]&gt;=18.5,Table13_1[[#This Row],[Round BMI]] &lt;=24.9),"Healthy Weight",AND(Table13_1[[#This Row],[Round BMI]]&gt;=25,Table13_1[[#This Row],[Round BMI]]&lt;=29.9),"Overweight",Table13_1[[#This Row],[Round BMI]]&gt;=30,"Obese")</f>
        <v>Obese</v>
      </c>
      <c r="D714" s="4" t="s">
        <v>11</v>
      </c>
      <c r="E714" s="4" t="str">
        <f>IF(Table13_1[[#This Row],[smoker]]="yes","smoker","non-smoker")</f>
        <v>non-smoker</v>
      </c>
      <c r="F714" s="4" t="s">
        <v>13</v>
      </c>
      <c r="G714" s="5">
        <v>43</v>
      </c>
      <c r="H714" s="5">
        <f>IF(Table13_1[[#This Row],[smoker]]="yes",1,0)</f>
        <v>0</v>
      </c>
      <c r="I714" s="4">
        <v>30.684999999999999</v>
      </c>
      <c r="J714" s="4">
        <v>2</v>
      </c>
      <c r="K714" s="12">
        <v>8310.8392000000003</v>
      </c>
      <c r="N714">
        <v>559</v>
      </c>
      <c r="O714">
        <v>33130.612264924246</v>
      </c>
      <c r="P714">
        <v>6852.8137350757534</v>
      </c>
    </row>
    <row r="715" spans="1:16" x14ac:dyDescent="0.25">
      <c r="A715" s="4" t="s">
        <v>10</v>
      </c>
      <c r="B715" s="4">
        <f>ROUND(Table13_1[[#This Row],[bmi]],1)</f>
        <v>40.5</v>
      </c>
      <c r="C715" s="4" t="str" cm="1">
        <f t="array" ref="C715">_xlfn.IFS(Table13_1[[#This Row],[Round BMI]]&lt;18.5,"Underweight",AND(Table13_1[[#This Row],[Round BMI]]&gt;=18.5,Table13_1[[#This Row],[Round BMI]] &lt;=24.9),"Healthy Weight",AND(Table13_1[[#This Row],[Round BMI]]&gt;=25,Table13_1[[#This Row],[Round BMI]]&lt;=29.9),"Overweight",Table13_1[[#This Row],[Round BMI]]&gt;=30,"Obese")</f>
        <v>Obese</v>
      </c>
      <c r="D715" s="4" t="s">
        <v>11</v>
      </c>
      <c r="E715" s="4" t="str">
        <f>IF(Table13_1[[#This Row],[smoker]]="yes","smoker","non-smoker")</f>
        <v>non-smoker</v>
      </c>
      <c r="F715" s="4" t="s">
        <v>14</v>
      </c>
      <c r="G715" s="5">
        <v>20</v>
      </c>
      <c r="H715" s="5">
        <f>IF(Table13_1[[#This Row],[smoker]]="yes",1,0)</f>
        <v>0</v>
      </c>
      <c r="I715" s="4">
        <v>40.47</v>
      </c>
      <c r="J715" s="4">
        <v>0</v>
      </c>
      <c r="K715" s="12">
        <v>1984.4532999999999</v>
      </c>
      <c r="N715">
        <v>560</v>
      </c>
      <c r="O715">
        <v>4231.7516040342916</v>
      </c>
      <c r="P715">
        <v>-2585.3219040342919</v>
      </c>
    </row>
    <row r="716" spans="1:16" x14ac:dyDescent="0.25">
      <c r="A716" s="4" t="s">
        <v>7</v>
      </c>
      <c r="B716" s="4">
        <f>ROUND(Table13_1[[#This Row],[bmi]],1)</f>
        <v>22.6</v>
      </c>
      <c r="C716" s="4" t="str" cm="1">
        <f t="array" ref="C716">_xlfn.IFS(Table13_1[[#This Row],[Round BMI]]&lt;18.5,"Underweight",AND(Table13_1[[#This Row],[Round BMI]]&gt;=18.5,Table13_1[[#This Row],[Round BMI]] &lt;=24.9),"Healthy Weight",AND(Table13_1[[#This Row],[Round BMI]]&gt;=25,Table13_1[[#This Row],[Round BMI]]&lt;=29.9),"Overweight",Table13_1[[#This Row],[Round BMI]]&gt;=30,"Obese")</f>
        <v>Healthy Weight</v>
      </c>
      <c r="D716" s="4" t="s">
        <v>11</v>
      </c>
      <c r="E716" s="4" t="str">
        <f>IF(Table13_1[[#This Row],[smoker]]="yes","smoker","non-smoker")</f>
        <v>non-smoker</v>
      </c>
      <c r="F716" s="4" t="s">
        <v>9</v>
      </c>
      <c r="G716" s="5">
        <v>24</v>
      </c>
      <c r="H716" s="5">
        <f>IF(Table13_1[[#This Row],[smoker]]="yes",1,0)</f>
        <v>0</v>
      </c>
      <c r="I716" s="4">
        <v>22.6</v>
      </c>
      <c r="J716" s="4">
        <v>0</v>
      </c>
      <c r="K716" s="12">
        <v>2457.502</v>
      </c>
      <c r="N716">
        <v>561</v>
      </c>
      <c r="O716">
        <v>7126.2480767794568</v>
      </c>
      <c r="P716">
        <v>2067.590423220543</v>
      </c>
    </row>
    <row r="717" spans="1:16" x14ac:dyDescent="0.25">
      <c r="A717" s="4" t="s">
        <v>10</v>
      </c>
      <c r="B717" s="4">
        <f>ROUND(Table13_1[[#This Row],[bmi]],1)</f>
        <v>28.9</v>
      </c>
      <c r="C717" s="4" t="str" cm="1">
        <f t="array" ref="C717">_xlfn.IFS(Table13_1[[#This Row],[Round BMI]]&lt;18.5,"Underweight",AND(Table13_1[[#This Row],[Round BMI]]&gt;=18.5,Table13_1[[#This Row],[Round BMI]] &lt;=24.9),"Healthy Weight",AND(Table13_1[[#This Row],[Round BMI]]&gt;=25,Table13_1[[#This Row],[Round BMI]]&lt;=29.9),"Overweight",Table13_1[[#This Row],[Round BMI]]&gt;=30,"Obese")</f>
        <v>Overweight</v>
      </c>
      <c r="D717" s="4" t="s">
        <v>11</v>
      </c>
      <c r="E717" s="4" t="str">
        <f>IF(Table13_1[[#This Row],[smoker]]="yes","smoker","non-smoker")</f>
        <v>non-smoker</v>
      </c>
      <c r="F717" s="4" t="s">
        <v>9</v>
      </c>
      <c r="G717" s="5">
        <v>60</v>
      </c>
      <c r="H717" s="5">
        <f>IF(Table13_1[[#This Row],[smoker]]="yes",1,0)</f>
        <v>0</v>
      </c>
      <c r="I717" s="4">
        <v>28.9</v>
      </c>
      <c r="J717" s="4">
        <v>0</v>
      </c>
      <c r="K717" s="12">
        <v>12146.971</v>
      </c>
      <c r="N717">
        <v>562</v>
      </c>
      <c r="O717">
        <v>12339.207862499292</v>
      </c>
      <c r="P717">
        <v>-1415.2746624992924</v>
      </c>
    </row>
    <row r="718" spans="1:16" x14ac:dyDescent="0.25">
      <c r="A718" s="4" t="s">
        <v>7</v>
      </c>
      <c r="B718" s="4">
        <f>ROUND(Table13_1[[#This Row],[bmi]],1)</f>
        <v>22.6</v>
      </c>
      <c r="C718" s="4" t="str" cm="1">
        <f t="array" ref="C718">_xlfn.IFS(Table13_1[[#This Row],[Round BMI]]&lt;18.5,"Underweight",AND(Table13_1[[#This Row],[Round BMI]]&gt;=18.5,Table13_1[[#This Row],[Round BMI]] &lt;=24.9),"Healthy Weight",AND(Table13_1[[#This Row],[Round BMI]]&gt;=25,Table13_1[[#This Row],[Round BMI]]&lt;=29.9),"Overweight",Table13_1[[#This Row],[Round BMI]]&gt;=30,"Obese")</f>
        <v>Healthy Weight</v>
      </c>
      <c r="D718" s="4" t="s">
        <v>11</v>
      </c>
      <c r="E718" s="4" t="str">
        <f>IF(Table13_1[[#This Row],[smoker]]="yes","smoker","non-smoker")</f>
        <v>non-smoker</v>
      </c>
      <c r="F718" s="4" t="s">
        <v>13</v>
      </c>
      <c r="G718" s="5">
        <v>49</v>
      </c>
      <c r="H718" s="5">
        <f>IF(Table13_1[[#This Row],[smoker]]="yes",1,0)</f>
        <v>0</v>
      </c>
      <c r="I718" s="4">
        <v>22.61</v>
      </c>
      <c r="J718" s="4">
        <v>1</v>
      </c>
      <c r="K718" s="12">
        <v>9566.9909000000007</v>
      </c>
      <c r="N718">
        <v>563</v>
      </c>
      <c r="O718">
        <v>4675.6351063858392</v>
      </c>
      <c r="P718">
        <v>-2181.6131063858393</v>
      </c>
    </row>
    <row r="719" spans="1:16" x14ac:dyDescent="0.25">
      <c r="A719" s="4" t="s">
        <v>10</v>
      </c>
      <c r="B719" s="4">
        <f>ROUND(Table13_1[[#This Row],[bmi]],1)</f>
        <v>24.3</v>
      </c>
      <c r="C719" s="4" t="str" cm="1">
        <f t="array" ref="C719">_xlfn.IFS(Table13_1[[#This Row],[Round BMI]]&lt;18.5,"Underweight",AND(Table13_1[[#This Row],[Round BMI]]&gt;=18.5,Table13_1[[#This Row],[Round BMI]] &lt;=24.9),"Healthy Weight",AND(Table13_1[[#This Row],[Round BMI]]&gt;=25,Table13_1[[#This Row],[Round BMI]]&lt;=29.9),"Overweight",Table13_1[[#This Row],[Round BMI]]&gt;=30,"Obese")</f>
        <v>Healthy Weight</v>
      </c>
      <c r="D719" s="4" t="s">
        <v>11</v>
      </c>
      <c r="E719" s="4" t="str">
        <f>IF(Table13_1[[#This Row],[smoker]]="yes","smoker","non-smoker")</f>
        <v>non-smoker</v>
      </c>
      <c r="F719" s="4" t="s">
        <v>13</v>
      </c>
      <c r="G719" s="5">
        <v>60</v>
      </c>
      <c r="H719" s="5">
        <f>IF(Table13_1[[#This Row],[smoker]]="yes",1,0)</f>
        <v>0</v>
      </c>
      <c r="I719" s="4">
        <v>24.32</v>
      </c>
      <c r="J719" s="4">
        <v>1</v>
      </c>
      <c r="K719" s="12">
        <v>13112.604799999999</v>
      </c>
      <c r="N719">
        <v>564</v>
      </c>
      <c r="O719">
        <v>15672.495609073954</v>
      </c>
      <c r="P719">
        <v>-6613.765309073955</v>
      </c>
    </row>
    <row r="720" spans="1:16" x14ac:dyDescent="0.25">
      <c r="A720" s="4" t="s">
        <v>7</v>
      </c>
      <c r="B720" s="4">
        <f>ROUND(Table13_1[[#This Row],[bmi]],1)</f>
        <v>36.700000000000003</v>
      </c>
      <c r="C720" s="4" t="str" cm="1">
        <f t="array" ref="C720">_xlfn.IFS(Table13_1[[#This Row],[Round BMI]]&lt;18.5,"Underweight",AND(Table13_1[[#This Row],[Round BMI]]&gt;=18.5,Table13_1[[#This Row],[Round BMI]] &lt;=24.9),"Healthy Weight",AND(Table13_1[[#This Row],[Round BMI]]&gt;=25,Table13_1[[#This Row],[Round BMI]]&lt;=29.9),"Overweight",Table13_1[[#This Row],[Round BMI]]&gt;=30,"Obese")</f>
        <v>Obese</v>
      </c>
      <c r="D720" s="4" t="s">
        <v>11</v>
      </c>
      <c r="E720" s="4" t="str">
        <f>IF(Table13_1[[#This Row],[smoker]]="yes","smoker","non-smoker")</f>
        <v>non-smoker</v>
      </c>
      <c r="F720" s="4" t="s">
        <v>13</v>
      </c>
      <c r="G720" s="5">
        <v>51</v>
      </c>
      <c r="H720" s="5">
        <f>IF(Table13_1[[#This Row],[smoker]]="yes",1,0)</f>
        <v>0</v>
      </c>
      <c r="I720" s="4">
        <v>36.67</v>
      </c>
      <c r="J720" s="4">
        <v>2</v>
      </c>
      <c r="K720" s="12">
        <v>10848.1343</v>
      </c>
      <c r="N720">
        <v>565</v>
      </c>
      <c r="O720">
        <v>3823.393444107046</v>
      </c>
      <c r="P720">
        <v>-1022.1346441070459</v>
      </c>
    </row>
    <row r="721" spans="1:16" x14ac:dyDescent="0.25">
      <c r="A721" s="4" t="s">
        <v>7</v>
      </c>
      <c r="B721" s="4">
        <f>ROUND(Table13_1[[#This Row],[bmi]],1)</f>
        <v>33.4</v>
      </c>
      <c r="C721" s="4" t="str" cm="1">
        <f t="array" ref="C721">_xlfn.IFS(Table13_1[[#This Row],[Round BMI]]&lt;18.5,"Underweight",AND(Table13_1[[#This Row],[Round BMI]]&gt;=18.5,Table13_1[[#This Row],[Round BMI]] &lt;=24.9),"Healthy Weight",AND(Table13_1[[#This Row],[Round BMI]]&gt;=25,Table13_1[[#This Row],[Round BMI]]&lt;=29.9),"Overweight",Table13_1[[#This Row],[Round BMI]]&gt;=30,"Obese")</f>
        <v>Obese</v>
      </c>
      <c r="D721" s="4" t="s">
        <v>11</v>
      </c>
      <c r="E721" s="4" t="str">
        <f>IF(Table13_1[[#This Row],[smoker]]="yes","smoker","non-smoker")</f>
        <v>non-smoker</v>
      </c>
      <c r="F721" s="4" t="s">
        <v>13</v>
      </c>
      <c r="G721" s="5">
        <v>58</v>
      </c>
      <c r="H721" s="5">
        <f>IF(Table13_1[[#This Row],[smoker]]="yes",1,0)</f>
        <v>0</v>
      </c>
      <c r="I721" s="4">
        <v>33.44</v>
      </c>
      <c r="J721" s="4">
        <v>0</v>
      </c>
      <c r="K721" s="12">
        <v>12231.613600000001</v>
      </c>
      <c r="N721">
        <v>566</v>
      </c>
      <c r="O721">
        <v>2611.2297907287857</v>
      </c>
      <c r="P721">
        <v>-482.79879072878566</v>
      </c>
    </row>
    <row r="722" spans="1:16" x14ac:dyDescent="0.25">
      <c r="A722" s="4" t="s">
        <v>7</v>
      </c>
      <c r="B722" s="4">
        <f>ROUND(Table13_1[[#This Row],[bmi]],1)</f>
        <v>40.700000000000003</v>
      </c>
      <c r="C722" s="4" t="str" cm="1">
        <f t="array" ref="C722">_xlfn.IFS(Table13_1[[#This Row],[Round BMI]]&lt;18.5,"Underweight",AND(Table13_1[[#This Row],[Round BMI]]&gt;=18.5,Table13_1[[#This Row],[Round BMI]] &lt;=24.9),"Healthy Weight",AND(Table13_1[[#This Row],[Round BMI]]&gt;=25,Table13_1[[#This Row],[Round BMI]]&lt;=29.9),"Overweight",Table13_1[[#This Row],[Round BMI]]&gt;=30,"Obese")</f>
        <v>Obese</v>
      </c>
      <c r="D722" s="4" t="s">
        <v>11</v>
      </c>
      <c r="E722" s="4" t="str">
        <f>IF(Table13_1[[#This Row],[smoker]]="yes","smoker","non-smoker")</f>
        <v>non-smoker</v>
      </c>
      <c r="F722" s="4" t="s">
        <v>14</v>
      </c>
      <c r="G722" s="5">
        <v>51</v>
      </c>
      <c r="H722" s="5">
        <f>IF(Table13_1[[#This Row],[smoker]]="yes",1,0)</f>
        <v>0</v>
      </c>
      <c r="I722" s="4">
        <v>40.659999999999997</v>
      </c>
      <c r="J722" s="4">
        <v>0</v>
      </c>
      <c r="K722" s="12">
        <v>9875.6803999999993</v>
      </c>
      <c r="N722">
        <v>567</v>
      </c>
      <c r="O722">
        <v>11224.916372162383</v>
      </c>
      <c r="P722">
        <v>-4851.358972162383</v>
      </c>
    </row>
    <row r="723" spans="1:16" x14ac:dyDescent="0.25">
      <c r="A723" s="4" t="s">
        <v>10</v>
      </c>
      <c r="B723" s="4">
        <f>ROUND(Table13_1[[#This Row],[bmi]],1)</f>
        <v>36.6</v>
      </c>
      <c r="C723" s="4" t="str" cm="1">
        <f t="array" ref="C723">_xlfn.IFS(Table13_1[[#This Row],[Round BMI]]&lt;18.5,"Underweight",AND(Table13_1[[#This Row],[Round BMI]]&gt;=18.5,Table13_1[[#This Row],[Round BMI]] &lt;=24.9),"Healthy Weight",AND(Table13_1[[#This Row],[Round BMI]]&gt;=25,Table13_1[[#This Row],[Round BMI]]&lt;=29.9),"Overweight",Table13_1[[#This Row],[Round BMI]]&gt;=30,"Obese")</f>
        <v>Obese</v>
      </c>
      <c r="D723" s="4" t="s">
        <v>11</v>
      </c>
      <c r="E723" s="4" t="str">
        <f>IF(Table13_1[[#This Row],[smoker]]="yes","smoker","non-smoker")</f>
        <v>non-smoker</v>
      </c>
      <c r="F723" s="4" t="s">
        <v>9</v>
      </c>
      <c r="G723" s="5">
        <v>53</v>
      </c>
      <c r="H723" s="5">
        <f>IF(Table13_1[[#This Row],[smoker]]="yes",1,0)</f>
        <v>0</v>
      </c>
      <c r="I723" s="4">
        <v>36.6</v>
      </c>
      <c r="J723" s="4">
        <v>3</v>
      </c>
      <c r="K723" s="12">
        <v>11264.540999999999</v>
      </c>
      <c r="N723">
        <v>568</v>
      </c>
      <c r="O723">
        <v>9261.4994663581783</v>
      </c>
      <c r="P723">
        <v>-2004.7763663581782</v>
      </c>
    </row>
    <row r="724" spans="1:16" x14ac:dyDescent="0.25">
      <c r="A724" s="4" t="s">
        <v>10</v>
      </c>
      <c r="B724" s="4">
        <f>ROUND(Table13_1[[#This Row],[bmi]],1)</f>
        <v>37.4</v>
      </c>
      <c r="C724" s="4" t="str" cm="1">
        <f t="array" ref="C724">_xlfn.IFS(Table13_1[[#This Row],[Round BMI]]&lt;18.5,"Underweight",AND(Table13_1[[#This Row],[Round BMI]]&gt;=18.5,Table13_1[[#This Row],[Round BMI]] &lt;=24.9),"Healthy Weight",AND(Table13_1[[#This Row],[Round BMI]]&gt;=25,Table13_1[[#This Row],[Round BMI]]&lt;=29.9),"Overweight",Table13_1[[#This Row],[Round BMI]]&gt;=30,"Obese")</f>
        <v>Obese</v>
      </c>
      <c r="D724" s="4" t="s">
        <v>11</v>
      </c>
      <c r="E724" s="4" t="str">
        <f>IF(Table13_1[[#This Row],[smoker]]="yes","smoker","non-smoker")</f>
        <v>non-smoker</v>
      </c>
      <c r="F724" s="4" t="s">
        <v>9</v>
      </c>
      <c r="G724" s="5">
        <v>62</v>
      </c>
      <c r="H724" s="5">
        <f>IF(Table13_1[[#This Row],[smoker]]="yes",1,0)</f>
        <v>0</v>
      </c>
      <c r="I724" s="4">
        <v>37.4</v>
      </c>
      <c r="J724" s="4">
        <v>0</v>
      </c>
      <c r="K724" s="12">
        <v>12979.358</v>
      </c>
      <c r="N724">
        <v>569</v>
      </c>
      <c r="O724">
        <v>13166.427809360484</v>
      </c>
      <c r="P724">
        <v>-1613.5238093604839</v>
      </c>
    </row>
    <row r="725" spans="1:16" x14ac:dyDescent="0.25">
      <c r="A725" s="4" t="s">
        <v>10</v>
      </c>
      <c r="B725" s="4">
        <f>ROUND(Table13_1[[#This Row],[bmi]],1)</f>
        <v>35.4</v>
      </c>
      <c r="C725" s="4" t="str" cm="1">
        <f t="array" ref="C725">_xlfn.IFS(Table13_1[[#This Row],[Round BMI]]&lt;18.5,"Underweight",AND(Table13_1[[#This Row],[Round BMI]]&gt;=18.5,Table13_1[[#This Row],[Round BMI]] &lt;=24.9),"Healthy Weight",AND(Table13_1[[#This Row],[Round BMI]]&gt;=25,Table13_1[[#This Row],[Round BMI]]&lt;=29.9),"Overweight",Table13_1[[#This Row],[Round BMI]]&gt;=30,"Obese")</f>
        <v>Obese</v>
      </c>
      <c r="D725" s="4" t="s">
        <v>11</v>
      </c>
      <c r="E725" s="4" t="str">
        <f>IF(Table13_1[[#This Row],[smoker]]="yes","smoker","non-smoker")</f>
        <v>non-smoker</v>
      </c>
      <c r="F725" s="4" t="s">
        <v>9</v>
      </c>
      <c r="G725" s="5">
        <v>19</v>
      </c>
      <c r="H725" s="5">
        <f>IF(Table13_1[[#This Row],[smoker]]="yes",1,0)</f>
        <v>0</v>
      </c>
      <c r="I725" s="4">
        <v>35.4</v>
      </c>
      <c r="J725" s="4">
        <v>0</v>
      </c>
      <c r="K725" s="12">
        <v>1263.249</v>
      </c>
      <c r="N725">
        <v>570</v>
      </c>
      <c r="O725">
        <v>38088.313607027281</v>
      </c>
      <c r="P725">
        <v>7613.7087929727204</v>
      </c>
    </row>
    <row r="726" spans="1:16" x14ac:dyDescent="0.25">
      <c r="A726" s="4" t="s">
        <v>7</v>
      </c>
      <c r="B726" s="4">
        <f>ROUND(Table13_1[[#This Row],[bmi]],1)</f>
        <v>27.1</v>
      </c>
      <c r="C726" s="4" t="str" cm="1">
        <f t="array" ref="C726">_xlfn.IFS(Table13_1[[#This Row],[Round BMI]]&lt;18.5,"Underweight",AND(Table13_1[[#This Row],[Round BMI]]&gt;=18.5,Table13_1[[#This Row],[Round BMI]] &lt;=24.9),"Healthy Weight",AND(Table13_1[[#This Row],[Round BMI]]&gt;=25,Table13_1[[#This Row],[Round BMI]]&lt;=29.9),"Overweight",Table13_1[[#This Row],[Round BMI]]&gt;=30,"Obese")</f>
        <v>Overweight</v>
      </c>
      <c r="D726" s="4" t="s">
        <v>11</v>
      </c>
      <c r="E726" s="4" t="str">
        <f>IF(Table13_1[[#This Row],[smoker]]="yes","smoker","non-smoker")</f>
        <v>non-smoker</v>
      </c>
      <c r="F726" s="4" t="s">
        <v>14</v>
      </c>
      <c r="G726" s="5">
        <v>50</v>
      </c>
      <c r="H726" s="5">
        <f>IF(Table13_1[[#This Row],[smoker]]="yes",1,0)</f>
        <v>0</v>
      </c>
      <c r="I726" s="4">
        <v>27.074999999999999</v>
      </c>
      <c r="J726" s="4">
        <v>1</v>
      </c>
      <c r="K726" s="12">
        <v>10106.1342</v>
      </c>
      <c r="N726">
        <v>571</v>
      </c>
      <c r="O726">
        <v>5256.441171729567</v>
      </c>
      <c r="P726">
        <v>-1495.1491717295671</v>
      </c>
    </row>
    <row r="727" spans="1:16" x14ac:dyDescent="0.25">
      <c r="A727" s="4" t="s">
        <v>7</v>
      </c>
      <c r="B727" s="4">
        <f>ROUND(Table13_1[[#This Row],[bmi]],1)</f>
        <v>39.1</v>
      </c>
      <c r="C727" s="4" t="str" cm="1">
        <f t="array" ref="C727">_xlfn.IFS(Table13_1[[#This Row],[Round BMI]]&lt;18.5,"Underweight",AND(Table13_1[[#This Row],[Round BMI]]&gt;=18.5,Table13_1[[#This Row],[Round BMI]] &lt;=24.9),"Healthy Weight",AND(Table13_1[[#This Row],[Round BMI]]&gt;=25,Table13_1[[#This Row],[Round BMI]]&lt;=29.9),"Overweight",Table13_1[[#This Row],[Round BMI]]&gt;=30,"Obese")</f>
        <v>Obese</v>
      </c>
      <c r="D727" s="4" t="s">
        <v>8</v>
      </c>
      <c r="E727" s="4" t="str">
        <f>IF(Table13_1[[#This Row],[smoker]]="yes","smoker","non-smoker")</f>
        <v>smoker</v>
      </c>
      <c r="F727" s="4" t="s">
        <v>12</v>
      </c>
      <c r="G727" s="5">
        <v>30</v>
      </c>
      <c r="H727" s="5">
        <f>IF(Table13_1[[#This Row],[smoker]]="yes",1,0)</f>
        <v>1</v>
      </c>
      <c r="I727" s="4">
        <v>39.049999999999997</v>
      </c>
      <c r="J727" s="4">
        <v>3</v>
      </c>
      <c r="K727" s="12">
        <v>40932.429499999998</v>
      </c>
      <c r="N727">
        <v>572</v>
      </c>
      <c r="O727">
        <v>5013.862881250293</v>
      </c>
      <c r="P727">
        <v>-2794.417781250293</v>
      </c>
    </row>
    <row r="728" spans="1:16" x14ac:dyDescent="0.25">
      <c r="A728" s="4" t="s">
        <v>10</v>
      </c>
      <c r="B728" s="4">
        <f>ROUND(Table13_1[[#This Row],[bmi]],1)</f>
        <v>28.4</v>
      </c>
      <c r="C728" s="4" t="str" cm="1">
        <f t="array" ref="C728">_xlfn.IFS(Table13_1[[#This Row],[Round BMI]]&lt;18.5,"Underweight",AND(Table13_1[[#This Row],[Round BMI]]&gt;=18.5,Table13_1[[#This Row],[Round BMI]] &lt;=24.9),"Healthy Weight",AND(Table13_1[[#This Row],[Round BMI]]&gt;=25,Table13_1[[#This Row],[Round BMI]]&lt;=29.9),"Overweight",Table13_1[[#This Row],[Round BMI]]&gt;=30,"Obese")</f>
        <v>Overweight</v>
      </c>
      <c r="D728" s="4" t="s">
        <v>11</v>
      </c>
      <c r="E728" s="4" t="str">
        <f>IF(Table13_1[[#This Row],[smoker]]="yes","smoker","non-smoker")</f>
        <v>non-smoker</v>
      </c>
      <c r="F728" s="4" t="s">
        <v>13</v>
      </c>
      <c r="G728" s="5">
        <v>41</v>
      </c>
      <c r="H728" s="5">
        <f>IF(Table13_1[[#This Row],[smoker]]="yes",1,0)</f>
        <v>0</v>
      </c>
      <c r="I728" s="4">
        <v>28.405000000000001</v>
      </c>
      <c r="J728" s="4">
        <v>1</v>
      </c>
      <c r="K728" s="12">
        <v>6664.6859999999997</v>
      </c>
      <c r="N728">
        <v>573</v>
      </c>
      <c r="O728">
        <v>10457.952963324655</v>
      </c>
      <c r="P728">
        <v>-5704.3161633246546</v>
      </c>
    </row>
    <row r="729" spans="1:16" x14ac:dyDescent="0.25">
      <c r="A729" s="4" t="s">
        <v>7</v>
      </c>
      <c r="B729" s="4">
        <f>ROUND(Table13_1[[#This Row],[bmi]],1)</f>
        <v>21.8</v>
      </c>
      <c r="C729" s="4" t="str" cm="1">
        <f t="array" ref="C729">_xlfn.IFS(Table13_1[[#This Row],[Round BMI]]&lt;18.5,"Underweight",AND(Table13_1[[#This Row],[Round BMI]]&gt;=18.5,Table13_1[[#This Row],[Round BMI]] &lt;=24.9),"Healthy Weight",AND(Table13_1[[#This Row],[Round BMI]]&gt;=25,Table13_1[[#This Row],[Round BMI]]&lt;=29.9),"Overweight",Table13_1[[#This Row],[Round BMI]]&gt;=30,"Obese")</f>
        <v>Healthy Weight</v>
      </c>
      <c r="D729" s="4" t="s">
        <v>8</v>
      </c>
      <c r="E729" s="4" t="str">
        <f>IF(Table13_1[[#This Row],[smoker]]="yes","smoker","non-smoker")</f>
        <v>smoker</v>
      </c>
      <c r="F729" s="4" t="s">
        <v>14</v>
      </c>
      <c r="G729" s="5">
        <v>29</v>
      </c>
      <c r="H729" s="5">
        <f>IF(Table13_1[[#This Row],[smoker]]="yes",1,0)</f>
        <v>1</v>
      </c>
      <c r="I729" s="4">
        <v>21.754999999999999</v>
      </c>
      <c r="J729" s="4">
        <v>1</v>
      </c>
      <c r="K729" s="12">
        <v>16657.717400000001</v>
      </c>
      <c r="N729">
        <v>574</v>
      </c>
      <c r="O729">
        <v>16220.845100564233</v>
      </c>
      <c r="P729">
        <v>15399.155999435769</v>
      </c>
    </row>
    <row r="730" spans="1:16" x14ac:dyDescent="0.25">
      <c r="A730" s="4" t="s">
        <v>7</v>
      </c>
      <c r="B730" s="4">
        <f>ROUND(Table13_1[[#This Row],[bmi]],1)</f>
        <v>40.299999999999997</v>
      </c>
      <c r="C730" s="4" t="str" cm="1">
        <f t="array" ref="C730">_xlfn.IFS(Table13_1[[#This Row],[Round BMI]]&lt;18.5,"Underweight",AND(Table13_1[[#This Row],[Round BMI]]&gt;=18.5,Table13_1[[#This Row],[Round BMI]] &lt;=24.9),"Healthy Weight",AND(Table13_1[[#This Row],[Round BMI]]&gt;=25,Table13_1[[#This Row],[Round BMI]]&lt;=29.9),"Overweight",Table13_1[[#This Row],[Round BMI]]&gt;=30,"Obese")</f>
        <v>Obese</v>
      </c>
      <c r="D730" s="4" t="s">
        <v>11</v>
      </c>
      <c r="E730" s="4" t="str">
        <f>IF(Table13_1[[#This Row],[smoker]]="yes","smoker","non-smoker")</f>
        <v>non-smoker</v>
      </c>
      <c r="F730" s="4" t="s">
        <v>14</v>
      </c>
      <c r="G730" s="5">
        <v>18</v>
      </c>
      <c r="H730" s="5">
        <f>IF(Table13_1[[#This Row],[smoker]]="yes",1,0)</f>
        <v>0</v>
      </c>
      <c r="I730" s="4">
        <v>40.28</v>
      </c>
      <c r="J730" s="4">
        <v>0</v>
      </c>
      <c r="K730" s="12">
        <v>2217.6012000000001</v>
      </c>
      <c r="N730">
        <v>575</v>
      </c>
      <c r="O730">
        <v>14579.551031170566</v>
      </c>
      <c r="P730">
        <v>-1355.494031170565</v>
      </c>
    </row>
    <row r="731" spans="1:16" x14ac:dyDescent="0.25">
      <c r="A731" s="4" t="s">
        <v>7</v>
      </c>
      <c r="B731" s="4">
        <f>ROUND(Table13_1[[#This Row],[bmi]],1)</f>
        <v>36.1</v>
      </c>
      <c r="C731" s="4" t="str" cm="1">
        <f t="array" ref="C731">_xlfn.IFS(Table13_1[[#This Row],[Round BMI]]&lt;18.5,"Underweight",AND(Table13_1[[#This Row],[Round BMI]]&gt;=18.5,Table13_1[[#This Row],[Round BMI]] &lt;=24.9),"Healthy Weight",AND(Table13_1[[#This Row],[Round BMI]]&gt;=25,Table13_1[[#This Row],[Round BMI]]&lt;=29.9),"Overweight",Table13_1[[#This Row],[Round BMI]]&gt;=30,"Obese")</f>
        <v>Obese</v>
      </c>
      <c r="D731" s="4" t="s">
        <v>11</v>
      </c>
      <c r="E731" s="4" t="str">
        <f>IF(Table13_1[[#This Row],[smoker]]="yes","smoker","non-smoker")</f>
        <v>non-smoker</v>
      </c>
      <c r="F731" s="4" t="s">
        <v>12</v>
      </c>
      <c r="G731" s="5">
        <v>41</v>
      </c>
      <c r="H731" s="5">
        <f>IF(Table13_1[[#This Row],[smoker]]="yes",1,0)</f>
        <v>0</v>
      </c>
      <c r="I731" s="4">
        <v>36.08</v>
      </c>
      <c r="J731" s="4">
        <v>1</v>
      </c>
      <c r="K731" s="12">
        <v>6781.3541999999998</v>
      </c>
      <c r="N731">
        <v>576</v>
      </c>
      <c r="O731">
        <v>11597.204662165637</v>
      </c>
      <c r="P731">
        <v>625.69363783436347</v>
      </c>
    </row>
    <row r="732" spans="1:16" x14ac:dyDescent="0.25">
      <c r="A732" s="4" t="s">
        <v>10</v>
      </c>
      <c r="B732" s="4">
        <f>ROUND(Table13_1[[#This Row],[bmi]],1)</f>
        <v>24.4</v>
      </c>
      <c r="C732" s="4" t="str" cm="1">
        <f t="array" ref="C732">_xlfn.IFS(Table13_1[[#This Row],[Round BMI]]&lt;18.5,"Underweight",AND(Table13_1[[#This Row],[Round BMI]]&gt;=18.5,Table13_1[[#This Row],[Round BMI]] &lt;=24.9),"Healthy Weight",AND(Table13_1[[#This Row],[Round BMI]]&gt;=25,Table13_1[[#This Row],[Round BMI]]&lt;=29.9),"Overweight",Table13_1[[#This Row],[Round BMI]]&gt;=30,"Obese")</f>
        <v>Healthy Weight</v>
      </c>
      <c r="D732" s="4" t="s">
        <v>8</v>
      </c>
      <c r="E732" s="4" t="str">
        <f>IF(Table13_1[[#This Row],[smoker]]="yes","smoker","non-smoker")</f>
        <v>smoker</v>
      </c>
      <c r="F732" s="4" t="s">
        <v>12</v>
      </c>
      <c r="G732" s="5">
        <v>35</v>
      </c>
      <c r="H732" s="5">
        <f>IF(Table13_1[[#This Row],[smoker]]="yes",1,0)</f>
        <v>1</v>
      </c>
      <c r="I732" s="4">
        <v>24.42</v>
      </c>
      <c r="J732" s="4">
        <v>3</v>
      </c>
      <c r="K732" s="12">
        <v>19361.998800000001</v>
      </c>
      <c r="N732">
        <v>577</v>
      </c>
      <c r="O732">
        <v>2208.4114353352224</v>
      </c>
      <c r="P732">
        <v>-543.41183533522235</v>
      </c>
    </row>
    <row r="733" spans="1:16" x14ac:dyDescent="0.25">
      <c r="A733" s="4" t="s">
        <v>10</v>
      </c>
      <c r="B733" s="4">
        <f>ROUND(Table13_1[[#This Row],[bmi]],1)</f>
        <v>21.4</v>
      </c>
      <c r="C733" s="4" t="str" cm="1">
        <f t="array" ref="C733">_xlfn.IFS(Table13_1[[#This Row],[Round BMI]]&lt;18.5,"Underweight",AND(Table13_1[[#This Row],[Round BMI]]&gt;=18.5,Table13_1[[#This Row],[Round BMI]] &lt;=24.9),"Healthy Weight",AND(Table13_1[[#This Row],[Round BMI]]&gt;=25,Table13_1[[#This Row],[Round BMI]]&lt;=29.9),"Overweight",Table13_1[[#This Row],[Round BMI]]&gt;=30,"Obese")</f>
        <v>Healthy Weight</v>
      </c>
      <c r="D733" s="4" t="s">
        <v>11</v>
      </c>
      <c r="E733" s="4" t="str">
        <f>IF(Table13_1[[#This Row],[smoker]]="yes","smoker","non-smoker")</f>
        <v>non-smoker</v>
      </c>
      <c r="F733" s="4" t="s">
        <v>9</v>
      </c>
      <c r="G733" s="5">
        <v>53</v>
      </c>
      <c r="H733" s="5">
        <f>IF(Table13_1[[#This Row],[smoker]]="yes",1,0)</f>
        <v>0</v>
      </c>
      <c r="I733" s="4">
        <v>21.4</v>
      </c>
      <c r="J733" s="4">
        <v>1</v>
      </c>
      <c r="K733" s="12">
        <v>10065.413</v>
      </c>
      <c r="N733">
        <v>578</v>
      </c>
      <c r="O733">
        <v>32436.396701847618</v>
      </c>
      <c r="P733">
        <v>26134.677798152385</v>
      </c>
    </row>
    <row r="734" spans="1:16" x14ac:dyDescent="0.25">
      <c r="A734" s="4" t="s">
        <v>7</v>
      </c>
      <c r="B734" s="4">
        <f>ROUND(Table13_1[[#This Row],[bmi]],1)</f>
        <v>30.1</v>
      </c>
      <c r="C734" s="4" t="str" cm="1">
        <f t="array" ref="C734">_xlfn.IFS(Table13_1[[#This Row],[Round BMI]]&lt;18.5,"Underweight",AND(Table13_1[[#This Row],[Round BMI]]&gt;=18.5,Table13_1[[#This Row],[Round BMI]] &lt;=24.9),"Healthy Weight",AND(Table13_1[[#This Row],[Round BMI]]&gt;=25,Table13_1[[#This Row],[Round BMI]]&lt;=29.9),"Overweight",Table13_1[[#This Row],[Round BMI]]&gt;=30,"Obese")</f>
        <v>Obese</v>
      </c>
      <c r="D734" s="4" t="s">
        <v>11</v>
      </c>
      <c r="E734" s="4" t="str">
        <f>IF(Table13_1[[#This Row],[smoker]]="yes","smoker","non-smoker")</f>
        <v>non-smoker</v>
      </c>
      <c r="F734" s="4" t="s">
        <v>9</v>
      </c>
      <c r="G734" s="5">
        <v>24</v>
      </c>
      <c r="H734" s="5">
        <f>IF(Table13_1[[#This Row],[smoker]]="yes",1,0)</f>
        <v>0</v>
      </c>
      <c r="I734" s="4">
        <v>30.1</v>
      </c>
      <c r="J734" s="4">
        <v>3</v>
      </c>
      <c r="K734" s="12">
        <v>4234.9269999999997</v>
      </c>
      <c r="N734">
        <v>579</v>
      </c>
      <c r="O734">
        <v>11498.819684338197</v>
      </c>
      <c r="P734">
        <v>-1774.2896843381968</v>
      </c>
    </row>
    <row r="735" spans="1:16" x14ac:dyDescent="0.25">
      <c r="A735" s="4" t="s">
        <v>7</v>
      </c>
      <c r="B735" s="4">
        <f>ROUND(Table13_1[[#This Row],[bmi]],1)</f>
        <v>27.3</v>
      </c>
      <c r="C735" s="4" t="str" cm="1">
        <f t="array" ref="C735">_xlfn.IFS(Table13_1[[#This Row],[Round BMI]]&lt;18.5,"Underweight",AND(Table13_1[[#This Row],[Round BMI]]&gt;=18.5,Table13_1[[#This Row],[Round BMI]] &lt;=24.9),"Healthy Weight",AND(Table13_1[[#This Row],[Round BMI]]&gt;=25,Table13_1[[#This Row],[Round BMI]]&lt;=29.9),"Overweight",Table13_1[[#This Row],[Round BMI]]&gt;=30,"Obese")</f>
        <v>Overweight</v>
      </c>
      <c r="D735" s="4" t="s">
        <v>11</v>
      </c>
      <c r="E735" s="4" t="str">
        <f>IF(Table13_1[[#This Row],[smoker]]="yes","smoker","non-smoker")</f>
        <v>non-smoker</v>
      </c>
      <c r="F735" s="4" t="s">
        <v>14</v>
      </c>
      <c r="G735" s="5">
        <v>48</v>
      </c>
      <c r="H735" s="5">
        <f>IF(Table13_1[[#This Row],[smoker]]="yes",1,0)</f>
        <v>0</v>
      </c>
      <c r="I735" s="4">
        <v>27.265000000000001</v>
      </c>
      <c r="J735" s="4">
        <v>1</v>
      </c>
      <c r="K735" s="12">
        <v>9447.2504000000008</v>
      </c>
      <c r="N735">
        <v>580</v>
      </c>
      <c r="O735">
        <v>1895.7114727371982</v>
      </c>
      <c r="P735">
        <v>1310.7799272628017</v>
      </c>
    </row>
    <row r="736" spans="1:16" x14ac:dyDescent="0.25">
      <c r="A736" s="4" t="s">
        <v>7</v>
      </c>
      <c r="B736" s="4">
        <f>ROUND(Table13_1[[#This Row],[bmi]],1)</f>
        <v>32.1</v>
      </c>
      <c r="C736" s="4" t="str" cm="1">
        <f t="array" ref="C736">_xlfn.IFS(Table13_1[[#This Row],[Round BMI]]&lt;18.5,"Underweight",AND(Table13_1[[#This Row],[Round BMI]]&gt;=18.5,Table13_1[[#This Row],[Round BMI]] &lt;=24.9),"Healthy Weight",AND(Table13_1[[#This Row],[Round BMI]]&gt;=25,Table13_1[[#This Row],[Round BMI]]&lt;=29.9),"Overweight",Table13_1[[#This Row],[Round BMI]]&gt;=30,"Obese")</f>
        <v>Obese</v>
      </c>
      <c r="D736" s="4" t="s">
        <v>11</v>
      </c>
      <c r="E736" s="4" t="str">
        <f>IF(Table13_1[[#This Row],[smoker]]="yes","smoker","non-smoker")</f>
        <v>non-smoker</v>
      </c>
      <c r="F736" s="4" t="s">
        <v>9</v>
      </c>
      <c r="G736" s="5">
        <v>59</v>
      </c>
      <c r="H736" s="5">
        <f>IF(Table13_1[[#This Row],[smoker]]="yes",1,0)</f>
        <v>0</v>
      </c>
      <c r="I736" s="4">
        <v>32.1</v>
      </c>
      <c r="J736" s="4">
        <v>3</v>
      </c>
      <c r="K736" s="12">
        <v>14007.222</v>
      </c>
      <c r="N736">
        <v>581</v>
      </c>
      <c r="O736">
        <v>11778.190586183344</v>
      </c>
      <c r="P736">
        <v>1135.8018138166553</v>
      </c>
    </row>
    <row r="737" spans="1:16" x14ac:dyDescent="0.25">
      <c r="A737" s="4" t="s">
        <v>7</v>
      </c>
      <c r="B737" s="4">
        <f>ROUND(Table13_1[[#This Row],[bmi]],1)</f>
        <v>34.799999999999997</v>
      </c>
      <c r="C737" s="4" t="str" cm="1">
        <f t="array" ref="C737">_xlfn.IFS(Table13_1[[#This Row],[Round BMI]]&lt;18.5,"Underweight",AND(Table13_1[[#This Row],[Round BMI]]&gt;=18.5,Table13_1[[#This Row],[Round BMI]] &lt;=24.9),"Healthy Weight",AND(Table13_1[[#This Row],[Round BMI]]&gt;=25,Table13_1[[#This Row],[Round BMI]]&lt;=29.9),"Overweight",Table13_1[[#This Row],[Round BMI]]&gt;=30,"Obese")</f>
        <v>Obese</v>
      </c>
      <c r="D737" s="4" t="s">
        <v>11</v>
      </c>
      <c r="E737" s="4" t="str">
        <f>IF(Table13_1[[#This Row],[smoker]]="yes","smoker","non-smoker")</f>
        <v>non-smoker</v>
      </c>
      <c r="F737" s="4" t="s">
        <v>13</v>
      </c>
      <c r="G737" s="5">
        <v>49</v>
      </c>
      <c r="H737" s="5">
        <f>IF(Table13_1[[#This Row],[smoker]]="yes",1,0)</f>
        <v>0</v>
      </c>
      <c r="I737" s="4">
        <v>34.770000000000003</v>
      </c>
      <c r="J737" s="4">
        <v>1</v>
      </c>
      <c r="K737" s="12">
        <v>9583.8932999999997</v>
      </c>
      <c r="N737">
        <v>582</v>
      </c>
      <c r="O737">
        <v>2641.8056739987014</v>
      </c>
      <c r="P737">
        <v>-1002.2425739987013</v>
      </c>
    </row>
    <row r="738" spans="1:16" x14ac:dyDescent="0.25">
      <c r="A738" s="4" t="s">
        <v>7</v>
      </c>
      <c r="B738" s="4">
        <f>ROUND(Table13_1[[#This Row],[bmi]],1)</f>
        <v>38.4</v>
      </c>
      <c r="C738" s="4" t="str" cm="1">
        <f t="array" ref="C738">_xlfn.IFS(Table13_1[[#This Row],[Round BMI]]&lt;18.5,"Underweight",AND(Table13_1[[#This Row],[Round BMI]]&gt;=18.5,Table13_1[[#This Row],[Round BMI]] &lt;=24.9),"Healthy Weight",AND(Table13_1[[#This Row],[Round BMI]]&gt;=25,Table13_1[[#This Row],[Round BMI]]&lt;=29.9),"Overweight",Table13_1[[#This Row],[Round BMI]]&gt;=30,"Obese")</f>
        <v>Obese</v>
      </c>
      <c r="D738" s="4" t="s">
        <v>8</v>
      </c>
      <c r="E738" s="4" t="str">
        <f>IF(Table13_1[[#This Row],[smoker]]="yes","smoker","non-smoker")</f>
        <v>smoker</v>
      </c>
      <c r="F738" s="4" t="s">
        <v>12</v>
      </c>
      <c r="G738" s="5">
        <v>37</v>
      </c>
      <c r="H738" s="5">
        <f>IF(Table13_1[[#This Row],[smoker]]="yes",1,0)</f>
        <v>1</v>
      </c>
      <c r="I738" s="4">
        <v>38.39</v>
      </c>
      <c r="J738" s="4">
        <v>0</v>
      </c>
      <c r="K738" s="12">
        <v>40419.019099999998</v>
      </c>
      <c r="N738">
        <v>583</v>
      </c>
      <c r="O738">
        <v>13522.075269861061</v>
      </c>
      <c r="P738">
        <v>-7165.8045698610613</v>
      </c>
    </row>
    <row r="739" spans="1:16" x14ac:dyDescent="0.25">
      <c r="A739" s="4" t="s">
        <v>10</v>
      </c>
      <c r="B739" s="4">
        <f>ROUND(Table13_1[[#This Row],[bmi]],1)</f>
        <v>23.7</v>
      </c>
      <c r="C739" s="4" t="str" cm="1">
        <f t="array" ref="C739">_xlfn.IFS(Table13_1[[#This Row],[Round BMI]]&lt;18.5,"Underweight",AND(Table13_1[[#This Row],[Round BMI]]&gt;=18.5,Table13_1[[#This Row],[Round BMI]] &lt;=24.9),"Healthy Weight",AND(Table13_1[[#This Row],[Round BMI]]&gt;=25,Table13_1[[#This Row],[Round BMI]]&lt;=29.9),"Overweight",Table13_1[[#This Row],[Round BMI]]&gt;=30,"Obese")</f>
        <v>Healthy Weight</v>
      </c>
      <c r="D739" s="4" t="s">
        <v>11</v>
      </c>
      <c r="E739" s="4" t="str">
        <f>IF(Table13_1[[#This Row],[smoker]]="yes","smoker","non-smoker")</f>
        <v>non-smoker</v>
      </c>
      <c r="F739" s="4" t="s">
        <v>9</v>
      </c>
      <c r="G739" s="5">
        <v>26</v>
      </c>
      <c r="H739" s="5">
        <f>IF(Table13_1[[#This Row],[smoker]]="yes",1,0)</f>
        <v>0</v>
      </c>
      <c r="I739" s="4">
        <v>23.7</v>
      </c>
      <c r="J739" s="4">
        <v>2</v>
      </c>
      <c r="K739" s="12">
        <v>3484.3310000000001</v>
      </c>
      <c r="N739">
        <v>584</v>
      </c>
      <c r="O739">
        <v>4233.7028491211358</v>
      </c>
      <c r="P739">
        <v>13392.536650878865</v>
      </c>
    </row>
    <row r="740" spans="1:16" x14ac:dyDescent="0.25">
      <c r="A740" s="4" t="s">
        <v>10</v>
      </c>
      <c r="B740" s="4">
        <f>ROUND(Table13_1[[#This Row],[bmi]],1)</f>
        <v>31.7</v>
      </c>
      <c r="C740" s="4" t="str" cm="1">
        <f t="array" ref="C740">_xlfn.IFS(Table13_1[[#This Row],[Round BMI]]&lt;18.5,"Underweight",AND(Table13_1[[#This Row],[Round BMI]]&gt;=18.5,Table13_1[[#This Row],[Round BMI]] &lt;=24.9),"Healthy Weight",AND(Table13_1[[#This Row],[Round BMI]]&gt;=25,Table13_1[[#This Row],[Round BMI]]&lt;=29.9),"Overweight",Table13_1[[#This Row],[Round BMI]]&gt;=30,"Obese")</f>
        <v>Obese</v>
      </c>
      <c r="D740" s="4" t="s">
        <v>8</v>
      </c>
      <c r="E740" s="4" t="str">
        <f>IF(Table13_1[[#This Row],[smoker]]="yes","smoker","non-smoker")</f>
        <v>smoker</v>
      </c>
      <c r="F740" s="4" t="s">
        <v>14</v>
      </c>
      <c r="G740" s="5">
        <v>23</v>
      </c>
      <c r="H740" s="5">
        <f>IF(Table13_1[[#This Row],[smoker]]="yes",1,0)</f>
        <v>1</v>
      </c>
      <c r="I740" s="4">
        <v>31.73</v>
      </c>
      <c r="J740" s="4">
        <v>3</v>
      </c>
      <c r="K740" s="12">
        <v>36189.101699999999</v>
      </c>
      <c r="N740">
        <v>585</v>
      </c>
      <c r="O740">
        <v>-541.30470010089084</v>
      </c>
      <c r="P740">
        <v>1784.1207001008909</v>
      </c>
    </row>
    <row r="741" spans="1:16" x14ac:dyDescent="0.25">
      <c r="A741" s="4" t="s">
        <v>10</v>
      </c>
      <c r="B741" s="4">
        <f>ROUND(Table13_1[[#This Row],[bmi]],1)</f>
        <v>35.5</v>
      </c>
      <c r="C741" s="4" t="str" cm="1">
        <f t="array" ref="C741">_xlfn.IFS(Table13_1[[#This Row],[Round BMI]]&lt;18.5,"Underweight",AND(Table13_1[[#This Row],[Round BMI]]&gt;=18.5,Table13_1[[#This Row],[Round BMI]] &lt;=24.9),"Healthy Weight",AND(Table13_1[[#This Row],[Round BMI]]&gt;=25,Table13_1[[#This Row],[Round BMI]]&lt;=29.9),"Overweight",Table13_1[[#This Row],[Round BMI]]&gt;=30,"Obese")</f>
        <v>Obese</v>
      </c>
      <c r="D741" s="4" t="s">
        <v>8</v>
      </c>
      <c r="E741" s="4" t="str">
        <f>IF(Table13_1[[#This Row],[smoker]]="yes","smoker","non-smoker")</f>
        <v>smoker</v>
      </c>
      <c r="F741" s="4" t="s">
        <v>9</v>
      </c>
      <c r="G741" s="5">
        <v>29</v>
      </c>
      <c r="H741" s="5">
        <f>IF(Table13_1[[#This Row],[smoker]]="yes",1,0)</f>
        <v>1</v>
      </c>
      <c r="I741" s="4">
        <v>35.5</v>
      </c>
      <c r="J741" s="4">
        <v>2</v>
      </c>
      <c r="K741" s="12">
        <v>44585.455900000001</v>
      </c>
      <c r="N741">
        <v>586</v>
      </c>
      <c r="O741">
        <v>5978.5058375778945</v>
      </c>
      <c r="P741">
        <v>-1198.9035375778949</v>
      </c>
    </row>
    <row r="742" spans="1:16" x14ac:dyDescent="0.25">
      <c r="A742" s="4" t="s">
        <v>10</v>
      </c>
      <c r="B742" s="4">
        <f>ROUND(Table13_1[[#This Row],[bmi]],1)</f>
        <v>24</v>
      </c>
      <c r="C742" s="4" t="str" cm="1">
        <f t="array" ref="C742">_xlfn.IFS(Table13_1[[#This Row],[Round BMI]]&lt;18.5,"Underweight",AND(Table13_1[[#This Row],[Round BMI]]&gt;=18.5,Table13_1[[#This Row],[Round BMI]] &lt;=24.9),"Healthy Weight",AND(Table13_1[[#This Row],[Round BMI]]&gt;=25,Table13_1[[#This Row],[Round BMI]]&lt;=29.9),"Overweight",Table13_1[[#This Row],[Round BMI]]&gt;=30,"Obese")</f>
        <v>Healthy Weight</v>
      </c>
      <c r="D742" s="4" t="s">
        <v>11</v>
      </c>
      <c r="E742" s="4" t="str">
        <f>IF(Table13_1[[#This Row],[smoker]]="yes","smoker","non-smoker")</f>
        <v>non-smoker</v>
      </c>
      <c r="F742" s="4" t="s">
        <v>14</v>
      </c>
      <c r="G742" s="5">
        <v>45</v>
      </c>
      <c r="H742" s="5">
        <f>IF(Table13_1[[#This Row],[smoker]]="yes",1,0)</f>
        <v>0</v>
      </c>
      <c r="I742" s="4">
        <v>24.035</v>
      </c>
      <c r="J742" s="4">
        <v>2</v>
      </c>
      <c r="K742" s="12">
        <v>8604.4835999999996</v>
      </c>
      <c r="N742">
        <v>587</v>
      </c>
      <c r="O742">
        <v>1245.2403588761272</v>
      </c>
      <c r="P742">
        <v>2615.969241123873</v>
      </c>
    </row>
    <row r="743" spans="1:16" x14ac:dyDescent="0.25">
      <c r="A743" s="4" t="s">
        <v>10</v>
      </c>
      <c r="B743" s="4">
        <f>ROUND(Table13_1[[#This Row],[bmi]],1)</f>
        <v>29.2</v>
      </c>
      <c r="C743" s="4" t="str" cm="1">
        <f t="array" ref="C743">_xlfn.IFS(Table13_1[[#This Row],[Round BMI]]&lt;18.5,"Underweight",AND(Table13_1[[#This Row],[Round BMI]]&gt;=18.5,Table13_1[[#This Row],[Round BMI]] &lt;=24.9),"Healthy Weight",AND(Table13_1[[#This Row],[Round BMI]]&gt;=25,Table13_1[[#This Row],[Round BMI]]&lt;=29.9),"Overweight",Table13_1[[#This Row],[Round BMI]]&gt;=30,"Obese")</f>
        <v>Overweight</v>
      </c>
      <c r="D743" s="4" t="s">
        <v>8</v>
      </c>
      <c r="E743" s="4" t="str">
        <f>IF(Table13_1[[#This Row],[smoker]]="yes","smoker","non-smoker")</f>
        <v>smoker</v>
      </c>
      <c r="F743" s="4" t="s">
        <v>12</v>
      </c>
      <c r="G743" s="5">
        <v>27</v>
      </c>
      <c r="H743" s="5">
        <f>IF(Table13_1[[#This Row],[smoker]]="yes",1,0)</f>
        <v>1</v>
      </c>
      <c r="I743" s="4">
        <v>29.15</v>
      </c>
      <c r="J743" s="4">
        <v>0</v>
      </c>
      <c r="K743" s="12">
        <v>18246.495500000001</v>
      </c>
      <c r="N743">
        <v>588</v>
      </c>
      <c r="O743">
        <v>30672.146912435721</v>
      </c>
      <c r="P743">
        <v>13271.72918756428</v>
      </c>
    </row>
    <row r="744" spans="1:16" x14ac:dyDescent="0.25">
      <c r="A744" s="4" t="s">
        <v>10</v>
      </c>
      <c r="B744" s="4">
        <f>ROUND(Table13_1[[#This Row],[bmi]],1)</f>
        <v>34.1</v>
      </c>
      <c r="C744" s="4" t="str" cm="1">
        <f t="array" ref="C744">_xlfn.IFS(Table13_1[[#This Row],[Round BMI]]&lt;18.5,"Underweight",AND(Table13_1[[#This Row],[Round BMI]]&gt;=18.5,Table13_1[[#This Row],[Round BMI]] &lt;=24.9),"Healthy Weight",AND(Table13_1[[#This Row],[Round BMI]]&gt;=25,Table13_1[[#This Row],[Round BMI]]&lt;=29.9),"Overweight",Table13_1[[#This Row],[Round BMI]]&gt;=30,"Obese")</f>
        <v>Obese</v>
      </c>
      <c r="D744" s="4" t="s">
        <v>8</v>
      </c>
      <c r="E744" s="4" t="str">
        <f>IF(Table13_1[[#This Row],[smoker]]="yes","smoker","non-smoker")</f>
        <v>smoker</v>
      </c>
      <c r="F744" s="4" t="s">
        <v>14</v>
      </c>
      <c r="G744" s="5">
        <v>53</v>
      </c>
      <c r="H744" s="5">
        <f>IF(Table13_1[[#This Row],[smoker]]="yes",1,0)</f>
        <v>1</v>
      </c>
      <c r="I744" s="4">
        <v>34.104999999999997</v>
      </c>
      <c r="J744" s="4">
        <v>0</v>
      </c>
      <c r="K744" s="12">
        <v>43254.417999999998</v>
      </c>
      <c r="N744">
        <v>589</v>
      </c>
      <c r="O744">
        <v>15183.734444988901</v>
      </c>
      <c r="P744">
        <v>-1548.0965449889009</v>
      </c>
    </row>
    <row r="745" spans="1:16" x14ac:dyDescent="0.25">
      <c r="A745" s="4" t="s">
        <v>7</v>
      </c>
      <c r="B745" s="4">
        <f>ROUND(Table13_1[[#This Row],[bmi]],1)</f>
        <v>26.6</v>
      </c>
      <c r="C745" s="4" t="str" cm="1">
        <f t="array" ref="C745">_xlfn.IFS(Table13_1[[#This Row],[Round BMI]]&lt;18.5,"Underweight",AND(Table13_1[[#This Row],[Round BMI]]&gt;=18.5,Table13_1[[#This Row],[Round BMI]] &lt;=24.9),"Healthy Weight",AND(Table13_1[[#This Row],[Round BMI]]&gt;=25,Table13_1[[#This Row],[Round BMI]]&lt;=29.9),"Overweight",Table13_1[[#This Row],[Round BMI]]&gt;=30,"Obese")</f>
        <v>Overweight</v>
      </c>
      <c r="D745" s="4" t="s">
        <v>11</v>
      </c>
      <c r="E745" s="4" t="str">
        <f>IF(Table13_1[[#This Row],[smoker]]="yes","smoker","non-smoker")</f>
        <v>non-smoker</v>
      </c>
      <c r="F745" s="4" t="s">
        <v>12</v>
      </c>
      <c r="G745" s="5">
        <v>31</v>
      </c>
      <c r="H745" s="5">
        <f>IF(Table13_1[[#This Row],[smoker]]="yes",1,0)</f>
        <v>0</v>
      </c>
      <c r="I745" s="4">
        <v>26.62</v>
      </c>
      <c r="J745" s="4">
        <v>0</v>
      </c>
      <c r="K745" s="12">
        <v>3757.8447999999999</v>
      </c>
      <c r="N745">
        <v>590</v>
      </c>
      <c r="O745">
        <v>8046.6337691054096</v>
      </c>
      <c r="P745">
        <v>-2069.8026691054092</v>
      </c>
    </row>
    <row r="746" spans="1:16" x14ac:dyDescent="0.25">
      <c r="A746" s="4" t="s">
        <v>10</v>
      </c>
      <c r="B746" s="4">
        <f>ROUND(Table13_1[[#This Row],[bmi]],1)</f>
        <v>26.4</v>
      </c>
      <c r="C746" s="4" t="str" cm="1">
        <f t="array" ref="C746">_xlfn.IFS(Table13_1[[#This Row],[Round BMI]]&lt;18.5,"Underweight",AND(Table13_1[[#This Row],[Round BMI]]&gt;=18.5,Table13_1[[#This Row],[Round BMI]] &lt;=24.9),"Healthy Weight",AND(Table13_1[[#This Row],[Round BMI]]&gt;=25,Table13_1[[#This Row],[Round BMI]]&lt;=29.9),"Overweight",Table13_1[[#This Row],[Round BMI]]&gt;=30,"Obese")</f>
        <v>Overweight</v>
      </c>
      <c r="D746" s="4" t="s">
        <v>11</v>
      </c>
      <c r="E746" s="4" t="str">
        <f>IF(Table13_1[[#This Row],[smoker]]="yes","smoker","non-smoker")</f>
        <v>non-smoker</v>
      </c>
      <c r="F746" s="4" t="s">
        <v>13</v>
      </c>
      <c r="G746" s="5">
        <v>50</v>
      </c>
      <c r="H746" s="5">
        <f>IF(Table13_1[[#This Row],[smoker]]="yes",1,0)</f>
        <v>0</v>
      </c>
      <c r="I746" s="4">
        <v>26.41</v>
      </c>
      <c r="J746" s="4">
        <v>0</v>
      </c>
      <c r="K746" s="12">
        <v>8827.2098999999998</v>
      </c>
      <c r="N746">
        <v>591</v>
      </c>
      <c r="O746">
        <v>12186.192729365055</v>
      </c>
      <c r="P746">
        <v>-343.75072936505603</v>
      </c>
    </row>
    <row r="747" spans="1:16" x14ac:dyDescent="0.25">
      <c r="A747" s="4" t="s">
        <v>7</v>
      </c>
      <c r="B747" s="4">
        <f>ROUND(Table13_1[[#This Row],[bmi]],1)</f>
        <v>30.1</v>
      </c>
      <c r="C747" s="4" t="str" cm="1">
        <f t="array" ref="C747">_xlfn.IFS(Table13_1[[#This Row],[Round BMI]]&lt;18.5,"Underweight",AND(Table13_1[[#This Row],[Round BMI]]&gt;=18.5,Table13_1[[#This Row],[Round BMI]] &lt;=24.9),"Healthy Weight",AND(Table13_1[[#This Row],[Round BMI]]&gt;=25,Table13_1[[#This Row],[Round BMI]]&lt;=29.9),"Overweight",Table13_1[[#This Row],[Round BMI]]&gt;=30,"Obese")</f>
        <v>Obese</v>
      </c>
      <c r="D747" s="4" t="s">
        <v>11</v>
      </c>
      <c r="E747" s="4" t="str">
        <f>IF(Table13_1[[#This Row],[smoker]]="yes","smoker","non-smoker")</f>
        <v>non-smoker</v>
      </c>
      <c r="F747" s="4" t="s">
        <v>13</v>
      </c>
      <c r="G747" s="5">
        <v>50</v>
      </c>
      <c r="H747" s="5">
        <f>IF(Table13_1[[#This Row],[smoker]]="yes",1,0)</f>
        <v>0</v>
      </c>
      <c r="I747" s="4">
        <v>30.114999999999998</v>
      </c>
      <c r="J747" s="4">
        <v>1</v>
      </c>
      <c r="K747" s="12">
        <v>9910.3598000000002</v>
      </c>
      <c r="N747">
        <v>592</v>
      </c>
      <c r="O747">
        <v>6788.2917354843294</v>
      </c>
      <c r="P747">
        <v>1639.7775645156698</v>
      </c>
    </row>
    <row r="748" spans="1:16" x14ac:dyDescent="0.25">
      <c r="A748" s="4" t="s">
        <v>10</v>
      </c>
      <c r="B748" s="4">
        <f>ROUND(Table13_1[[#This Row],[bmi]],1)</f>
        <v>27</v>
      </c>
      <c r="C748" s="4" t="str" cm="1">
        <f t="array" ref="C748">_xlfn.IFS(Table13_1[[#This Row],[Round BMI]]&lt;18.5,"Underweight",AND(Table13_1[[#This Row],[Round BMI]]&gt;=18.5,Table13_1[[#This Row],[Round BMI]] &lt;=24.9),"Healthy Weight",AND(Table13_1[[#This Row],[Round BMI]]&gt;=25,Table13_1[[#This Row],[Round BMI]]&lt;=29.9),"Overweight",Table13_1[[#This Row],[Round BMI]]&gt;=30,"Obese")</f>
        <v>Overweight</v>
      </c>
      <c r="D748" s="4" t="s">
        <v>11</v>
      </c>
      <c r="E748" s="4" t="str">
        <f>IF(Table13_1[[#This Row],[smoker]]="yes","smoker","non-smoker")</f>
        <v>non-smoker</v>
      </c>
      <c r="F748" s="4" t="s">
        <v>9</v>
      </c>
      <c r="G748" s="5">
        <v>34</v>
      </c>
      <c r="H748" s="5">
        <f>IF(Table13_1[[#This Row],[smoker]]="yes",1,0)</f>
        <v>0</v>
      </c>
      <c r="I748" s="4">
        <v>27</v>
      </c>
      <c r="J748" s="4">
        <v>2</v>
      </c>
      <c r="K748" s="12">
        <v>11737.8488</v>
      </c>
      <c r="N748">
        <v>593</v>
      </c>
      <c r="O748">
        <v>4020.4595699549582</v>
      </c>
      <c r="P748">
        <v>-1453.9888699549583</v>
      </c>
    </row>
    <row r="749" spans="1:16" x14ac:dyDescent="0.25">
      <c r="A749" s="4" t="s">
        <v>10</v>
      </c>
      <c r="B749" s="4">
        <f>ROUND(Table13_1[[#This Row],[bmi]],1)</f>
        <v>21.8</v>
      </c>
      <c r="C749" s="4" t="str" cm="1">
        <f t="array" ref="C749">_xlfn.IFS(Table13_1[[#This Row],[Round BMI]]&lt;18.5,"Underweight",AND(Table13_1[[#This Row],[Round BMI]]&gt;=18.5,Table13_1[[#This Row],[Round BMI]] &lt;=24.9),"Healthy Weight",AND(Table13_1[[#This Row],[Round BMI]]&gt;=25,Table13_1[[#This Row],[Round BMI]]&lt;=29.9),"Overweight",Table13_1[[#This Row],[Round BMI]]&gt;=30,"Obese")</f>
        <v>Healthy Weight</v>
      </c>
      <c r="D749" s="4" t="s">
        <v>11</v>
      </c>
      <c r="E749" s="4" t="str">
        <f>IF(Table13_1[[#This Row],[smoker]]="yes","smoker","non-smoker")</f>
        <v>non-smoker</v>
      </c>
      <c r="F749" s="4" t="s">
        <v>13</v>
      </c>
      <c r="G749" s="5">
        <v>19</v>
      </c>
      <c r="H749" s="5">
        <f>IF(Table13_1[[#This Row],[smoker]]="yes",1,0)</f>
        <v>0</v>
      </c>
      <c r="I749" s="4">
        <v>21.754999999999999</v>
      </c>
      <c r="J749" s="4">
        <v>0</v>
      </c>
      <c r="K749" s="12">
        <v>1627.2824000000001</v>
      </c>
      <c r="N749">
        <v>594</v>
      </c>
      <c r="O749">
        <v>24629.42558938856</v>
      </c>
      <c r="P749">
        <v>-9270.3210893885607</v>
      </c>
    </row>
    <row r="750" spans="1:16" x14ac:dyDescent="0.25">
      <c r="A750" s="4" t="s">
        <v>7</v>
      </c>
      <c r="B750" s="4">
        <f>ROUND(Table13_1[[#This Row],[bmi]],1)</f>
        <v>36</v>
      </c>
      <c r="C750" s="4" t="str" cm="1">
        <f t="array" ref="C750">_xlfn.IFS(Table13_1[[#This Row],[Round BMI]]&lt;18.5,"Underweight",AND(Table13_1[[#This Row],[Round BMI]]&gt;=18.5,Table13_1[[#This Row],[Round BMI]] &lt;=24.9),"Healthy Weight",AND(Table13_1[[#This Row],[Round BMI]]&gt;=25,Table13_1[[#This Row],[Round BMI]]&lt;=29.9),"Overweight",Table13_1[[#This Row],[Round BMI]]&gt;=30,"Obese")</f>
        <v>Obese</v>
      </c>
      <c r="D750" s="4" t="s">
        <v>11</v>
      </c>
      <c r="E750" s="4" t="str">
        <f>IF(Table13_1[[#This Row],[smoker]]="yes","smoker","non-smoker")</f>
        <v>non-smoker</v>
      </c>
      <c r="F750" s="4" t="s">
        <v>9</v>
      </c>
      <c r="G750" s="5">
        <v>47</v>
      </c>
      <c r="H750" s="5">
        <f>IF(Table13_1[[#This Row],[smoker]]="yes",1,0)</f>
        <v>0</v>
      </c>
      <c r="I750" s="4">
        <v>36</v>
      </c>
      <c r="J750" s="4">
        <v>1</v>
      </c>
      <c r="K750" s="12">
        <v>8556.9069999999992</v>
      </c>
      <c r="N750">
        <v>595</v>
      </c>
      <c r="O750">
        <v>11426.797900741056</v>
      </c>
      <c r="P750">
        <v>-5717.6335007410562</v>
      </c>
    </row>
    <row r="751" spans="1:16" x14ac:dyDescent="0.25">
      <c r="A751" s="4" t="s">
        <v>10</v>
      </c>
      <c r="B751" s="4">
        <f>ROUND(Table13_1[[#This Row],[bmi]],1)</f>
        <v>30.9</v>
      </c>
      <c r="C751" s="4" t="str" cm="1">
        <f t="array" ref="C751">_xlfn.IFS(Table13_1[[#This Row],[Round BMI]]&lt;18.5,"Underweight",AND(Table13_1[[#This Row],[Round BMI]]&gt;=18.5,Table13_1[[#This Row],[Round BMI]] &lt;=24.9),"Healthy Weight",AND(Table13_1[[#This Row],[Round BMI]]&gt;=25,Table13_1[[#This Row],[Round BMI]]&lt;=29.9),"Overweight",Table13_1[[#This Row],[Round BMI]]&gt;=30,"Obese")</f>
        <v>Obese</v>
      </c>
      <c r="D751" s="4" t="s">
        <v>11</v>
      </c>
      <c r="E751" s="4" t="str">
        <f>IF(Table13_1[[#This Row],[smoker]]="yes","smoker","non-smoker")</f>
        <v>non-smoker</v>
      </c>
      <c r="F751" s="4" t="s">
        <v>13</v>
      </c>
      <c r="G751" s="5">
        <v>28</v>
      </c>
      <c r="H751" s="5">
        <f>IF(Table13_1[[#This Row],[smoker]]="yes",1,0)</f>
        <v>0</v>
      </c>
      <c r="I751" s="4">
        <v>30.875</v>
      </c>
      <c r="J751" s="4">
        <v>0</v>
      </c>
      <c r="K751" s="12">
        <v>3062.5082000000002</v>
      </c>
      <c r="N751">
        <v>596</v>
      </c>
      <c r="O751">
        <v>11086.248835371336</v>
      </c>
      <c r="P751">
        <v>-2262.2630353713357</v>
      </c>
    </row>
    <row r="752" spans="1:16" x14ac:dyDescent="0.25">
      <c r="A752" s="4" t="s">
        <v>7</v>
      </c>
      <c r="B752" s="4">
        <f>ROUND(Table13_1[[#This Row],[bmi]],1)</f>
        <v>26.4</v>
      </c>
      <c r="C752" s="4" t="str" cm="1">
        <f t="array" ref="C752">_xlfn.IFS(Table13_1[[#This Row],[Round BMI]]&lt;18.5,"Underweight",AND(Table13_1[[#This Row],[Round BMI]]&gt;=18.5,Table13_1[[#This Row],[Round BMI]] &lt;=24.9),"Healthy Weight",AND(Table13_1[[#This Row],[Round BMI]]&gt;=25,Table13_1[[#This Row],[Round BMI]]&lt;=29.9),"Overweight",Table13_1[[#This Row],[Round BMI]]&gt;=30,"Obese")</f>
        <v>Overweight</v>
      </c>
      <c r="D752" s="4" t="s">
        <v>8</v>
      </c>
      <c r="E752" s="4" t="str">
        <f>IF(Table13_1[[#This Row],[smoker]]="yes","smoker","non-smoker")</f>
        <v>smoker</v>
      </c>
      <c r="F752" s="4" t="s">
        <v>12</v>
      </c>
      <c r="G752" s="5">
        <v>37</v>
      </c>
      <c r="H752" s="5">
        <f>IF(Table13_1[[#This Row],[smoker]]="yes",1,0)</f>
        <v>1</v>
      </c>
      <c r="I752" s="4">
        <v>26.4</v>
      </c>
      <c r="J752" s="4">
        <v>0</v>
      </c>
      <c r="K752" s="12">
        <v>19539.242999999999</v>
      </c>
      <c r="N752">
        <v>597</v>
      </c>
      <c r="O752">
        <v>9162.0939165347881</v>
      </c>
      <c r="P752">
        <v>-1521.7847165347885</v>
      </c>
    </row>
    <row r="753" spans="1:16" x14ac:dyDescent="0.25">
      <c r="A753" s="4" t="s">
        <v>10</v>
      </c>
      <c r="B753" s="4">
        <f>ROUND(Table13_1[[#This Row],[bmi]],1)</f>
        <v>29</v>
      </c>
      <c r="C753" s="4" t="str" cm="1">
        <f t="array" ref="C753">_xlfn.IFS(Table13_1[[#This Row],[Round BMI]]&lt;18.5,"Underweight",AND(Table13_1[[#This Row],[Round BMI]]&gt;=18.5,Table13_1[[#This Row],[Round BMI]] &lt;=24.9),"Healthy Weight",AND(Table13_1[[#This Row],[Round BMI]]&gt;=25,Table13_1[[#This Row],[Round BMI]]&lt;=29.9),"Overweight",Table13_1[[#This Row],[Round BMI]]&gt;=30,"Obese")</f>
        <v>Overweight</v>
      </c>
      <c r="D753" s="4" t="s">
        <v>11</v>
      </c>
      <c r="E753" s="4" t="str">
        <f>IF(Table13_1[[#This Row],[smoker]]="yes","smoker","non-smoker")</f>
        <v>non-smoker</v>
      </c>
      <c r="F753" s="4" t="s">
        <v>13</v>
      </c>
      <c r="G753" s="5">
        <v>21</v>
      </c>
      <c r="H753" s="5">
        <f>IF(Table13_1[[#This Row],[smoker]]="yes",1,0)</f>
        <v>0</v>
      </c>
      <c r="I753" s="4">
        <v>28.975000000000001</v>
      </c>
      <c r="J753" s="4">
        <v>0</v>
      </c>
      <c r="K753" s="12">
        <v>1906.3581999999999</v>
      </c>
      <c r="N753">
        <v>598</v>
      </c>
      <c r="O753">
        <v>7839.1753310574886</v>
      </c>
      <c r="P753">
        <v>-2244.3298310574883</v>
      </c>
    </row>
    <row r="754" spans="1:16" x14ac:dyDescent="0.25">
      <c r="A754" s="4" t="s">
        <v>10</v>
      </c>
      <c r="B754" s="4">
        <f>ROUND(Table13_1[[#This Row],[bmi]],1)</f>
        <v>37.9</v>
      </c>
      <c r="C754" s="4" t="str" cm="1">
        <f t="array" ref="C754">_xlfn.IFS(Table13_1[[#This Row],[Round BMI]]&lt;18.5,"Underweight",AND(Table13_1[[#This Row],[Round BMI]]&gt;=18.5,Table13_1[[#This Row],[Round BMI]] &lt;=24.9),"Healthy Weight",AND(Table13_1[[#This Row],[Round BMI]]&gt;=25,Table13_1[[#This Row],[Round BMI]]&lt;=29.9),"Overweight",Table13_1[[#This Row],[Round BMI]]&gt;=30,"Obese")</f>
        <v>Obese</v>
      </c>
      <c r="D754" s="4" t="s">
        <v>11</v>
      </c>
      <c r="E754" s="4" t="str">
        <f>IF(Table13_1[[#This Row],[smoker]]="yes","smoker","non-smoker")</f>
        <v>non-smoker</v>
      </c>
      <c r="F754" s="4" t="s">
        <v>13</v>
      </c>
      <c r="G754" s="5">
        <v>64</v>
      </c>
      <c r="H754" s="5">
        <f>IF(Table13_1[[#This Row],[smoker]]="yes",1,0)</f>
        <v>0</v>
      </c>
      <c r="I754" s="4">
        <v>37.905000000000001</v>
      </c>
      <c r="J754" s="4">
        <v>0</v>
      </c>
      <c r="K754" s="12">
        <v>14210.536</v>
      </c>
      <c r="N754">
        <v>599</v>
      </c>
      <c r="O754">
        <v>10424.119800729726</v>
      </c>
      <c r="P754">
        <v>-2982.618800729726</v>
      </c>
    </row>
    <row r="755" spans="1:16" x14ac:dyDescent="0.25">
      <c r="A755" s="4" t="s">
        <v>7</v>
      </c>
      <c r="B755" s="4">
        <f>ROUND(Table13_1[[#This Row],[bmi]],1)</f>
        <v>22.8</v>
      </c>
      <c r="C755" s="4" t="str" cm="1">
        <f t="array" ref="C755">_xlfn.IFS(Table13_1[[#This Row],[Round BMI]]&lt;18.5,"Underweight",AND(Table13_1[[#This Row],[Round BMI]]&gt;=18.5,Table13_1[[#This Row],[Round BMI]] &lt;=24.9),"Healthy Weight",AND(Table13_1[[#This Row],[Round BMI]]&gt;=25,Table13_1[[#This Row],[Round BMI]]&lt;=29.9),"Overweight",Table13_1[[#This Row],[Round BMI]]&gt;=30,"Obese")</f>
        <v>Healthy Weight</v>
      </c>
      <c r="D755" s="4" t="s">
        <v>11</v>
      </c>
      <c r="E755" s="4" t="str">
        <f>IF(Table13_1[[#This Row],[smoker]]="yes","smoker","non-smoker")</f>
        <v>non-smoker</v>
      </c>
      <c r="F755" s="4" t="s">
        <v>12</v>
      </c>
      <c r="G755" s="5">
        <v>58</v>
      </c>
      <c r="H755" s="5">
        <f>IF(Table13_1[[#This Row],[smoker]]="yes",1,0)</f>
        <v>0</v>
      </c>
      <c r="I755" s="4">
        <v>22.77</v>
      </c>
      <c r="J755" s="4">
        <v>0</v>
      </c>
      <c r="K755" s="12">
        <v>11833.782300000001</v>
      </c>
      <c r="N755">
        <v>600</v>
      </c>
      <c r="O755">
        <v>14329.883525695901</v>
      </c>
      <c r="P755">
        <v>19142.088374304098</v>
      </c>
    </row>
    <row r="756" spans="1:16" x14ac:dyDescent="0.25">
      <c r="A756" s="4" t="s">
        <v>10</v>
      </c>
      <c r="B756" s="4">
        <f>ROUND(Table13_1[[#This Row],[bmi]],1)</f>
        <v>33.6</v>
      </c>
      <c r="C756" s="4" t="str" cm="1">
        <f t="array" ref="C756">_xlfn.IFS(Table13_1[[#This Row],[Round BMI]]&lt;18.5,"Underweight",AND(Table13_1[[#This Row],[Round BMI]]&gt;=18.5,Table13_1[[#This Row],[Round BMI]] &lt;=24.9),"Healthy Weight",AND(Table13_1[[#This Row],[Round BMI]]&gt;=25,Table13_1[[#This Row],[Round BMI]]&lt;=29.9),"Overweight",Table13_1[[#This Row],[Round BMI]]&gt;=30,"Obese")</f>
        <v>Obese</v>
      </c>
      <c r="D756" s="4" t="s">
        <v>11</v>
      </c>
      <c r="E756" s="4" t="str">
        <f>IF(Table13_1[[#This Row],[smoker]]="yes","smoker","non-smoker")</f>
        <v>non-smoker</v>
      </c>
      <c r="F756" s="4" t="s">
        <v>14</v>
      </c>
      <c r="G756" s="5">
        <v>24</v>
      </c>
      <c r="H756" s="5">
        <f>IF(Table13_1[[#This Row],[smoker]]="yes",1,0)</f>
        <v>0</v>
      </c>
      <c r="I756" s="4">
        <v>33.630000000000003</v>
      </c>
      <c r="J756" s="4">
        <v>4</v>
      </c>
      <c r="K756" s="12">
        <v>17128.426100000001</v>
      </c>
      <c r="N756">
        <v>601</v>
      </c>
      <c r="O756">
        <v>5142.2226890175352</v>
      </c>
      <c r="P756">
        <v>-3509.1782890175355</v>
      </c>
    </row>
    <row r="757" spans="1:16" x14ac:dyDescent="0.25">
      <c r="A757" s="4" t="s">
        <v>10</v>
      </c>
      <c r="B757" s="4">
        <f>ROUND(Table13_1[[#This Row],[bmi]],1)</f>
        <v>27.6</v>
      </c>
      <c r="C757" s="4" t="str" cm="1">
        <f t="array" ref="C757">_xlfn.IFS(Table13_1[[#This Row],[Round BMI]]&lt;18.5,"Underweight",AND(Table13_1[[#This Row],[Round BMI]]&gt;=18.5,Table13_1[[#This Row],[Round BMI]] &lt;=24.9),"Healthy Weight",AND(Table13_1[[#This Row],[Round BMI]]&gt;=25,Table13_1[[#This Row],[Round BMI]]&lt;=29.9),"Overweight",Table13_1[[#This Row],[Round BMI]]&gt;=30,"Obese")</f>
        <v>Overweight</v>
      </c>
      <c r="D757" s="4" t="s">
        <v>11</v>
      </c>
      <c r="E757" s="4" t="str">
        <f>IF(Table13_1[[#This Row],[smoker]]="yes","smoker","non-smoker")</f>
        <v>non-smoker</v>
      </c>
      <c r="F757" s="4" t="s">
        <v>14</v>
      </c>
      <c r="G757" s="5">
        <v>31</v>
      </c>
      <c r="H757" s="5">
        <f>IF(Table13_1[[#This Row],[smoker]]="yes",1,0)</f>
        <v>0</v>
      </c>
      <c r="I757" s="4">
        <v>27.645</v>
      </c>
      <c r="J757" s="4">
        <v>2</v>
      </c>
      <c r="K757" s="12">
        <v>5031.2695999999996</v>
      </c>
      <c r="N757">
        <v>602</v>
      </c>
      <c r="O757">
        <v>11229.324624539158</v>
      </c>
      <c r="P757">
        <v>-2055.1890245391587</v>
      </c>
    </row>
    <row r="758" spans="1:16" x14ac:dyDescent="0.25">
      <c r="A758" s="4" t="s">
        <v>7</v>
      </c>
      <c r="B758" s="4">
        <f>ROUND(Table13_1[[#This Row],[bmi]],1)</f>
        <v>22.8</v>
      </c>
      <c r="C758" s="4" t="str" cm="1">
        <f t="array" ref="C758">_xlfn.IFS(Table13_1[[#This Row],[Round BMI]]&lt;18.5,"Underweight",AND(Table13_1[[#This Row],[Round BMI]]&gt;=18.5,Table13_1[[#This Row],[Round BMI]] &lt;=24.9),"Healthy Weight",AND(Table13_1[[#This Row],[Round BMI]]&gt;=25,Table13_1[[#This Row],[Round BMI]]&lt;=29.9),"Overweight",Table13_1[[#This Row],[Round BMI]]&gt;=30,"Obese")</f>
        <v>Healthy Weight</v>
      </c>
      <c r="D758" s="4" t="s">
        <v>11</v>
      </c>
      <c r="E758" s="4" t="str">
        <f>IF(Table13_1[[#This Row],[smoker]]="yes","smoker","non-smoker")</f>
        <v>non-smoker</v>
      </c>
      <c r="F758" s="4" t="s">
        <v>14</v>
      </c>
      <c r="G758" s="5">
        <v>39</v>
      </c>
      <c r="H758" s="5">
        <f>IF(Table13_1[[#This Row],[smoker]]="yes",1,0)</f>
        <v>0</v>
      </c>
      <c r="I758" s="4">
        <v>22.8</v>
      </c>
      <c r="J758" s="4">
        <v>3</v>
      </c>
      <c r="K758" s="12">
        <v>7985.8149999999996</v>
      </c>
      <c r="N758">
        <v>603</v>
      </c>
      <c r="O758">
        <v>10479.643524191859</v>
      </c>
      <c r="P758">
        <v>590.89147580814097</v>
      </c>
    </row>
    <row r="759" spans="1:16" x14ac:dyDescent="0.25">
      <c r="A759" s="4" t="s">
        <v>7</v>
      </c>
      <c r="B759" s="4">
        <f>ROUND(Table13_1[[#This Row],[bmi]],1)</f>
        <v>27.8</v>
      </c>
      <c r="C759" s="4" t="str" cm="1">
        <f t="array" ref="C759">_xlfn.IFS(Table13_1[[#This Row],[Round BMI]]&lt;18.5,"Underweight",AND(Table13_1[[#This Row],[Round BMI]]&gt;=18.5,Table13_1[[#This Row],[Round BMI]] &lt;=24.9),"Healthy Weight",AND(Table13_1[[#This Row],[Round BMI]]&gt;=25,Table13_1[[#This Row],[Round BMI]]&lt;=29.9),"Overweight",Table13_1[[#This Row],[Round BMI]]&gt;=30,"Obese")</f>
        <v>Overweight</v>
      </c>
      <c r="D759" s="4" t="s">
        <v>8</v>
      </c>
      <c r="E759" s="4" t="str">
        <f>IF(Table13_1[[#This Row],[smoker]]="yes","smoker","non-smoker")</f>
        <v>smoker</v>
      </c>
      <c r="F759" s="4" t="s">
        <v>12</v>
      </c>
      <c r="G759" s="5">
        <v>47</v>
      </c>
      <c r="H759" s="5">
        <f>IF(Table13_1[[#This Row],[smoker]]="yes",1,0)</f>
        <v>1</v>
      </c>
      <c r="I759" s="4">
        <v>27.83</v>
      </c>
      <c r="J759" s="4">
        <v>0</v>
      </c>
      <c r="K759" s="12">
        <v>23065.420699999999</v>
      </c>
      <c r="N759">
        <v>604</v>
      </c>
      <c r="O759">
        <v>18388.403318538847</v>
      </c>
      <c r="P759">
        <v>-2303.2758185388466</v>
      </c>
    </row>
    <row r="760" spans="1:16" x14ac:dyDescent="0.25">
      <c r="A760" s="4" t="s">
        <v>10</v>
      </c>
      <c r="B760" s="4">
        <f>ROUND(Table13_1[[#This Row],[bmi]],1)</f>
        <v>37.4</v>
      </c>
      <c r="C760" s="4" t="str" cm="1">
        <f t="array" ref="C760">_xlfn.IFS(Table13_1[[#This Row],[Round BMI]]&lt;18.5,"Underweight",AND(Table13_1[[#This Row],[Round BMI]]&gt;=18.5,Table13_1[[#This Row],[Round BMI]] &lt;=24.9),"Healthy Weight",AND(Table13_1[[#This Row],[Round BMI]]&gt;=25,Table13_1[[#This Row],[Round BMI]]&lt;=29.9),"Overweight",Table13_1[[#This Row],[Round BMI]]&gt;=30,"Obese")</f>
        <v>Obese</v>
      </c>
      <c r="D760" s="4" t="s">
        <v>11</v>
      </c>
      <c r="E760" s="4" t="str">
        <f>IF(Table13_1[[#This Row],[smoker]]="yes","smoker","non-smoker")</f>
        <v>non-smoker</v>
      </c>
      <c r="F760" s="4" t="s">
        <v>14</v>
      </c>
      <c r="G760" s="5">
        <v>30</v>
      </c>
      <c r="H760" s="5">
        <f>IF(Table13_1[[#This Row],[smoker]]="yes",1,0)</f>
        <v>0</v>
      </c>
      <c r="I760" s="4">
        <v>37.43</v>
      </c>
      <c r="J760" s="4">
        <v>3</v>
      </c>
      <c r="K760" s="12">
        <v>5428.7277000000004</v>
      </c>
      <c r="N760">
        <v>605</v>
      </c>
      <c r="O760">
        <v>25719.384321536258</v>
      </c>
      <c r="P760">
        <v>-8250.4004215362584</v>
      </c>
    </row>
    <row r="761" spans="1:16" x14ac:dyDescent="0.25">
      <c r="A761" s="4" t="s">
        <v>10</v>
      </c>
      <c r="B761" s="4">
        <f>ROUND(Table13_1[[#This Row],[bmi]],1)</f>
        <v>38.200000000000003</v>
      </c>
      <c r="C761" s="4" t="str" cm="1">
        <f t="array" ref="C761">_xlfn.IFS(Table13_1[[#This Row],[Round BMI]]&lt;18.5,"Underweight",AND(Table13_1[[#This Row],[Round BMI]]&gt;=18.5,Table13_1[[#This Row],[Round BMI]] &lt;=24.9),"Healthy Weight",AND(Table13_1[[#This Row],[Round BMI]]&gt;=25,Table13_1[[#This Row],[Round BMI]]&lt;=29.9),"Overweight",Table13_1[[#This Row],[Round BMI]]&gt;=30,"Obese")</f>
        <v>Obese</v>
      </c>
      <c r="D761" s="4" t="s">
        <v>8</v>
      </c>
      <c r="E761" s="4" t="str">
        <f>IF(Table13_1[[#This Row],[smoker]]="yes","smoker","non-smoker")</f>
        <v>smoker</v>
      </c>
      <c r="F761" s="4" t="s">
        <v>12</v>
      </c>
      <c r="G761" s="5">
        <v>18</v>
      </c>
      <c r="H761" s="5">
        <f>IF(Table13_1[[#This Row],[smoker]]="yes",1,0)</f>
        <v>1</v>
      </c>
      <c r="I761" s="4">
        <v>38.17</v>
      </c>
      <c r="J761" s="4">
        <v>0</v>
      </c>
      <c r="K761" s="12">
        <v>36307.798300000002</v>
      </c>
      <c r="N761">
        <v>606</v>
      </c>
      <c r="O761">
        <v>12022.688332542746</v>
      </c>
      <c r="P761">
        <v>-2739.1263325427462</v>
      </c>
    </row>
    <row r="762" spans="1:16" x14ac:dyDescent="0.25">
      <c r="A762" s="4" t="s">
        <v>7</v>
      </c>
      <c r="B762" s="4">
        <f>ROUND(Table13_1[[#This Row],[bmi]],1)</f>
        <v>34.6</v>
      </c>
      <c r="C762" s="4" t="str" cm="1">
        <f t="array" ref="C762">_xlfn.IFS(Table13_1[[#This Row],[Round BMI]]&lt;18.5,"Underweight",AND(Table13_1[[#This Row],[Round BMI]]&gt;=18.5,Table13_1[[#This Row],[Round BMI]] &lt;=24.9),"Healthy Weight",AND(Table13_1[[#This Row],[Round BMI]]&gt;=25,Table13_1[[#This Row],[Round BMI]]&lt;=29.9),"Overweight",Table13_1[[#This Row],[Round BMI]]&gt;=30,"Obese")</f>
        <v>Obese</v>
      </c>
      <c r="D762" s="4" t="s">
        <v>11</v>
      </c>
      <c r="E762" s="4" t="str">
        <f>IF(Table13_1[[#This Row],[smoker]]="yes","smoker","non-smoker")</f>
        <v>non-smoker</v>
      </c>
      <c r="F762" s="4" t="s">
        <v>14</v>
      </c>
      <c r="G762" s="5">
        <v>22</v>
      </c>
      <c r="H762" s="5">
        <f>IF(Table13_1[[#This Row],[smoker]]="yes",1,0)</f>
        <v>0</v>
      </c>
      <c r="I762" s="4">
        <v>34.58</v>
      </c>
      <c r="J762" s="4">
        <v>2</v>
      </c>
      <c r="K762" s="12">
        <v>3925.7582000000002</v>
      </c>
      <c r="N762">
        <v>607</v>
      </c>
      <c r="O762">
        <v>2961.7763862563825</v>
      </c>
      <c r="P762">
        <v>596.84381374361737</v>
      </c>
    </row>
    <row r="763" spans="1:16" x14ac:dyDescent="0.25">
      <c r="A763" s="4" t="s">
        <v>10</v>
      </c>
      <c r="B763" s="4">
        <f>ROUND(Table13_1[[#This Row],[bmi]],1)</f>
        <v>35.200000000000003</v>
      </c>
      <c r="C763" s="4" t="str" cm="1">
        <f t="array" ref="C763">_xlfn.IFS(Table13_1[[#This Row],[Round BMI]]&lt;18.5,"Underweight",AND(Table13_1[[#This Row],[Round BMI]]&gt;=18.5,Table13_1[[#This Row],[Round BMI]] &lt;=24.9),"Healthy Weight",AND(Table13_1[[#This Row],[Round BMI]]&gt;=25,Table13_1[[#This Row],[Round BMI]]&lt;=29.9),"Overweight",Table13_1[[#This Row],[Round BMI]]&gt;=30,"Obese")</f>
        <v>Obese</v>
      </c>
      <c r="D763" s="4" t="s">
        <v>11</v>
      </c>
      <c r="E763" s="4" t="str">
        <f>IF(Table13_1[[#This Row],[smoker]]="yes","smoker","non-smoker")</f>
        <v>non-smoker</v>
      </c>
      <c r="F763" s="4" t="s">
        <v>9</v>
      </c>
      <c r="G763" s="5">
        <v>23</v>
      </c>
      <c r="H763" s="5">
        <f>IF(Table13_1[[#This Row],[smoker]]="yes",1,0)</f>
        <v>0</v>
      </c>
      <c r="I763" s="4">
        <v>35.200000000000003</v>
      </c>
      <c r="J763" s="4">
        <v>1</v>
      </c>
      <c r="K763" s="12">
        <v>2416.9549999999999</v>
      </c>
      <c r="N763">
        <v>608</v>
      </c>
      <c r="O763">
        <v>34535.146334524652</v>
      </c>
      <c r="P763">
        <v>-8856.3679345246528</v>
      </c>
    </row>
    <row r="764" spans="1:16" x14ac:dyDescent="0.25">
      <c r="A764" s="4" t="s">
        <v>10</v>
      </c>
      <c r="B764" s="4">
        <f>ROUND(Table13_1[[#This Row],[bmi]],1)</f>
        <v>27.1</v>
      </c>
      <c r="C764" s="4" t="str" cm="1">
        <f t="array" ref="C764">_xlfn.IFS(Table13_1[[#This Row],[Round BMI]]&lt;18.5,"Underweight",AND(Table13_1[[#This Row],[Round BMI]]&gt;=18.5,Table13_1[[#This Row],[Round BMI]] &lt;=24.9),"Healthy Weight",AND(Table13_1[[#This Row],[Round BMI]]&gt;=25,Table13_1[[#This Row],[Round BMI]]&lt;=29.9),"Overweight",Table13_1[[#This Row],[Round BMI]]&gt;=30,"Obese")</f>
        <v>Overweight</v>
      </c>
      <c r="D764" s="4" t="s">
        <v>8</v>
      </c>
      <c r="E764" s="4" t="str">
        <f>IF(Table13_1[[#This Row],[smoker]]="yes","smoker","non-smoker")</f>
        <v>smoker</v>
      </c>
      <c r="F764" s="4" t="s">
        <v>9</v>
      </c>
      <c r="G764" s="5">
        <v>33</v>
      </c>
      <c r="H764" s="5">
        <f>IF(Table13_1[[#This Row],[smoker]]="yes",1,0)</f>
        <v>1</v>
      </c>
      <c r="I764" s="4">
        <v>27.1</v>
      </c>
      <c r="J764" s="4">
        <v>1</v>
      </c>
      <c r="K764" s="12">
        <v>19040.876</v>
      </c>
      <c r="N764">
        <v>609</v>
      </c>
      <c r="O764">
        <v>4747.5723068067746</v>
      </c>
      <c r="P764">
        <v>-312.47810680677503</v>
      </c>
    </row>
    <row r="765" spans="1:16" x14ac:dyDescent="0.25">
      <c r="A765" s="4" t="s">
        <v>10</v>
      </c>
      <c r="B765" s="4">
        <f>ROUND(Table13_1[[#This Row],[bmi]],1)</f>
        <v>26</v>
      </c>
      <c r="C765" s="4" t="str" cm="1">
        <f t="array" ref="C765">_xlfn.IFS(Table13_1[[#This Row],[Round BMI]]&lt;18.5,"Underweight",AND(Table13_1[[#This Row],[Round BMI]]&gt;=18.5,Table13_1[[#This Row],[Round BMI]] &lt;=24.9),"Healthy Weight",AND(Table13_1[[#This Row],[Round BMI]]&gt;=25,Table13_1[[#This Row],[Round BMI]]&lt;=29.9),"Overweight",Table13_1[[#This Row],[Round BMI]]&gt;=30,"Obese")</f>
        <v>Overweight</v>
      </c>
      <c r="D765" s="4" t="s">
        <v>11</v>
      </c>
      <c r="E765" s="4" t="str">
        <f>IF(Table13_1[[#This Row],[smoker]]="yes","smoker","non-smoker")</f>
        <v>non-smoker</v>
      </c>
      <c r="F765" s="4" t="s">
        <v>14</v>
      </c>
      <c r="G765" s="5">
        <v>27</v>
      </c>
      <c r="H765" s="5">
        <f>IF(Table13_1[[#This Row],[smoker]]="yes",1,0)</f>
        <v>0</v>
      </c>
      <c r="I765" s="4">
        <v>26.03</v>
      </c>
      <c r="J765" s="4">
        <v>0</v>
      </c>
      <c r="K765" s="12">
        <v>3070.8087</v>
      </c>
      <c r="N765">
        <v>610</v>
      </c>
      <c r="O765">
        <v>32557.103346224929</v>
      </c>
      <c r="P765">
        <v>6684.3386537750739</v>
      </c>
    </row>
    <row r="766" spans="1:16" x14ac:dyDescent="0.25">
      <c r="A766" s="4" t="s">
        <v>7</v>
      </c>
      <c r="B766" s="4">
        <f>ROUND(Table13_1[[#This Row],[bmi]],1)</f>
        <v>25.2</v>
      </c>
      <c r="C766" s="4" t="str" cm="1">
        <f t="array" ref="C766">_xlfn.IFS(Table13_1[[#This Row],[Round BMI]]&lt;18.5,"Underweight",AND(Table13_1[[#This Row],[Round BMI]]&gt;=18.5,Table13_1[[#This Row],[Round BMI]] &lt;=24.9),"Healthy Weight",AND(Table13_1[[#This Row],[Round BMI]]&gt;=25,Table13_1[[#This Row],[Round BMI]]&lt;=29.9),"Overweight",Table13_1[[#This Row],[Round BMI]]&gt;=30,"Obese")</f>
        <v>Overweight</v>
      </c>
      <c r="D766" s="4" t="s">
        <v>11</v>
      </c>
      <c r="E766" s="4" t="str">
        <f>IF(Table13_1[[#This Row],[smoker]]="yes","smoker","non-smoker")</f>
        <v>non-smoker</v>
      </c>
      <c r="F766" s="4" t="s">
        <v>14</v>
      </c>
      <c r="G766" s="5">
        <v>45</v>
      </c>
      <c r="H766" s="5">
        <f>IF(Table13_1[[#This Row],[smoker]]="yes",1,0)</f>
        <v>0</v>
      </c>
      <c r="I766" s="4">
        <v>25.175000000000001</v>
      </c>
      <c r="J766" s="4">
        <v>2</v>
      </c>
      <c r="K766" s="12">
        <v>9095.0681999999997</v>
      </c>
      <c r="N766">
        <v>611</v>
      </c>
      <c r="O766">
        <v>9942.4354833282123</v>
      </c>
      <c r="P766">
        <v>-1394.7441833282119</v>
      </c>
    </row>
    <row r="767" spans="1:16" x14ac:dyDescent="0.25">
      <c r="A767" s="4" t="s">
        <v>7</v>
      </c>
      <c r="B767" s="4">
        <f>ROUND(Table13_1[[#This Row],[bmi]],1)</f>
        <v>31.8</v>
      </c>
      <c r="C767" s="4" t="str" cm="1">
        <f t="array" ref="C767">_xlfn.IFS(Table13_1[[#This Row],[Round BMI]]&lt;18.5,"Underweight",AND(Table13_1[[#This Row],[Round BMI]]&gt;=18.5,Table13_1[[#This Row],[Round BMI]] &lt;=24.9),"Healthy Weight",AND(Table13_1[[#This Row],[Round BMI]]&gt;=25,Table13_1[[#This Row],[Round BMI]]&lt;=29.9),"Overweight",Table13_1[[#This Row],[Round BMI]]&gt;=30,"Obese")</f>
        <v>Obese</v>
      </c>
      <c r="D767" s="4" t="s">
        <v>11</v>
      </c>
      <c r="E767" s="4" t="str">
        <f>IF(Table13_1[[#This Row],[smoker]]="yes","smoker","non-smoker")</f>
        <v>non-smoker</v>
      </c>
      <c r="F767" s="4" t="s">
        <v>13</v>
      </c>
      <c r="G767" s="5">
        <v>57</v>
      </c>
      <c r="H767" s="5">
        <f>IF(Table13_1[[#This Row],[smoker]]="yes",1,0)</f>
        <v>0</v>
      </c>
      <c r="I767" s="4">
        <v>31.824999999999999</v>
      </c>
      <c r="J767" s="4">
        <v>0</v>
      </c>
      <c r="K767" s="12">
        <v>11842.623799999999</v>
      </c>
      <c r="N767">
        <v>612</v>
      </c>
      <c r="O767">
        <v>9842.9453503286131</v>
      </c>
      <c r="P767">
        <v>-3271.4013503286133</v>
      </c>
    </row>
    <row r="768" spans="1:16" x14ac:dyDescent="0.25">
      <c r="A768" s="4" t="s">
        <v>10</v>
      </c>
      <c r="B768" s="4">
        <f>ROUND(Table13_1[[#This Row],[bmi]],1)</f>
        <v>32.299999999999997</v>
      </c>
      <c r="C768" s="4" t="str" cm="1">
        <f t="array" ref="C768">_xlfn.IFS(Table13_1[[#This Row],[Round BMI]]&lt;18.5,"Underweight",AND(Table13_1[[#This Row],[Round BMI]]&gt;=18.5,Table13_1[[#This Row],[Round BMI]] &lt;=24.9),"Healthy Weight",AND(Table13_1[[#This Row],[Round BMI]]&gt;=25,Table13_1[[#This Row],[Round BMI]]&lt;=29.9),"Overweight",Table13_1[[#This Row],[Round BMI]]&gt;=30,"Obese")</f>
        <v>Obese</v>
      </c>
      <c r="D768" s="4" t="s">
        <v>11</v>
      </c>
      <c r="E768" s="4" t="str">
        <f>IF(Table13_1[[#This Row],[smoker]]="yes","smoker","non-smoker")</f>
        <v>non-smoker</v>
      </c>
      <c r="F768" s="4" t="s">
        <v>9</v>
      </c>
      <c r="G768" s="5">
        <v>47</v>
      </c>
      <c r="H768" s="5">
        <f>IF(Table13_1[[#This Row],[smoker]]="yes",1,0)</f>
        <v>0</v>
      </c>
      <c r="I768" s="4">
        <v>32.299999999999997</v>
      </c>
      <c r="J768" s="4">
        <v>1</v>
      </c>
      <c r="K768" s="12">
        <v>8062.7640000000001</v>
      </c>
      <c r="N768">
        <v>613</v>
      </c>
      <c r="O768">
        <v>3209.5050149560557</v>
      </c>
      <c r="P768">
        <v>-1001.8076149560557</v>
      </c>
    </row>
    <row r="769" spans="1:16" x14ac:dyDescent="0.25">
      <c r="A769" s="4" t="s">
        <v>7</v>
      </c>
      <c r="B769" s="4">
        <f>ROUND(Table13_1[[#This Row],[bmi]],1)</f>
        <v>29</v>
      </c>
      <c r="C769" s="4" t="str" cm="1">
        <f t="array" ref="C769">_xlfn.IFS(Table13_1[[#This Row],[Round BMI]]&lt;18.5,"Underweight",AND(Table13_1[[#This Row],[Round BMI]]&gt;=18.5,Table13_1[[#This Row],[Round BMI]] &lt;=24.9),"Healthy Weight",AND(Table13_1[[#This Row],[Round BMI]]&gt;=25,Table13_1[[#This Row],[Round BMI]]&lt;=29.9),"Overweight",Table13_1[[#This Row],[Round BMI]]&gt;=30,"Obese")</f>
        <v>Overweight</v>
      </c>
      <c r="D769" s="4" t="s">
        <v>11</v>
      </c>
      <c r="E769" s="4" t="str">
        <f>IF(Table13_1[[#This Row],[smoker]]="yes","smoker","non-smoker")</f>
        <v>non-smoker</v>
      </c>
      <c r="F769" s="4" t="s">
        <v>9</v>
      </c>
      <c r="G769" s="5">
        <v>42</v>
      </c>
      <c r="H769" s="5">
        <f>IF(Table13_1[[#This Row],[smoker]]="yes",1,0)</f>
        <v>0</v>
      </c>
      <c r="I769" s="4">
        <v>29</v>
      </c>
      <c r="J769" s="4">
        <v>1</v>
      </c>
      <c r="K769" s="12">
        <v>7050.6419999999998</v>
      </c>
      <c r="N769">
        <v>614</v>
      </c>
      <c r="O769">
        <v>4199.7974716618564</v>
      </c>
      <c r="P769">
        <v>2553.2405283381431</v>
      </c>
    </row>
    <row r="770" spans="1:16" x14ac:dyDescent="0.25">
      <c r="A770" s="4" t="s">
        <v>7</v>
      </c>
      <c r="B770" s="4">
        <f>ROUND(Table13_1[[#This Row],[bmi]],1)</f>
        <v>39.700000000000003</v>
      </c>
      <c r="C770" s="4" t="str" cm="1">
        <f t="array" ref="C770">_xlfn.IFS(Table13_1[[#This Row],[Round BMI]]&lt;18.5,"Underweight",AND(Table13_1[[#This Row],[Round BMI]]&gt;=18.5,Table13_1[[#This Row],[Round BMI]] &lt;=24.9),"Healthy Weight",AND(Table13_1[[#This Row],[Round BMI]]&gt;=25,Table13_1[[#This Row],[Round BMI]]&lt;=29.9),"Overweight",Table13_1[[#This Row],[Round BMI]]&gt;=30,"Obese")</f>
        <v>Obese</v>
      </c>
      <c r="D770" s="4" t="s">
        <v>11</v>
      </c>
      <c r="E770" s="4" t="str">
        <f>IF(Table13_1[[#This Row],[smoker]]="yes","smoker","non-smoker")</f>
        <v>non-smoker</v>
      </c>
      <c r="F770" s="4" t="s">
        <v>9</v>
      </c>
      <c r="G770" s="5">
        <v>64</v>
      </c>
      <c r="H770" s="5">
        <f>IF(Table13_1[[#This Row],[smoker]]="yes",1,0)</f>
        <v>0</v>
      </c>
      <c r="I770" s="4">
        <v>39.700000000000003</v>
      </c>
      <c r="J770" s="4">
        <v>0</v>
      </c>
      <c r="K770" s="12">
        <v>14319.031000000001</v>
      </c>
      <c r="N770">
        <v>615</v>
      </c>
      <c r="O770">
        <v>3675.3170621763784</v>
      </c>
      <c r="P770">
        <v>-1795.2470621763784</v>
      </c>
    </row>
    <row r="771" spans="1:16" x14ac:dyDescent="0.25">
      <c r="A771" s="4" t="s">
        <v>7</v>
      </c>
      <c r="B771" s="4">
        <f>ROUND(Table13_1[[#This Row],[bmi]],1)</f>
        <v>19.5</v>
      </c>
      <c r="C771" s="4" t="str" cm="1">
        <f t="array" ref="C771">_xlfn.IFS(Table13_1[[#This Row],[Round BMI]]&lt;18.5,"Underweight",AND(Table13_1[[#This Row],[Round BMI]]&gt;=18.5,Table13_1[[#This Row],[Round BMI]] &lt;=24.9),"Healthy Weight",AND(Table13_1[[#This Row],[Round BMI]]&gt;=25,Table13_1[[#This Row],[Round BMI]]&lt;=29.9),"Overweight",Table13_1[[#This Row],[Round BMI]]&gt;=30,"Obese")</f>
        <v>Healthy Weight</v>
      </c>
      <c r="D771" s="4" t="s">
        <v>11</v>
      </c>
      <c r="E771" s="4" t="str">
        <f>IF(Table13_1[[#This Row],[smoker]]="yes","smoker","non-smoker")</f>
        <v>non-smoker</v>
      </c>
      <c r="F771" s="4" t="s">
        <v>13</v>
      </c>
      <c r="G771" s="5">
        <v>38</v>
      </c>
      <c r="H771" s="5">
        <f>IF(Table13_1[[#This Row],[smoker]]="yes",1,0)</f>
        <v>0</v>
      </c>
      <c r="I771" s="4">
        <v>19.475000000000001</v>
      </c>
      <c r="J771" s="4">
        <v>2</v>
      </c>
      <c r="K771" s="12">
        <v>6933.2421999999997</v>
      </c>
      <c r="N771">
        <v>616</v>
      </c>
      <c r="O771">
        <v>36090.476513970942</v>
      </c>
      <c r="P771">
        <v>6879.3761860290615</v>
      </c>
    </row>
    <row r="772" spans="1:16" x14ac:dyDescent="0.25">
      <c r="A772" s="4" t="s">
        <v>10</v>
      </c>
      <c r="B772" s="4">
        <f>ROUND(Table13_1[[#This Row],[bmi]],1)</f>
        <v>36.1</v>
      </c>
      <c r="C772" s="4" t="str" cm="1">
        <f t="array" ref="C772">_xlfn.IFS(Table13_1[[#This Row],[Round BMI]]&lt;18.5,"Underweight",AND(Table13_1[[#This Row],[Round BMI]]&gt;=18.5,Table13_1[[#This Row],[Round BMI]] &lt;=24.9),"Healthy Weight",AND(Table13_1[[#This Row],[Round BMI]]&gt;=25,Table13_1[[#This Row],[Round BMI]]&lt;=29.9),"Overweight",Table13_1[[#This Row],[Round BMI]]&gt;=30,"Obese")</f>
        <v>Obese</v>
      </c>
      <c r="D772" s="4" t="s">
        <v>11</v>
      </c>
      <c r="E772" s="4" t="str">
        <f>IF(Table13_1[[#This Row],[smoker]]="yes","smoker","non-smoker")</f>
        <v>non-smoker</v>
      </c>
      <c r="F772" s="4" t="s">
        <v>9</v>
      </c>
      <c r="G772" s="5">
        <v>61</v>
      </c>
      <c r="H772" s="5">
        <f>IF(Table13_1[[#This Row],[smoker]]="yes",1,0)</f>
        <v>0</v>
      </c>
      <c r="I772" s="4">
        <v>36.1</v>
      </c>
      <c r="J772" s="4">
        <v>3</v>
      </c>
      <c r="K772" s="12">
        <v>27941.2876</v>
      </c>
      <c r="N772">
        <v>617</v>
      </c>
      <c r="O772">
        <v>11540.143896553653</v>
      </c>
      <c r="P772">
        <v>117.97110344634712</v>
      </c>
    </row>
    <row r="773" spans="1:16" x14ac:dyDescent="0.25">
      <c r="A773" s="4" t="s">
        <v>7</v>
      </c>
      <c r="B773" s="4">
        <f>ROUND(Table13_1[[#This Row],[bmi]],1)</f>
        <v>26.7</v>
      </c>
      <c r="C773" s="4" t="str" cm="1">
        <f t="array" ref="C773">_xlfn.IFS(Table13_1[[#This Row],[Round BMI]]&lt;18.5,"Underweight",AND(Table13_1[[#This Row],[Round BMI]]&gt;=18.5,Table13_1[[#This Row],[Round BMI]] &lt;=24.9),"Healthy Weight",AND(Table13_1[[#This Row],[Round BMI]]&gt;=25,Table13_1[[#This Row],[Round BMI]]&lt;=29.9),"Overweight",Table13_1[[#This Row],[Round BMI]]&gt;=30,"Obese")</f>
        <v>Overweight</v>
      </c>
      <c r="D773" s="4" t="s">
        <v>11</v>
      </c>
      <c r="E773" s="4" t="str">
        <f>IF(Table13_1[[#This Row],[smoker]]="yes","smoker","non-smoker")</f>
        <v>non-smoker</v>
      </c>
      <c r="F773" s="4" t="s">
        <v>9</v>
      </c>
      <c r="G773" s="5">
        <v>53</v>
      </c>
      <c r="H773" s="5">
        <f>IF(Table13_1[[#This Row],[smoker]]="yes",1,0)</f>
        <v>0</v>
      </c>
      <c r="I773" s="4">
        <v>26.7</v>
      </c>
      <c r="J773" s="4">
        <v>2</v>
      </c>
      <c r="K773" s="12">
        <v>11150.78</v>
      </c>
      <c r="N773">
        <v>618</v>
      </c>
      <c r="O773">
        <v>33529.656870838895</v>
      </c>
      <c r="P773">
        <v>-10223.109870838896</v>
      </c>
    </row>
    <row r="774" spans="1:16" x14ac:dyDescent="0.25">
      <c r="A774" s="4" t="s">
        <v>7</v>
      </c>
      <c r="B774" s="4">
        <f>ROUND(Table13_1[[#This Row],[bmi]],1)</f>
        <v>36.5</v>
      </c>
      <c r="C774" s="4" t="str" cm="1">
        <f t="array" ref="C774">_xlfn.IFS(Table13_1[[#This Row],[Round BMI]]&lt;18.5,"Underweight",AND(Table13_1[[#This Row],[Round BMI]]&gt;=18.5,Table13_1[[#This Row],[Round BMI]] &lt;=24.9),"Healthy Weight",AND(Table13_1[[#This Row],[Round BMI]]&gt;=25,Table13_1[[#This Row],[Round BMI]]&lt;=29.9),"Overweight",Table13_1[[#This Row],[Round BMI]]&gt;=30,"Obese")</f>
        <v>Obese</v>
      </c>
      <c r="D774" s="4" t="s">
        <v>11</v>
      </c>
      <c r="E774" s="4" t="str">
        <f>IF(Table13_1[[#This Row],[smoker]]="yes","smoker","non-smoker")</f>
        <v>non-smoker</v>
      </c>
      <c r="F774" s="4" t="s">
        <v>14</v>
      </c>
      <c r="G774" s="5">
        <v>44</v>
      </c>
      <c r="H774" s="5">
        <f>IF(Table13_1[[#This Row],[smoker]]="yes",1,0)</f>
        <v>0</v>
      </c>
      <c r="I774" s="4">
        <v>36.479999999999997</v>
      </c>
      <c r="J774" s="4">
        <v>0</v>
      </c>
      <c r="K774" s="12">
        <v>12797.2096</v>
      </c>
      <c r="N774">
        <v>619</v>
      </c>
      <c r="O774">
        <v>27264.271055174078</v>
      </c>
      <c r="P774">
        <v>7175.5848448259239</v>
      </c>
    </row>
    <row r="775" spans="1:16" x14ac:dyDescent="0.25">
      <c r="A775" s="4" t="s">
        <v>7</v>
      </c>
      <c r="B775" s="4">
        <f>ROUND(Table13_1[[#This Row],[bmi]],1)</f>
        <v>28.9</v>
      </c>
      <c r="C775" s="4" t="str" cm="1">
        <f t="array" ref="C775">_xlfn.IFS(Table13_1[[#This Row],[Round BMI]]&lt;18.5,"Underweight",AND(Table13_1[[#This Row],[Round BMI]]&gt;=18.5,Table13_1[[#This Row],[Round BMI]] &lt;=24.9),"Healthy Weight",AND(Table13_1[[#This Row],[Round BMI]]&gt;=25,Table13_1[[#This Row],[Round BMI]]&lt;=29.9),"Overweight",Table13_1[[#This Row],[Round BMI]]&gt;=30,"Obese")</f>
        <v>Overweight</v>
      </c>
      <c r="D775" s="4" t="s">
        <v>8</v>
      </c>
      <c r="E775" s="4" t="str">
        <f>IF(Table13_1[[#This Row],[smoker]]="yes","smoker","non-smoker")</f>
        <v>smoker</v>
      </c>
      <c r="F775" s="4" t="s">
        <v>13</v>
      </c>
      <c r="G775" s="5">
        <v>19</v>
      </c>
      <c r="H775" s="5">
        <f>IF(Table13_1[[#This Row],[smoker]]="yes",1,0)</f>
        <v>1</v>
      </c>
      <c r="I775" s="4">
        <v>28.88</v>
      </c>
      <c r="J775" s="4">
        <v>0</v>
      </c>
      <c r="K775" s="12">
        <v>17748.5062</v>
      </c>
      <c r="N775">
        <v>620</v>
      </c>
      <c r="O775">
        <v>14019.64057038781</v>
      </c>
      <c r="P775">
        <v>-3305.9965703878097</v>
      </c>
    </row>
    <row r="776" spans="1:16" x14ac:dyDescent="0.25">
      <c r="A776" s="4" t="s">
        <v>10</v>
      </c>
      <c r="B776" s="4">
        <f>ROUND(Table13_1[[#This Row],[bmi]],1)</f>
        <v>34.200000000000003</v>
      </c>
      <c r="C776" s="4" t="str" cm="1">
        <f t="array" ref="C776">_xlfn.IFS(Table13_1[[#This Row],[Round BMI]]&lt;18.5,"Underweight",AND(Table13_1[[#This Row],[Round BMI]]&gt;=18.5,Table13_1[[#This Row],[Round BMI]] &lt;=24.9),"Healthy Weight",AND(Table13_1[[#This Row],[Round BMI]]&gt;=25,Table13_1[[#This Row],[Round BMI]]&lt;=29.9),"Overweight",Table13_1[[#This Row],[Round BMI]]&gt;=30,"Obese")</f>
        <v>Obese</v>
      </c>
      <c r="D776" s="4" t="s">
        <v>11</v>
      </c>
      <c r="E776" s="4" t="str">
        <f>IF(Table13_1[[#This Row],[smoker]]="yes","smoker","non-smoker")</f>
        <v>non-smoker</v>
      </c>
      <c r="F776" s="4" t="s">
        <v>13</v>
      </c>
      <c r="G776" s="5">
        <v>41</v>
      </c>
      <c r="H776" s="5">
        <f>IF(Table13_1[[#This Row],[smoker]]="yes",1,0)</f>
        <v>0</v>
      </c>
      <c r="I776" s="4">
        <v>34.200000000000003</v>
      </c>
      <c r="J776" s="4">
        <v>2</v>
      </c>
      <c r="K776" s="12">
        <v>7261.741</v>
      </c>
      <c r="N776">
        <v>621</v>
      </c>
      <c r="O776">
        <v>6212.3522064798217</v>
      </c>
      <c r="P776">
        <v>-2553.0062064798217</v>
      </c>
    </row>
    <row r="777" spans="1:16" x14ac:dyDescent="0.25">
      <c r="A777" s="4" t="s">
        <v>10</v>
      </c>
      <c r="B777" s="4">
        <f>ROUND(Table13_1[[#This Row],[bmi]],1)</f>
        <v>33.299999999999997</v>
      </c>
      <c r="C777" s="4" t="str" cm="1">
        <f t="array" ref="C777">_xlfn.IFS(Table13_1[[#This Row],[Round BMI]]&lt;18.5,"Underweight",AND(Table13_1[[#This Row],[Round BMI]]&gt;=18.5,Table13_1[[#This Row],[Round BMI]] &lt;=24.9),"Healthy Weight",AND(Table13_1[[#This Row],[Round BMI]]&gt;=25,Table13_1[[#This Row],[Round BMI]]&lt;=29.9),"Overweight",Table13_1[[#This Row],[Round BMI]]&gt;=30,"Obese")</f>
        <v>Obese</v>
      </c>
      <c r="D777" s="4" t="s">
        <v>11</v>
      </c>
      <c r="E777" s="4" t="str">
        <f>IF(Table13_1[[#This Row],[smoker]]="yes","smoker","non-smoker")</f>
        <v>non-smoker</v>
      </c>
      <c r="F777" s="4" t="s">
        <v>12</v>
      </c>
      <c r="G777" s="5">
        <v>51</v>
      </c>
      <c r="H777" s="5">
        <f>IF(Table13_1[[#This Row],[smoker]]="yes",1,0)</f>
        <v>0</v>
      </c>
      <c r="I777" s="4">
        <v>33.33</v>
      </c>
      <c r="J777" s="4">
        <v>3</v>
      </c>
      <c r="K777" s="12">
        <v>10560.4917</v>
      </c>
      <c r="N777">
        <v>622</v>
      </c>
      <c r="O777">
        <v>34118.204338116579</v>
      </c>
      <c r="P777">
        <v>6064.0416618834206</v>
      </c>
    </row>
    <row r="778" spans="1:16" x14ac:dyDescent="0.25">
      <c r="A778" s="4" t="s">
        <v>10</v>
      </c>
      <c r="B778" s="4">
        <f>ROUND(Table13_1[[#This Row],[bmi]],1)</f>
        <v>32.299999999999997</v>
      </c>
      <c r="C778" s="4" t="str" cm="1">
        <f t="array" ref="C778">_xlfn.IFS(Table13_1[[#This Row],[Round BMI]]&lt;18.5,"Underweight",AND(Table13_1[[#This Row],[Round BMI]]&gt;=18.5,Table13_1[[#This Row],[Round BMI]] &lt;=24.9),"Healthy Weight",AND(Table13_1[[#This Row],[Round BMI]]&gt;=25,Table13_1[[#This Row],[Round BMI]]&lt;=29.9),"Overweight",Table13_1[[#This Row],[Round BMI]]&gt;=30,"Obese")</f>
        <v>Obese</v>
      </c>
      <c r="D778" s="4" t="s">
        <v>11</v>
      </c>
      <c r="E778" s="4" t="str">
        <f>IF(Table13_1[[#This Row],[smoker]]="yes","smoker","non-smoker")</f>
        <v>non-smoker</v>
      </c>
      <c r="F778" s="4" t="s">
        <v>13</v>
      </c>
      <c r="G778" s="5">
        <v>40</v>
      </c>
      <c r="H778" s="5">
        <f>IF(Table13_1[[#This Row],[smoker]]="yes",1,0)</f>
        <v>0</v>
      </c>
      <c r="I778" s="4">
        <v>32.299999999999997</v>
      </c>
      <c r="J778" s="4">
        <v>2</v>
      </c>
      <c r="K778" s="12">
        <v>6986.6970000000001</v>
      </c>
      <c r="N778">
        <v>623</v>
      </c>
      <c r="O778">
        <v>7860.7936770603383</v>
      </c>
      <c r="P778">
        <v>1321.3763229396618</v>
      </c>
    </row>
    <row r="779" spans="1:16" x14ac:dyDescent="0.25">
      <c r="A779" s="4" t="s">
        <v>10</v>
      </c>
      <c r="B779" s="4">
        <f>ROUND(Table13_1[[#This Row],[bmi]],1)</f>
        <v>39.799999999999997</v>
      </c>
      <c r="C779" s="4" t="str" cm="1">
        <f t="array" ref="C779">_xlfn.IFS(Table13_1[[#This Row],[Round BMI]]&lt;18.5,"Underweight",AND(Table13_1[[#This Row],[Round BMI]]&gt;=18.5,Table13_1[[#This Row],[Round BMI]] &lt;=24.9),"Healthy Weight",AND(Table13_1[[#This Row],[Round BMI]]&gt;=25,Table13_1[[#This Row],[Round BMI]]&lt;=29.9),"Overweight",Table13_1[[#This Row],[Round BMI]]&gt;=30,"Obese")</f>
        <v>Obese</v>
      </c>
      <c r="D779" s="4" t="s">
        <v>11</v>
      </c>
      <c r="E779" s="4" t="str">
        <f>IF(Table13_1[[#This Row],[smoker]]="yes","smoker","non-smoker")</f>
        <v>non-smoker</v>
      </c>
      <c r="F779" s="4" t="s">
        <v>14</v>
      </c>
      <c r="G779" s="5">
        <v>45</v>
      </c>
      <c r="H779" s="5">
        <f>IF(Table13_1[[#This Row],[smoker]]="yes",1,0)</f>
        <v>0</v>
      </c>
      <c r="I779" s="4">
        <v>39.805</v>
      </c>
      <c r="J779" s="4">
        <v>0</v>
      </c>
      <c r="K779" s="12">
        <v>7448.4040000000005</v>
      </c>
      <c r="N779">
        <v>624</v>
      </c>
      <c r="O779">
        <v>27143.208394051238</v>
      </c>
      <c r="P779">
        <v>7474.6322059487647</v>
      </c>
    </row>
    <row r="780" spans="1:16" x14ac:dyDescent="0.25">
      <c r="A780" s="4" t="s">
        <v>10</v>
      </c>
      <c r="B780" s="4">
        <f>ROUND(Table13_1[[#This Row],[bmi]],1)</f>
        <v>34.299999999999997</v>
      </c>
      <c r="C780" s="4" t="str" cm="1">
        <f t="array" ref="C780">_xlfn.IFS(Table13_1[[#This Row],[Round BMI]]&lt;18.5,"Underweight",AND(Table13_1[[#This Row],[Round BMI]]&gt;=18.5,Table13_1[[#This Row],[Round BMI]] &lt;=24.9),"Healthy Weight",AND(Table13_1[[#This Row],[Round BMI]]&gt;=25,Table13_1[[#This Row],[Round BMI]]&lt;=29.9),"Overweight",Table13_1[[#This Row],[Round BMI]]&gt;=30,"Obese")</f>
        <v>Obese</v>
      </c>
      <c r="D780" s="4" t="s">
        <v>11</v>
      </c>
      <c r="E780" s="4" t="str">
        <f>IF(Table13_1[[#This Row],[smoker]]="yes","smoker","non-smoker")</f>
        <v>non-smoker</v>
      </c>
      <c r="F780" s="4" t="s">
        <v>12</v>
      </c>
      <c r="G780" s="5">
        <v>35</v>
      </c>
      <c r="H780" s="5">
        <f>IF(Table13_1[[#This Row],[smoker]]="yes",1,0)</f>
        <v>0</v>
      </c>
      <c r="I780" s="4">
        <v>34.32</v>
      </c>
      <c r="J780" s="4">
        <v>3</v>
      </c>
      <c r="K780" s="12">
        <v>5934.3797999999997</v>
      </c>
      <c r="N780">
        <v>625</v>
      </c>
      <c r="O780">
        <v>12374.84418508455</v>
      </c>
      <c r="P780">
        <v>-245.22998508455021</v>
      </c>
    </row>
    <row r="781" spans="1:16" x14ac:dyDescent="0.25">
      <c r="A781" s="4" t="s">
        <v>10</v>
      </c>
      <c r="B781" s="4">
        <f>ROUND(Table13_1[[#This Row],[bmi]],1)</f>
        <v>28.9</v>
      </c>
      <c r="C781" s="4" t="str" cm="1">
        <f t="array" ref="C781">_xlfn.IFS(Table13_1[[#This Row],[Round BMI]]&lt;18.5,"Underweight",AND(Table13_1[[#This Row],[Round BMI]]&gt;=18.5,Table13_1[[#This Row],[Round BMI]] &lt;=24.9),"Healthy Weight",AND(Table13_1[[#This Row],[Round BMI]]&gt;=25,Table13_1[[#This Row],[Round BMI]]&lt;=29.9),"Overweight",Table13_1[[#This Row],[Round BMI]]&gt;=30,"Obese")</f>
        <v>Overweight</v>
      </c>
      <c r="D781" s="4" t="s">
        <v>11</v>
      </c>
      <c r="E781" s="4" t="str">
        <f>IF(Table13_1[[#This Row],[smoker]]="yes","smoker","non-smoker")</f>
        <v>non-smoker</v>
      </c>
      <c r="F781" s="4" t="s">
        <v>13</v>
      </c>
      <c r="G781" s="5">
        <v>53</v>
      </c>
      <c r="H781" s="5">
        <f>IF(Table13_1[[#This Row],[smoker]]="yes",1,0)</f>
        <v>0</v>
      </c>
      <c r="I781" s="4">
        <v>28.88</v>
      </c>
      <c r="J781" s="4">
        <v>0</v>
      </c>
      <c r="K781" s="12">
        <v>9869.8101999999999</v>
      </c>
      <c r="N781">
        <v>626</v>
      </c>
      <c r="O781">
        <v>3752.6583503463316</v>
      </c>
      <c r="P781">
        <v>-16.193650346331651</v>
      </c>
    </row>
    <row r="782" spans="1:16" x14ac:dyDescent="0.25">
      <c r="A782" s="4" t="s">
        <v>10</v>
      </c>
      <c r="B782" s="4">
        <f>ROUND(Table13_1[[#This Row],[bmi]],1)</f>
        <v>24.4</v>
      </c>
      <c r="C782" s="4" t="str" cm="1">
        <f t="array" ref="C782">_xlfn.IFS(Table13_1[[#This Row],[Round BMI]]&lt;18.5,"Underweight",AND(Table13_1[[#This Row],[Round BMI]]&gt;=18.5,Table13_1[[#This Row],[Round BMI]] &lt;=24.9),"Healthy Weight",AND(Table13_1[[#This Row],[Round BMI]]&gt;=25,Table13_1[[#This Row],[Round BMI]]&lt;=29.9),"Overweight",Table13_1[[#This Row],[Round BMI]]&gt;=30,"Obese")</f>
        <v>Healthy Weight</v>
      </c>
      <c r="D782" s="4" t="s">
        <v>8</v>
      </c>
      <c r="E782" s="4" t="str">
        <f>IF(Table13_1[[#This Row],[smoker]]="yes","smoker","non-smoker")</f>
        <v>smoker</v>
      </c>
      <c r="F782" s="4" t="s">
        <v>9</v>
      </c>
      <c r="G782" s="5">
        <v>30</v>
      </c>
      <c r="H782" s="5">
        <f>IF(Table13_1[[#This Row],[smoker]]="yes",1,0)</f>
        <v>1</v>
      </c>
      <c r="I782" s="4">
        <v>24.4</v>
      </c>
      <c r="J782" s="4">
        <v>3</v>
      </c>
      <c r="K782" s="12">
        <v>18259.216</v>
      </c>
      <c r="N782">
        <v>627</v>
      </c>
      <c r="O782">
        <v>7895.3883463937491</v>
      </c>
      <c r="P782">
        <v>-1146.7971463937492</v>
      </c>
    </row>
    <row r="783" spans="1:16" x14ac:dyDescent="0.25">
      <c r="A783" s="4" t="s">
        <v>10</v>
      </c>
      <c r="B783" s="4">
        <f>ROUND(Table13_1[[#This Row],[bmi]],1)</f>
        <v>41.1</v>
      </c>
      <c r="C783" s="4" t="str" cm="1">
        <f t="array" ref="C783">_xlfn.IFS(Table13_1[[#This Row],[Round BMI]]&lt;18.5,"Underweight",AND(Table13_1[[#This Row],[Round BMI]]&gt;=18.5,Table13_1[[#This Row],[Round BMI]] &lt;=24.9),"Healthy Weight",AND(Table13_1[[#This Row],[Round BMI]]&gt;=25,Table13_1[[#This Row],[Round BMI]]&lt;=29.9),"Overweight",Table13_1[[#This Row],[Round BMI]]&gt;=30,"Obese")</f>
        <v>Obese</v>
      </c>
      <c r="D783" s="4" t="s">
        <v>11</v>
      </c>
      <c r="E783" s="4" t="str">
        <f>IF(Table13_1[[#This Row],[smoker]]="yes","smoker","non-smoker")</f>
        <v>non-smoker</v>
      </c>
      <c r="F783" s="4" t="s">
        <v>12</v>
      </c>
      <c r="G783" s="5">
        <v>18</v>
      </c>
      <c r="H783" s="5">
        <f>IF(Table13_1[[#This Row],[smoker]]="yes",1,0)</f>
        <v>0</v>
      </c>
      <c r="I783" s="4">
        <v>41.14</v>
      </c>
      <c r="J783" s="4">
        <v>0</v>
      </c>
      <c r="K783" s="12">
        <v>1146.7965999999999</v>
      </c>
      <c r="N783">
        <v>628</v>
      </c>
      <c r="O783">
        <v>10545.577243894702</v>
      </c>
      <c r="P783">
        <v>781.13765610529845</v>
      </c>
    </row>
    <row r="784" spans="1:16" x14ac:dyDescent="0.25">
      <c r="A784" s="4" t="s">
        <v>10</v>
      </c>
      <c r="B784" s="4">
        <f>ROUND(Table13_1[[#This Row],[bmi]],1)</f>
        <v>36</v>
      </c>
      <c r="C784" s="4" t="str" cm="1">
        <f t="array" ref="C784">_xlfn.IFS(Table13_1[[#This Row],[Round BMI]]&lt;18.5,"Underweight",AND(Table13_1[[#This Row],[Round BMI]]&gt;=18.5,Table13_1[[#This Row],[Round BMI]] &lt;=24.9),"Healthy Weight",AND(Table13_1[[#This Row],[Round BMI]]&gt;=25,Table13_1[[#This Row],[Round BMI]]&lt;=29.9),"Overweight",Table13_1[[#This Row],[Round BMI]]&gt;=30,"Obese")</f>
        <v>Obese</v>
      </c>
      <c r="D784" s="4" t="s">
        <v>11</v>
      </c>
      <c r="E784" s="4" t="str">
        <f>IF(Table13_1[[#This Row],[smoker]]="yes","smoker","non-smoker")</f>
        <v>non-smoker</v>
      </c>
      <c r="F784" s="4" t="s">
        <v>12</v>
      </c>
      <c r="G784" s="5">
        <v>51</v>
      </c>
      <c r="H784" s="5">
        <f>IF(Table13_1[[#This Row],[smoker]]="yes",1,0)</f>
        <v>0</v>
      </c>
      <c r="I784" s="4">
        <v>35.97</v>
      </c>
      <c r="J784" s="4">
        <v>1</v>
      </c>
      <c r="K784" s="12">
        <v>9386.1612999999998</v>
      </c>
      <c r="N784">
        <v>629</v>
      </c>
      <c r="O784">
        <v>15082.855354935968</v>
      </c>
      <c r="P784">
        <v>-3716.9033549359683</v>
      </c>
    </row>
    <row r="785" spans="1:16" x14ac:dyDescent="0.25">
      <c r="A785" s="4" t="s">
        <v>7</v>
      </c>
      <c r="B785" s="4">
        <f>ROUND(Table13_1[[#This Row],[bmi]],1)</f>
        <v>27.6</v>
      </c>
      <c r="C785" s="4" t="str" cm="1">
        <f t="array" ref="C785">_xlfn.IFS(Table13_1[[#This Row],[Round BMI]]&lt;18.5,"Underweight",AND(Table13_1[[#This Row],[Round BMI]]&gt;=18.5,Table13_1[[#This Row],[Round BMI]] &lt;=24.9),"Healthy Weight",AND(Table13_1[[#This Row],[Round BMI]]&gt;=25,Table13_1[[#This Row],[Round BMI]]&lt;=29.9),"Overweight",Table13_1[[#This Row],[Round BMI]]&gt;=30,"Obese")</f>
        <v>Overweight</v>
      </c>
      <c r="D785" s="4" t="s">
        <v>8</v>
      </c>
      <c r="E785" s="4" t="str">
        <f>IF(Table13_1[[#This Row],[smoker]]="yes","smoker","non-smoker")</f>
        <v>smoker</v>
      </c>
      <c r="F785" s="4" t="s">
        <v>9</v>
      </c>
      <c r="G785" s="5">
        <v>50</v>
      </c>
      <c r="H785" s="5">
        <f>IF(Table13_1[[#This Row],[smoker]]="yes",1,0)</f>
        <v>1</v>
      </c>
      <c r="I785" s="4">
        <v>27.6</v>
      </c>
      <c r="J785" s="4">
        <v>1</v>
      </c>
      <c r="K785" s="12">
        <v>24520.263999999999</v>
      </c>
      <c r="N785">
        <v>630</v>
      </c>
      <c r="O785">
        <v>35590.12093102566</v>
      </c>
      <c r="P785">
        <v>7393.3375689743407</v>
      </c>
    </row>
    <row r="786" spans="1:16" x14ac:dyDescent="0.25">
      <c r="A786" s="4" t="s">
        <v>7</v>
      </c>
      <c r="B786" s="4">
        <f>ROUND(Table13_1[[#This Row],[bmi]],1)</f>
        <v>29.3</v>
      </c>
      <c r="C786" s="4" t="str" cm="1">
        <f t="array" ref="C786">_xlfn.IFS(Table13_1[[#This Row],[Round BMI]]&lt;18.5,"Underweight",AND(Table13_1[[#This Row],[Round BMI]]&gt;=18.5,Table13_1[[#This Row],[Round BMI]] &lt;=24.9),"Healthy Weight",AND(Table13_1[[#This Row],[Round BMI]]&gt;=25,Table13_1[[#This Row],[Round BMI]]&lt;=29.9),"Overweight",Table13_1[[#This Row],[Round BMI]]&gt;=30,"Obese")</f>
        <v>Overweight</v>
      </c>
      <c r="D786" s="4" t="s">
        <v>11</v>
      </c>
      <c r="E786" s="4" t="str">
        <f>IF(Table13_1[[#This Row],[smoker]]="yes","smoker","non-smoker")</f>
        <v>non-smoker</v>
      </c>
      <c r="F786" s="4" t="s">
        <v>12</v>
      </c>
      <c r="G786" s="5">
        <v>31</v>
      </c>
      <c r="H786" s="5">
        <f>IF(Table13_1[[#This Row],[smoker]]="yes",1,0)</f>
        <v>0</v>
      </c>
      <c r="I786" s="4">
        <v>29.26</v>
      </c>
      <c r="J786" s="4">
        <v>1</v>
      </c>
      <c r="K786" s="12">
        <v>4350.5144</v>
      </c>
      <c r="N786">
        <v>631</v>
      </c>
      <c r="O786">
        <v>13655.592468431709</v>
      </c>
      <c r="P786">
        <v>-3569.7464684317092</v>
      </c>
    </row>
    <row r="787" spans="1:16" x14ac:dyDescent="0.25">
      <c r="A787" s="4" t="s">
        <v>7</v>
      </c>
      <c r="B787" s="4">
        <f>ROUND(Table13_1[[#This Row],[bmi]],1)</f>
        <v>27.7</v>
      </c>
      <c r="C787" s="4" t="str" cm="1">
        <f t="array" ref="C787">_xlfn.IFS(Table13_1[[#This Row],[Round BMI]]&lt;18.5,"Underweight",AND(Table13_1[[#This Row],[Round BMI]]&gt;=18.5,Table13_1[[#This Row],[Round BMI]] &lt;=24.9),"Healthy Weight",AND(Table13_1[[#This Row],[Round BMI]]&gt;=25,Table13_1[[#This Row],[Round BMI]]&lt;=29.9),"Overweight",Table13_1[[#This Row],[Round BMI]]&gt;=30,"Obese")</f>
        <v>Overweight</v>
      </c>
      <c r="D787" s="4" t="s">
        <v>11</v>
      </c>
      <c r="E787" s="4" t="str">
        <f>IF(Table13_1[[#This Row],[smoker]]="yes","smoker","non-smoker")</f>
        <v>non-smoker</v>
      </c>
      <c r="F787" s="4" t="s">
        <v>9</v>
      </c>
      <c r="G787" s="5">
        <v>35</v>
      </c>
      <c r="H787" s="5">
        <f>IF(Table13_1[[#This Row],[smoker]]="yes",1,0)</f>
        <v>0</v>
      </c>
      <c r="I787" s="4">
        <v>27.7</v>
      </c>
      <c r="J787" s="4">
        <v>3</v>
      </c>
      <c r="K787" s="12">
        <v>6414.1779999999999</v>
      </c>
      <c r="N787">
        <v>632</v>
      </c>
      <c r="O787">
        <v>3515.8649009853179</v>
      </c>
      <c r="P787">
        <v>-1538.0499009853179</v>
      </c>
    </row>
    <row r="788" spans="1:16" x14ac:dyDescent="0.25">
      <c r="A788" s="4" t="s">
        <v>10</v>
      </c>
      <c r="B788" s="4">
        <f>ROUND(Table13_1[[#This Row],[bmi]],1)</f>
        <v>37</v>
      </c>
      <c r="C788" s="4" t="str" cm="1">
        <f t="array" ref="C788">_xlfn.IFS(Table13_1[[#This Row],[Round BMI]]&lt;18.5,"Underweight",AND(Table13_1[[#This Row],[Round BMI]]&gt;=18.5,Table13_1[[#This Row],[Round BMI]] &lt;=24.9),"Healthy Weight",AND(Table13_1[[#This Row],[Round BMI]]&gt;=25,Table13_1[[#This Row],[Round BMI]]&lt;=29.9),"Overweight",Table13_1[[#This Row],[Round BMI]]&gt;=30,"Obese")</f>
        <v>Obese</v>
      </c>
      <c r="D788" s="4" t="s">
        <v>11</v>
      </c>
      <c r="E788" s="4" t="str">
        <f>IF(Table13_1[[#This Row],[smoker]]="yes","smoker","non-smoker")</f>
        <v>non-smoker</v>
      </c>
      <c r="F788" s="4" t="s">
        <v>14</v>
      </c>
      <c r="G788" s="5">
        <v>60</v>
      </c>
      <c r="H788" s="5">
        <f>IF(Table13_1[[#This Row],[smoker]]="yes",1,0)</f>
        <v>0</v>
      </c>
      <c r="I788" s="4">
        <v>36.954999999999998</v>
      </c>
      <c r="J788" s="4">
        <v>0</v>
      </c>
      <c r="K788" s="12">
        <v>12741.1674</v>
      </c>
      <c r="N788">
        <v>633</v>
      </c>
      <c r="O788">
        <v>6810.246677337851</v>
      </c>
      <c r="P788">
        <v>-3443.5769773378511</v>
      </c>
    </row>
    <row r="789" spans="1:16" x14ac:dyDescent="0.25">
      <c r="A789" s="4" t="s">
        <v>10</v>
      </c>
      <c r="B789" s="4">
        <f>ROUND(Table13_1[[#This Row],[bmi]],1)</f>
        <v>36.9</v>
      </c>
      <c r="C789" s="4" t="str" cm="1">
        <f t="array" ref="C789">_xlfn.IFS(Table13_1[[#This Row],[Round BMI]]&lt;18.5,"Underweight",AND(Table13_1[[#This Row],[Round BMI]]&gt;=18.5,Table13_1[[#This Row],[Round BMI]] &lt;=24.9),"Healthy Weight",AND(Table13_1[[#This Row],[Round BMI]]&gt;=25,Table13_1[[#This Row],[Round BMI]]&lt;=29.9),"Overweight",Table13_1[[#This Row],[Round BMI]]&gt;=30,"Obese")</f>
        <v>Obese</v>
      </c>
      <c r="D789" s="4" t="s">
        <v>11</v>
      </c>
      <c r="E789" s="4" t="str">
        <f>IF(Table13_1[[#This Row],[smoker]]="yes","smoker","non-smoker")</f>
        <v>non-smoker</v>
      </c>
      <c r="F789" s="4" t="s">
        <v>13</v>
      </c>
      <c r="G789" s="5">
        <v>21</v>
      </c>
      <c r="H789" s="5">
        <f>IF(Table13_1[[#This Row],[smoker]]="yes",1,0)</f>
        <v>0</v>
      </c>
      <c r="I789" s="4">
        <v>36.86</v>
      </c>
      <c r="J789" s="4">
        <v>0</v>
      </c>
      <c r="K789" s="12">
        <v>1917.3184000000001</v>
      </c>
      <c r="N789">
        <v>634</v>
      </c>
      <c r="O789">
        <v>6465.8516476248615</v>
      </c>
      <c r="P789">
        <v>707.5083523751382</v>
      </c>
    </row>
    <row r="790" spans="1:16" x14ac:dyDescent="0.25">
      <c r="A790" s="4" t="s">
        <v>10</v>
      </c>
      <c r="B790" s="4">
        <f>ROUND(Table13_1[[#This Row],[bmi]],1)</f>
        <v>22.5</v>
      </c>
      <c r="C790" s="4" t="str" cm="1">
        <f t="array" ref="C790">_xlfn.IFS(Table13_1[[#This Row],[Round BMI]]&lt;18.5,"Underweight",AND(Table13_1[[#This Row],[Round BMI]]&gt;=18.5,Table13_1[[#This Row],[Round BMI]] &lt;=24.9),"Healthy Weight",AND(Table13_1[[#This Row],[Round BMI]]&gt;=25,Table13_1[[#This Row],[Round BMI]]&lt;=29.9),"Overweight",Table13_1[[#This Row],[Round BMI]]&gt;=30,"Obese")</f>
        <v>Healthy Weight</v>
      </c>
      <c r="D790" s="4" t="s">
        <v>11</v>
      </c>
      <c r="E790" s="4" t="str">
        <f>IF(Table13_1[[#This Row],[smoker]]="yes","smoker","non-smoker")</f>
        <v>non-smoker</v>
      </c>
      <c r="F790" s="4" t="s">
        <v>14</v>
      </c>
      <c r="G790" s="5">
        <v>29</v>
      </c>
      <c r="H790" s="5">
        <f>IF(Table13_1[[#This Row],[smoker]]="yes",1,0)</f>
        <v>0</v>
      </c>
      <c r="I790" s="4">
        <v>22.515000000000001</v>
      </c>
      <c r="J790" s="4">
        <v>3</v>
      </c>
      <c r="K790" s="12">
        <v>5209.5788000000002</v>
      </c>
      <c r="N790">
        <v>635</v>
      </c>
      <c r="O790">
        <v>14298.558503999362</v>
      </c>
      <c r="P790">
        <v>-4907.2125039993625</v>
      </c>
    </row>
    <row r="791" spans="1:16" x14ac:dyDescent="0.25">
      <c r="A791" s="4" t="s">
        <v>7</v>
      </c>
      <c r="B791" s="4">
        <f>ROUND(Table13_1[[#This Row],[bmi]],1)</f>
        <v>29.9</v>
      </c>
      <c r="C791" s="4" t="str" cm="1">
        <f t="array" ref="C791">_xlfn.IFS(Table13_1[[#This Row],[Round BMI]]&lt;18.5,"Underweight",AND(Table13_1[[#This Row],[Round BMI]]&gt;=18.5,Table13_1[[#This Row],[Round BMI]] &lt;=24.9),"Healthy Weight",AND(Table13_1[[#This Row],[Round BMI]]&gt;=25,Table13_1[[#This Row],[Round BMI]]&lt;=29.9),"Overweight",Table13_1[[#This Row],[Round BMI]]&gt;=30,"Obese")</f>
        <v>Overweight</v>
      </c>
      <c r="D791" s="4" t="s">
        <v>11</v>
      </c>
      <c r="E791" s="4" t="str">
        <f>IF(Table13_1[[#This Row],[smoker]]="yes","smoker","non-smoker")</f>
        <v>non-smoker</v>
      </c>
      <c r="F791" s="4" t="s">
        <v>12</v>
      </c>
      <c r="G791" s="5">
        <v>62</v>
      </c>
      <c r="H791" s="5">
        <f>IF(Table13_1[[#This Row],[smoker]]="yes",1,0)</f>
        <v>0</v>
      </c>
      <c r="I791" s="4">
        <v>29.92</v>
      </c>
      <c r="J791" s="4">
        <v>0</v>
      </c>
      <c r="K791" s="12">
        <v>13457.960800000001</v>
      </c>
      <c r="N791">
        <v>636</v>
      </c>
      <c r="O791">
        <v>16691.104165457931</v>
      </c>
      <c r="P791">
        <v>-2280.1720654579312</v>
      </c>
    </row>
    <row r="792" spans="1:16" x14ac:dyDescent="0.25">
      <c r="A792" s="4" t="s">
        <v>7</v>
      </c>
      <c r="B792" s="4">
        <f>ROUND(Table13_1[[#This Row],[bmi]],1)</f>
        <v>41.8</v>
      </c>
      <c r="C792" s="4" t="str" cm="1">
        <f t="array" ref="C792">_xlfn.IFS(Table13_1[[#This Row],[Round BMI]]&lt;18.5,"Underweight",AND(Table13_1[[#This Row],[Round BMI]]&gt;=18.5,Table13_1[[#This Row],[Round BMI]] &lt;=24.9),"Healthy Weight",AND(Table13_1[[#This Row],[Round BMI]]&gt;=25,Table13_1[[#This Row],[Round BMI]]&lt;=29.9),"Overweight",Table13_1[[#This Row],[Round BMI]]&gt;=30,"Obese")</f>
        <v>Obese</v>
      </c>
      <c r="D792" s="4" t="s">
        <v>11</v>
      </c>
      <c r="E792" s="4" t="str">
        <f>IF(Table13_1[[#This Row],[smoker]]="yes","smoker","non-smoker")</f>
        <v>non-smoker</v>
      </c>
      <c r="F792" s="4" t="s">
        <v>12</v>
      </c>
      <c r="G792" s="5">
        <v>39</v>
      </c>
      <c r="H792" s="5">
        <f>IF(Table13_1[[#This Row],[smoker]]="yes",1,0)</f>
        <v>0</v>
      </c>
      <c r="I792" s="4">
        <v>41.8</v>
      </c>
      <c r="J792" s="4">
        <v>0</v>
      </c>
      <c r="K792" s="12">
        <v>5662.2250000000004</v>
      </c>
      <c r="N792">
        <v>637</v>
      </c>
      <c r="O792">
        <v>1158.4514602699533</v>
      </c>
      <c r="P792">
        <v>1550.6604397300466</v>
      </c>
    </row>
    <row r="793" spans="1:16" x14ac:dyDescent="0.25">
      <c r="A793" s="4" t="s">
        <v>10</v>
      </c>
      <c r="B793" s="4">
        <f>ROUND(Table13_1[[#This Row],[bmi]],1)</f>
        <v>27.6</v>
      </c>
      <c r="C793" s="4" t="str" cm="1">
        <f t="array" ref="C793">_xlfn.IFS(Table13_1[[#This Row],[Round BMI]]&lt;18.5,"Underweight",AND(Table13_1[[#This Row],[Round BMI]]&gt;=18.5,Table13_1[[#This Row],[Round BMI]] &lt;=24.9),"Healthy Weight",AND(Table13_1[[#This Row],[Round BMI]]&gt;=25,Table13_1[[#This Row],[Round BMI]]&lt;=29.9),"Overweight",Table13_1[[#This Row],[Round BMI]]&gt;=30,"Obese")</f>
        <v>Overweight</v>
      </c>
      <c r="D793" s="4" t="s">
        <v>11</v>
      </c>
      <c r="E793" s="4" t="str">
        <f>IF(Table13_1[[#This Row],[smoker]]="yes","smoker","non-smoker")</f>
        <v>non-smoker</v>
      </c>
      <c r="F793" s="4" t="s">
        <v>9</v>
      </c>
      <c r="G793" s="5">
        <v>19</v>
      </c>
      <c r="H793" s="5">
        <f>IF(Table13_1[[#This Row],[smoker]]="yes",1,0)</f>
        <v>0</v>
      </c>
      <c r="I793" s="4">
        <v>27.6</v>
      </c>
      <c r="J793" s="4">
        <v>0</v>
      </c>
      <c r="K793" s="12">
        <v>1252.4069999999999</v>
      </c>
      <c r="N793">
        <v>638</v>
      </c>
      <c r="O793">
        <v>10129.897200699343</v>
      </c>
      <c r="P793">
        <v>14785.149099300659</v>
      </c>
    </row>
    <row r="794" spans="1:16" x14ac:dyDescent="0.25">
      <c r="A794" s="4" t="s">
        <v>7</v>
      </c>
      <c r="B794" s="4">
        <f>ROUND(Table13_1[[#This Row],[bmi]],1)</f>
        <v>23.2</v>
      </c>
      <c r="C794" s="4" t="str" cm="1">
        <f t="array" ref="C794">_xlfn.IFS(Table13_1[[#This Row],[Round BMI]]&lt;18.5,"Underweight",AND(Table13_1[[#This Row],[Round BMI]]&gt;=18.5,Table13_1[[#This Row],[Round BMI]] &lt;=24.9),"Healthy Weight",AND(Table13_1[[#This Row],[Round BMI]]&gt;=25,Table13_1[[#This Row],[Round BMI]]&lt;=29.9),"Overweight",Table13_1[[#This Row],[Round BMI]]&gt;=30,"Obese")</f>
        <v>Healthy Weight</v>
      </c>
      <c r="D794" s="4" t="s">
        <v>11</v>
      </c>
      <c r="E794" s="4" t="str">
        <f>IF(Table13_1[[#This Row],[smoker]]="yes","smoker","non-smoker")</f>
        <v>non-smoker</v>
      </c>
      <c r="F794" s="4" t="s">
        <v>14</v>
      </c>
      <c r="G794" s="5">
        <v>22</v>
      </c>
      <c r="H794" s="5">
        <f>IF(Table13_1[[#This Row],[smoker]]="yes",1,0)</f>
        <v>0</v>
      </c>
      <c r="I794" s="4">
        <v>23.18</v>
      </c>
      <c r="J794" s="4">
        <v>0</v>
      </c>
      <c r="K794" s="12">
        <v>2731.9122000000002</v>
      </c>
      <c r="N794">
        <v>639</v>
      </c>
      <c r="O794">
        <v>30264.856802745075</v>
      </c>
      <c r="P794">
        <v>-10115.533902745075</v>
      </c>
    </row>
    <row r="795" spans="1:16" x14ac:dyDescent="0.25">
      <c r="A795" s="4" t="s">
        <v>10</v>
      </c>
      <c r="B795" s="4">
        <f>ROUND(Table13_1[[#This Row],[bmi]],1)</f>
        <v>20.9</v>
      </c>
      <c r="C795" s="4" t="str" cm="1">
        <f t="array" ref="C795">_xlfn.IFS(Table13_1[[#This Row],[Round BMI]]&lt;18.5,"Underweight",AND(Table13_1[[#This Row],[Round BMI]]&gt;=18.5,Table13_1[[#This Row],[Round BMI]] &lt;=24.9),"Healthy Weight",AND(Table13_1[[#This Row],[Round BMI]]&gt;=25,Table13_1[[#This Row],[Round BMI]]&lt;=29.9),"Overweight",Table13_1[[#This Row],[Round BMI]]&gt;=30,"Obese")</f>
        <v>Healthy Weight</v>
      </c>
      <c r="D795" s="4" t="s">
        <v>8</v>
      </c>
      <c r="E795" s="4" t="str">
        <f>IF(Table13_1[[#This Row],[smoker]]="yes","smoker","non-smoker")</f>
        <v>smoker</v>
      </c>
      <c r="F795" s="4" t="s">
        <v>12</v>
      </c>
      <c r="G795" s="5">
        <v>53</v>
      </c>
      <c r="H795" s="5">
        <f>IF(Table13_1[[#This Row],[smoker]]="yes",1,0)</f>
        <v>1</v>
      </c>
      <c r="I795" s="4">
        <v>20.9</v>
      </c>
      <c r="J795" s="4">
        <v>0</v>
      </c>
      <c r="K795" s="12">
        <v>21195.817999999999</v>
      </c>
      <c r="N795">
        <v>640</v>
      </c>
      <c r="O795">
        <v>15064.330514127687</v>
      </c>
      <c r="P795">
        <v>-2115.1751141276873</v>
      </c>
    </row>
    <row r="796" spans="1:16" x14ac:dyDescent="0.25">
      <c r="A796" s="4" t="s">
        <v>7</v>
      </c>
      <c r="B796" s="4">
        <f>ROUND(Table13_1[[#This Row],[bmi]],1)</f>
        <v>31.9</v>
      </c>
      <c r="C796" s="4" t="str" cm="1">
        <f t="array" ref="C796">_xlfn.IFS(Table13_1[[#This Row],[Round BMI]]&lt;18.5,"Underweight",AND(Table13_1[[#This Row],[Round BMI]]&gt;=18.5,Table13_1[[#This Row],[Round BMI]] &lt;=24.9),"Healthy Weight",AND(Table13_1[[#This Row],[Round BMI]]&gt;=25,Table13_1[[#This Row],[Round BMI]]&lt;=29.9),"Overweight",Table13_1[[#This Row],[Round BMI]]&gt;=30,"Obese")</f>
        <v>Obese</v>
      </c>
      <c r="D796" s="4" t="s">
        <v>11</v>
      </c>
      <c r="E796" s="4" t="str">
        <f>IF(Table13_1[[#This Row],[smoker]]="yes","smoker","non-smoker")</f>
        <v>non-smoker</v>
      </c>
      <c r="F796" s="4" t="s">
        <v>13</v>
      </c>
      <c r="G796" s="5">
        <v>39</v>
      </c>
      <c r="H796" s="5">
        <f>IF(Table13_1[[#This Row],[smoker]]="yes",1,0)</f>
        <v>0</v>
      </c>
      <c r="I796" s="4">
        <v>31.92</v>
      </c>
      <c r="J796" s="4">
        <v>2</v>
      </c>
      <c r="K796" s="12">
        <v>7209.4917999999998</v>
      </c>
      <c r="N796">
        <v>641</v>
      </c>
      <c r="O796">
        <v>12420.275421907521</v>
      </c>
      <c r="P796">
        <v>-5754.032421907521</v>
      </c>
    </row>
    <row r="797" spans="1:16" x14ac:dyDescent="0.25">
      <c r="A797" s="4" t="s">
        <v>10</v>
      </c>
      <c r="B797" s="4">
        <f>ROUND(Table13_1[[#This Row],[bmi]],1)</f>
        <v>28.5</v>
      </c>
      <c r="C797" s="4" t="str" cm="1">
        <f t="array" ref="C797">_xlfn.IFS(Table13_1[[#This Row],[Round BMI]]&lt;18.5,"Underweight",AND(Table13_1[[#This Row],[Round BMI]]&gt;=18.5,Table13_1[[#This Row],[Round BMI]] &lt;=24.9),"Healthy Weight",AND(Table13_1[[#This Row],[Round BMI]]&gt;=25,Table13_1[[#This Row],[Round BMI]]&lt;=29.9),"Overweight",Table13_1[[#This Row],[Round BMI]]&gt;=30,"Obese")</f>
        <v>Overweight</v>
      </c>
      <c r="D797" s="4" t="s">
        <v>8</v>
      </c>
      <c r="E797" s="4" t="str">
        <f>IF(Table13_1[[#This Row],[smoker]]="yes","smoker","non-smoker")</f>
        <v>smoker</v>
      </c>
      <c r="F797" s="4" t="s">
        <v>13</v>
      </c>
      <c r="G797" s="5">
        <v>27</v>
      </c>
      <c r="H797" s="5">
        <f>IF(Table13_1[[#This Row],[smoker]]="yes",1,0)</f>
        <v>1</v>
      </c>
      <c r="I797" s="4">
        <v>28.5</v>
      </c>
      <c r="J797" s="4">
        <v>0</v>
      </c>
      <c r="K797" s="12">
        <v>18310.741999999998</v>
      </c>
      <c r="N797">
        <v>642</v>
      </c>
      <c r="O797">
        <v>33070.429936771921</v>
      </c>
      <c r="P797">
        <v>-282.97133677192323</v>
      </c>
    </row>
    <row r="798" spans="1:16" x14ac:dyDescent="0.25">
      <c r="A798" s="4" t="s">
        <v>10</v>
      </c>
      <c r="B798" s="4">
        <f>ROUND(Table13_1[[#This Row],[bmi]],1)</f>
        <v>44.2</v>
      </c>
      <c r="C798" s="4" t="str" cm="1">
        <f t="array" ref="C798">_xlfn.IFS(Table13_1[[#This Row],[Round BMI]]&lt;18.5,"Underweight",AND(Table13_1[[#This Row],[Round BMI]]&gt;=18.5,Table13_1[[#This Row],[Round BMI]] &lt;=24.9),"Healthy Weight",AND(Table13_1[[#This Row],[Round BMI]]&gt;=25,Table13_1[[#This Row],[Round BMI]]&lt;=29.9),"Overweight",Table13_1[[#This Row],[Round BMI]]&gt;=30,"Obese")</f>
        <v>Obese</v>
      </c>
      <c r="D798" s="4" t="s">
        <v>11</v>
      </c>
      <c r="E798" s="4" t="str">
        <f>IF(Table13_1[[#This Row],[smoker]]="yes","smoker","non-smoker")</f>
        <v>non-smoker</v>
      </c>
      <c r="F798" s="4" t="s">
        <v>12</v>
      </c>
      <c r="G798" s="5">
        <v>30</v>
      </c>
      <c r="H798" s="5">
        <f>IF(Table13_1[[#This Row],[smoker]]="yes",1,0)</f>
        <v>0</v>
      </c>
      <c r="I798" s="4">
        <v>44.22</v>
      </c>
      <c r="J798" s="4">
        <v>2</v>
      </c>
      <c r="K798" s="12">
        <v>4266.1657999999998</v>
      </c>
      <c r="N798">
        <v>643</v>
      </c>
      <c r="O798">
        <v>14541.640896320681</v>
      </c>
      <c r="P798">
        <v>-1397.776096320682</v>
      </c>
    </row>
    <row r="799" spans="1:16" x14ac:dyDescent="0.25">
      <c r="A799" s="4" t="s">
        <v>7</v>
      </c>
      <c r="B799" s="4">
        <f>ROUND(Table13_1[[#This Row],[bmi]],1)</f>
        <v>22.9</v>
      </c>
      <c r="C799" s="4" t="str" cm="1">
        <f t="array" ref="C799">_xlfn.IFS(Table13_1[[#This Row],[Round BMI]]&lt;18.5,"Underweight",AND(Table13_1[[#This Row],[Round BMI]]&gt;=18.5,Table13_1[[#This Row],[Round BMI]] &lt;=24.9),"Healthy Weight",AND(Table13_1[[#This Row],[Round BMI]]&gt;=25,Table13_1[[#This Row],[Round BMI]]&lt;=29.9),"Overweight",Table13_1[[#This Row],[Round BMI]]&gt;=30,"Obese")</f>
        <v>Healthy Weight</v>
      </c>
      <c r="D799" s="4" t="s">
        <v>11</v>
      </c>
      <c r="E799" s="4" t="str">
        <f>IF(Table13_1[[#This Row],[smoker]]="yes","smoker","non-smoker")</f>
        <v>non-smoker</v>
      </c>
      <c r="F799" s="4" t="s">
        <v>14</v>
      </c>
      <c r="G799" s="5">
        <v>30</v>
      </c>
      <c r="H799" s="5">
        <f>IF(Table13_1[[#This Row],[smoker]]="yes",1,0)</f>
        <v>0</v>
      </c>
      <c r="I799" s="4">
        <v>22.895</v>
      </c>
      <c r="J799" s="4">
        <v>1</v>
      </c>
      <c r="K799" s="12">
        <v>4719.5240000000003</v>
      </c>
      <c r="N799">
        <v>644</v>
      </c>
      <c r="O799">
        <v>6500.2012803736943</v>
      </c>
      <c r="P799">
        <v>-2033.5798803736943</v>
      </c>
    </row>
    <row r="800" spans="1:16" x14ac:dyDescent="0.25">
      <c r="A800" s="4" t="s">
        <v>7</v>
      </c>
      <c r="B800" s="4">
        <f>ROUND(Table13_1[[#This Row],[bmi]],1)</f>
        <v>33.1</v>
      </c>
      <c r="C800" s="4" t="str" cm="1">
        <f t="array" ref="C800">_xlfn.IFS(Table13_1[[#This Row],[Round BMI]]&lt;18.5,"Underweight",AND(Table13_1[[#This Row],[Round BMI]]&gt;=18.5,Table13_1[[#This Row],[Round BMI]] &lt;=24.9),"Healthy Weight",AND(Table13_1[[#This Row],[Round BMI]]&gt;=25,Table13_1[[#This Row],[Round BMI]]&lt;=29.9),"Overweight",Table13_1[[#This Row],[Round BMI]]&gt;=30,"Obese")</f>
        <v>Obese</v>
      </c>
      <c r="D800" s="4" t="s">
        <v>11</v>
      </c>
      <c r="E800" s="4" t="str">
        <f>IF(Table13_1[[#This Row],[smoker]]="yes","smoker","non-smoker")</f>
        <v>non-smoker</v>
      </c>
      <c r="F800" s="4" t="s">
        <v>9</v>
      </c>
      <c r="G800" s="5">
        <v>58</v>
      </c>
      <c r="H800" s="5">
        <f>IF(Table13_1[[#This Row],[smoker]]="yes",1,0)</f>
        <v>0</v>
      </c>
      <c r="I800" s="4">
        <v>33.1</v>
      </c>
      <c r="J800" s="4">
        <v>0</v>
      </c>
      <c r="K800" s="12">
        <v>11848.141</v>
      </c>
      <c r="N800">
        <v>645</v>
      </c>
      <c r="O800">
        <v>11296.337102429414</v>
      </c>
      <c r="P800">
        <v>7509.8083975705849</v>
      </c>
    </row>
    <row r="801" spans="1:16" x14ac:dyDescent="0.25">
      <c r="A801" s="4" t="s">
        <v>10</v>
      </c>
      <c r="B801" s="4">
        <f>ROUND(Table13_1[[#This Row],[bmi]],1)</f>
        <v>24.8</v>
      </c>
      <c r="C801" s="4" t="str" cm="1">
        <f t="array" ref="C801">_xlfn.IFS(Table13_1[[#This Row],[Round BMI]]&lt;18.5,"Underweight",AND(Table13_1[[#This Row],[Round BMI]]&gt;=18.5,Table13_1[[#This Row],[Round BMI]] &lt;=24.9),"Healthy Weight",AND(Table13_1[[#This Row],[Round BMI]]&gt;=25,Table13_1[[#This Row],[Round BMI]]&lt;=29.9),"Overweight",Table13_1[[#This Row],[Round BMI]]&gt;=30,"Obese")</f>
        <v>Healthy Weight</v>
      </c>
      <c r="D801" s="4" t="s">
        <v>8</v>
      </c>
      <c r="E801" s="4" t="str">
        <f>IF(Table13_1[[#This Row],[smoker]]="yes","smoker","non-smoker")</f>
        <v>smoker</v>
      </c>
      <c r="F801" s="4" t="s">
        <v>14</v>
      </c>
      <c r="G801" s="5">
        <v>33</v>
      </c>
      <c r="H801" s="5">
        <f>IF(Table13_1[[#This Row],[smoker]]="yes",1,0)</f>
        <v>1</v>
      </c>
      <c r="I801" s="4">
        <v>24.795000000000002</v>
      </c>
      <c r="J801" s="4">
        <v>0</v>
      </c>
      <c r="K801" s="12">
        <v>17904.526999999998</v>
      </c>
      <c r="N801">
        <v>646</v>
      </c>
      <c r="O801">
        <v>11601.100099756324</v>
      </c>
      <c r="P801">
        <v>-1459.9638997563234</v>
      </c>
    </row>
    <row r="802" spans="1:16" x14ac:dyDescent="0.25">
      <c r="A802" s="4" t="s">
        <v>7</v>
      </c>
      <c r="B802" s="4">
        <f>ROUND(Table13_1[[#This Row],[bmi]],1)</f>
        <v>26.2</v>
      </c>
      <c r="C802" s="4" t="str" cm="1">
        <f t="array" ref="C802">_xlfn.IFS(Table13_1[[#This Row],[Round BMI]]&lt;18.5,"Underweight",AND(Table13_1[[#This Row],[Round BMI]]&gt;=18.5,Table13_1[[#This Row],[Round BMI]] &lt;=24.9),"Healthy Weight",AND(Table13_1[[#This Row],[Round BMI]]&gt;=25,Table13_1[[#This Row],[Round BMI]]&lt;=29.9),"Overweight",Table13_1[[#This Row],[Round BMI]]&gt;=30,"Obese")</f>
        <v>Overweight</v>
      </c>
      <c r="D802" s="4" t="s">
        <v>11</v>
      </c>
      <c r="E802" s="4" t="str">
        <f>IF(Table13_1[[#This Row],[smoker]]="yes","smoker","non-smoker")</f>
        <v>non-smoker</v>
      </c>
      <c r="F802" s="4" t="s">
        <v>12</v>
      </c>
      <c r="G802" s="5">
        <v>42</v>
      </c>
      <c r="H802" s="5">
        <f>IF(Table13_1[[#This Row],[smoker]]="yes",1,0)</f>
        <v>0</v>
      </c>
      <c r="I802" s="4">
        <v>26.18</v>
      </c>
      <c r="J802" s="4">
        <v>1</v>
      </c>
      <c r="K802" s="12">
        <v>7046.7222000000002</v>
      </c>
      <c r="N802">
        <v>647</v>
      </c>
      <c r="O802">
        <v>6865.8075057355445</v>
      </c>
      <c r="P802">
        <v>-742.2387057355445</v>
      </c>
    </row>
    <row r="803" spans="1:16" x14ac:dyDescent="0.25">
      <c r="A803" s="4" t="s">
        <v>7</v>
      </c>
      <c r="B803" s="4">
        <f>ROUND(Table13_1[[#This Row],[bmi]],1)</f>
        <v>36</v>
      </c>
      <c r="C803" s="4" t="str" cm="1">
        <f t="array" ref="C803">_xlfn.IFS(Table13_1[[#This Row],[Round BMI]]&lt;18.5,"Underweight",AND(Table13_1[[#This Row],[Round BMI]]&gt;=18.5,Table13_1[[#This Row],[Round BMI]] &lt;=24.9),"Healthy Weight",AND(Table13_1[[#This Row],[Round BMI]]&gt;=25,Table13_1[[#This Row],[Round BMI]]&lt;=29.9),"Overweight",Table13_1[[#This Row],[Round BMI]]&gt;=30,"Obese")</f>
        <v>Obese</v>
      </c>
      <c r="D803" s="4" t="s">
        <v>11</v>
      </c>
      <c r="E803" s="4" t="str">
        <f>IF(Table13_1[[#This Row],[smoker]]="yes","smoker","non-smoker")</f>
        <v>non-smoker</v>
      </c>
      <c r="F803" s="4" t="s">
        <v>12</v>
      </c>
      <c r="G803" s="5">
        <v>64</v>
      </c>
      <c r="H803" s="5">
        <f>IF(Table13_1[[#This Row],[smoker]]="yes",1,0)</f>
        <v>0</v>
      </c>
      <c r="I803" s="4">
        <v>35.97</v>
      </c>
      <c r="J803" s="4">
        <v>0</v>
      </c>
      <c r="K803" s="12">
        <v>14313.846299999999</v>
      </c>
      <c r="N803">
        <v>648</v>
      </c>
      <c r="O803">
        <v>7153.3851460600918</v>
      </c>
      <c r="P803">
        <v>1098.8991539399076</v>
      </c>
    </row>
    <row r="804" spans="1:16" x14ac:dyDescent="0.25">
      <c r="A804" s="4" t="s">
        <v>10</v>
      </c>
      <c r="B804" s="4">
        <f>ROUND(Table13_1[[#This Row],[bmi]],1)</f>
        <v>22.3</v>
      </c>
      <c r="C804" s="4" t="str" cm="1">
        <f t="array" ref="C804">_xlfn.IFS(Table13_1[[#This Row],[Round BMI]]&lt;18.5,"Underweight",AND(Table13_1[[#This Row],[Round BMI]]&gt;=18.5,Table13_1[[#This Row],[Round BMI]] &lt;=24.9),"Healthy Weight",AND(Table13_1[[#This Row],[Round BMI]]&gt;=25,Table13_1[[#This Row],[Round BMI]]&lt;=29.9),"Overweight",Table13_1[[#This Row],[Round BMI]]&gt;=30,"Obese")</f>
        <v>Healthy Weight</v>
      </c>
      <c r="D804" s="4" t="s">
        <v>11</v>
      </c>
      <c r="E804" s="4" t="str">
        <f>IF(Table13_1[[#This Row],[smoker]]="yes","smoker","non-smoker")</f>
        <v>non-smoker</v>
      </c>
      <c r="F804" s="4" t="s">
        <v>9</v>
      </c>
      <c r="G804" s="5">
        <v>21</v>
      </c>
      <c r="H804" s="5">
        <f>IF(Table13_1[[#This Row],[smoker]]="yes",1,0)</f>
        <v>0</v>
      </c>
      <c r="I804" s="4">
        <v>22.3</v>
      </c>
      <c r="J804" s="4">
        <v>1</v>
      </c>
      <c r="K804" s="12">
        <v>2103.08</v>
      </c>
      <c r="N804">
        <v>649</v>
      </c>
      <c r="O804">
        <v>1711.2867347302108</v>
      </c>
      <c r="P804">
        <v>0.94026526978927905</v>
      </c>
    </row>
    <row r="805" spans="1:16" x14ac:dyDescent="0.25">
      <c r="A805" s="4" t="s">
        <v>7</v>
      </c>
      <c r="B805" s="4">
        <f>ROUND(Table13_1[[#This Row],[bmi]],1)</f>
        <v>42.2</v>
      </c>
      <c r="C805" s="4" t="str" cm="1">
        <f t="array" ref="C805">_xlfn.IFS(Table13_1[[#This Row],[Round BMI]]&lt;18.5,"Underweight",AND(Table13_1[[#This Row],[Round BMI]]&gt;=18.5,Table13_1[[#This Row],[Round BMI]] &lt;=24.9),"Healthy Weight",AND(Table13_1[[#This Row],[Round BMI]]&gt;=25,Table13_1[[#This Row],[Round BMI]]&lt;=29.9),"Overweight",Table13_1[[#This Row],[Round BMI]]&gt;=30,"Obese")</f>
        <v>Obese</v>
      </c>
      <c r="D805" s="4" t="s">
        <v>8</v>
      </c>
      <c r="E805" s="4" t="str">
        <f>IF(Table13_1[[#This Row],[smoker]]="yes","smoker","non-smoker")</f>
        <v>smoker</v>
      </c>
      <c r="F805" s="4" t="s">
        <v>12</v>
      </c>
      <c r="G805" s="5">
        <v>18</v>
      </c>
      <c r="H805" s="5">
        <f>IF(Table13_1[[#This Row],[smoker]]="yes",1,0)</f>
        <v>1</v>
      </c>
      <c r="I805" s="4">
        <v>42.24</v>
      </c>
      <c r="J805" s="4">
        <v>0</v>
      </c>
      <c r="K805" s="12">
        <v>38792.685599999997</v>
      </c>
      <c r="N805">
        <v>650</v>
      </c>
      <c r="O805">
        <v>13462.333541630464</v>
      </c>
      <c r="P805">
        <v>-1031.3801416304632</v>
      </c>
    </row>
    <row r="806" spans="1:16" x14ac:dyDescent="0.25">
      <c r="A806" s="4" t="s">
        <v>10</v>
      </c>
      <c r="B806" s="4">
        <f>ROUND(Table13_1[[#This Row],[bmi]],1)</f>
        <v>26.5</v>
      </c>
      <c r="C806" s="4" t="str" cm="1">
        <f t="array" ref="C806">_xlfn.IFS(Table13_1[[#This Row],[Round BMI]]&lt;18.5,"Underweight",AND(Table13_1[[#This Row],[Round BMI]]&gt;=18.5,Table13_1[[#This Row],[Round BMI]] &lt;=24.9),"Healthy Weight",AND(Table13_1[[#This Row],[Round BMI]]&gt;=25,Table13_1[[#This Row],[Round BMI]]&lt;=29.9),"Overweight",Table13_1[[#This Row],[Round BMI]]&gt;=30,"Obese")</f>
        <v>Overweight</v>
      </c>
      <c r="D806" s="4" t="s">
        <v>11</v>
      </c>
      <c r="E806" s="4" t="str">
        <f>IF(Table13_1[[#This Row],[smoker]]="yes","smoker","non-smoker")</f>
        <v>non-smoker</v>
      </c>
      <c r="F806" s="4" t="s">
        <v>12</v>
      </c>
      <c r="G806" s="5">
        <v>23</v>
      </c>
      <c r="H806" s="5">
        <f>IF(Table13_1[[#This Row],[smoker]]="yes",1,0)</f>
        <v>0</v>
      </c>
      <c r="I806" s="4">
        <v>26.51</v>
      </c>
      <c r="J806" s="4">
        <v>0</v>
      </c>
      <c r="K806" s="12">
        <v>1815.8759</v>
      </c>
      <c r="N806">
        <v>651</v>
      </c>
      <c r="O806">
        <v>15215.478985351285</v>
      </c>
      <c r="P806">
        <v>-5414.5907853512854</v>
      </c>
    </row>
    <row r="807" spans="1:16" x14ac:dyDescent="0.25">
      <c r="A807" s="4" t="s">
        <v>7</v>
      </c>
      <c r="B807" s="4">
        <f>ROUND(Table13_1[[#This Row],[bmi]],1)</f>
        <v>35.799999999999997</v>
      </c>
      <c r="C807" s="4" t="str" cm="1">
        <f t="array" ref="C807">_xlfn.IFS(Table13_1[[#This Row],[Round BMI]]&lt;18.5,"Underweight",AND(Table13_1[[#This Row],[Round BMI]]&gt;=18.5,Table13_1[[#This Row],[Round BMI]] &lt;=24.9),"Healthy Weight",AND(Table13_1[[#This Row],[Round BMI]]&gt;=25,Table13_1[[#This Row],[Round BMI]]&lt;=29.9),"Overweight",Table13_1[[#This Row],[Round BMI]]&gt;=30,"Obese")</f>
        <v>Obese</v>
      </c>
      <c r="D807" s="4" t="s">
        <v>11</v>
      </c>
      <c r="E807" s="4" t="str">
        <f>IF(Table13_1[[#This Row],[smoker]]="yes","smoker","non-smoker")</f>
        <v>non-smoker</v>
      </c>
      <c r="F807" s="4" t="s">
        <v>13</v>
      </c>
      <c r="G807" s="5">
        <v>45</v>
      </c>
      <c r="H807" s="5">
        <f>IF(Table13_1[[#This Row],[smoker]]="yes",1,0)</f>
        <v>0</v>
      </c>
      <c r="I807" s="4">
        <v>35.814999999999998</v>
      </c>
      <c r="J807" s="4">
        <v>0</v>
      </c>
      <c r="K807" s="12">
        <v>7731.8577999999998</v>
      </c>
      <c r="N807">
        <v>652</v>
      </c>
      <c r="O807">
        <v>14782.072378375953</v>
      </c>
      <c r="P807">
        <v>-4202.3613783759538</v>
      </c>
    </row>
    <row r="808" spans="1:16" x14ac:dyDescent="0.25">
      <c r="A808" s="4" t="s">
        <v>7</v>
      </c>
      <c r="B808" s="4">
        <f>ROUND(Table13_1[[#This Row],[bmi]],1)</f>
        <v>41.4</v>
      </c>
      <c r="C808" s="4" t="str" cm="1">
        <f t="array" ref="C808">_xlfn.IFS(Table13_1[[#This Row],[Round BMI]]&lt;18.5,"Underweight",AND(Table13_1[[#This Row],[Round BMI]]&gt;=18.5,Table13_1[[#This Row],[Round BMI]] &lt;=24.9),"Healthy Weight",AND(Table13_1[[#This Row],[Round BMI]]&gt;=25,Table13_1[[#This Row],[Round BMI]]&lt;=29.9),"Overweight",Table13_1[[#This Row],[Round BMI]]&gt;=30,"Obese")</f>
        <v>Obese</v>
      </c>
      <c r="D808" s="4" t="s">
        <v>11</v>
      </c>
      <c r="E808" s="4" t="str">
        <f>IF(Table13_1[[#This Row],[smoker]]="yes","smoker","non-smoker")</f>
        <v>non-smoker</v>
      </c>
      <c r="F808" s="4" t="s">
        <v>13</v>
      </c>
      <c r="G808" s="5">
        <v>40</v>
      </c>
      <c r="H808" s="5">
        <f>IF(Table13_1[[#This Row],[smoker]]="yes",1,0)</f>
        <v>0</v>
      </c>
      <c r="I808" s="4">
        <v>41.42</v>
      </c>
      <c r="J808" s="4">
        <v>1</v>
      </c>
      <c r="K808" s="12">
        <v>28476.735000000001</v>
      </c>
      <c r="N808">
        <v>653</v>
      </c>
      <c r="O808">
        <v>10293.241144113279</v>
      </c>
      <c r="P808">
        <v>-2012.6184441132791</v>
      </c>
    </row>
    <row r="809" spans="1:16" x14ac:dyDescent="0.25">
      <c r="A809" s="4" t="s">
        <v>7</v>
      </c>
      <c r="B809" s="4">
        <f>ROUND(Table13_1[[#This Row],[bmi]],1)</f>
        <v>36.6</v>
      </c>
      <c r="C809" s="4" t="str" cm="1">
        <f t="array" ref="C809">_xlfn.IFS(Table13_1[[#This Row],[Round BMI]]&lt;18.5,"Underweight",AND(Table13_1[[#This Row],[Round BMI]]&gt;=18.5,Table13_1[[#This Row],[Round BMI]] &lt;=24.9),"Healthy Weight",AND(Table13_1[[#This Row],[Round BMI]]&gt;=25,Table13_1[[#This Row],[Round BMI]]&lt;=29.9),"Overweight",Table13_1[[#This Row],[Round BMI]]&gt;=30,"Obese")</f>
        <v>Obese</v>
      </c>
      <c r="D809" s="4" t="s">
        <v>11</v>
      </c>
      <c r="E809" s="4" t="str">
        <f>IF(Table13_1[[#This Row],[smoker]]="yes","smoker","non-smoker")</f>
        <v>non-smoker</v>
      </c>
      <c r="F809" s="4" t="s">
        <v>13</v>
      </c>
      <c r="G809" s="5">
        <v>19</v>
      </c>
      <c r="H809" s="5">
        <f>IF(Table13_1[[#This Row],[smoker]]="yes",1,0)</f>
        <v>0</v>
      </c>
      <c r="I809" s="4">
        <v>36.575000000000003</v>
      </c>
      <c r="J809" s="4">
        <v>0</v>
      </c>
      <c r="K809" s="12">
        <v>2136.8822</v>
      </c>
      <c r="N809">
        <v>654</v>
      </c>
      <c r="O809">
        <v>12130.669005902924</v>
      </c>
      <c r="P809">
        <v>-3603.137005902925</v>
      </c>
    </row>
    <row r="810" spans="1:16" x14ac:dyDescent="0.25">
      <c r="A810" s="4" t="s">
        <v>10</v>
      </c>
      <c r="B810" s="4">
        <f>ROUND(Table13_1[[#This Row],[bmi]],1)</f>
        <v>30.1</v>
      </c>
      <c r="C810" s="4" t="str" cm="1">
        <f t="array" ref="C810">_xlfn.IFS(Table13_1[[#This Row],[Round BMI]]&lt;18.5,"Underweight",AND(Table13_1[[#This Row],[Round BMI]]&gt;=18.5,Table13_1[[#This Row],[Round BMI]] &lt;=24.9),"Healthy Weight",AND(Table13_1[[#This Row],[Round BMI]]&gt;=25,Table13_1[[#This Row],[Round BMI]]&lt;=29.9),"Overweight",Table13_1[[#This Row],[Round BMI]]&gt;=30,"Obese")</f>
        <v>Obese</v>
      </c>
      <c r="D810" s="4" t="s">
        <v>11</v>
      </c>
      <c r="E810" s="4" t="str">
        <f>IF(Table13_1[[#This Row],[smoker]]="yes","smoker","non-smoker")</f>
        <v>non-smoker</v>
      </c>
      <c r="F810" s="4" t="s">
        <v>12</v>
      </c>
      <c r="G810" s="5">
        <v>18</v>
      </c>
      <c r="H810" s="5">
        <f>IF(Table13_1[[#This Row],[smoker]]="yes",1,0)</f>
        <v>0</v>
      </c>
      <c r="I810" s="4">
        <v>30.14</v>
      </c>
      <c r="J810" s="4">
        <v>0</v>
      </c>
      <c r="K810" s="12">
        <v>1131.5065999999999</v>
      </c>
      <c r="N810">
        <v>655</v>
      </c>
      <c r="O810">
        <v>14439.520934310931</v>
      </c>
      <c r="P810">
        <v>-2194.98993431093</v>
      </c>
    </row>
    <row r="811" spans="1:16" x14ac:dyDescent="0.25">
      <c r="A811" s="4" t="s">
        <v>10</v>
      </c>
      <c r="B811" s="4">
        <f>ROUND(Table13_1[[#This Row],[bmi]],1)</f>
        <v>25.8</v>
      </c>
      <c r="C811" s="4" t="str" cm="1">
        <f t="array" ref="C811">_xlfn.IFS(Table13_1[[#This Row],[Round BMI]]&lt;18.5,"Underweight",AND(Table13_1[[#This Row],[Round BMI]]&gt;=18.5,Table13_1[[#This Row],[Round BMI]] &lt;=24.9),"Healthy Weight",AND(Table13_1[[#This Row],[Round BMI]]&gt;=25,Table13_1[[#This Row],[Round BMI]]&lt;=29.9),"Overweight",Table13_1[[#This Row],[Round BMI]]&gt;=30,"Obese")</f>
        <v>Overweight</v>
      </c>
      <c r="D811" s="4" t="s">
        <v>11</v>
      </c>
      <c r="E811" s="4" t="str">
        <f>IF(Table13_1[[#This Row],[smoker]]="yes","smoker","non-smoker")</f>
        <v>non-smoker</v>
      </c>
      <c r="F811" s="4" t="s">
        <v>14</v>
      </c>
      <c r="G811" s="5">
        <v>25</v>
      </c>
      <c r="H811" s="5">
        <f>IF(Table13_1[[#This Row],[smoker]]="yes",1,0)</f>
        <v>0</v>
      </c>
      <c r="I811" s="4">
        <v>25.84</v>
      </c>
      <c r="J811" s="4">
        <v>1</v>
      </c>
      <c r="K811" s="12">
        <v>3309.7926000000002</v>
      </c>
      <c r="N811">
        <v>656</v>
      </c>
      <c r="O811">
        <v>34206.649971977604</v>
      </c>
      <c r="P811">
        <v>-9539.2309719776022</v>
      </c>
    </row>
    <row r="812" spans="1:16" x14ac:dyDescent="0.25">
      <c r="A812" s="4" t="s">
        <v>7</v>
      </c>
      <c r="B812" s="4">
        <f>ROUND(Table13_1[[#This Row],[bmi]],1)</f>
        <v>30.8</v>
      </c>
      <c r="C812" s="4" t="str" cm="1">
        <f t="array" ref="C812">_xlfn.IFS(Table13_1[[#This Row],[Round BMI]]&lt;18.5,"Underweight",AND(Table13_1[[#This Row],[Round BMI]]&gt;=18.5,Table13_1[[#This Row],[Round BMI]] &lt;=24.9),"Healthy Weight",AND(Table13_1[[#This Row],[Round BMI]]&gt;=25,Table13_1[[#This Row],[Round BMI]]&lt;=29.9),"Overweight",Table13_1[[#This Row],[Round BMI]]&gt;=30,"Obese")</f>
        <v>Obese</v>
      </c>
      <c r="D812" s="4" t="s">
        <v>11</v>
      </c>
      <c r="E812" s="4" t="str">
        <f>IF(Table13_1[[#This Row],[smoker]]="yes","smoker","non-smoker")</f>
        <v>non-smoker</v>
      </c>
      <c r="F812" s="4" t="s">
        <v>9</v>
      </c>
      <c r="G812" s="5">
        <v>46</v>
      </c>
      <c r="H812" s="5">
        <f>IF(Table13_1[[#This Row],[smoker]]="yes",1,0)</f>
        <v>0</v>
      </c>
      <c r="I812" s="4">
        <v>30.8</v>
      </c>
      <c r="J812" s="4">
        <v>3</v>
      </c>
      <c r="K812" s="12">
        <v>9414.92</v>
      </c>
      <c r="N812">
        <v>657</v>
      </c>
      <c r="O812">
        <v>8721.3196084117353</v>
      </c>
      <c r="P812">
        <v>-5310.9956084117348</v>
      </c>
    </row>
    <row r="813" spans="1:16" x14ac:dyDescent="0.25">
      <c r="A813" s="4" t="s">
        <v>7</v>
      </c>
      <c r="B813" s="4">
        <f>ROUND(Table13_1[[#This Row],[bmi]],1)</f>
        <v>42.9</v>
      </c>
      <c r="C813" s="4" t="str" cm="1">
        <f t="array" ref="C813">_xlfn.IFS(Table13_1[[#This Row],[Round BMI]]&lt;18.5,"Underweight",AND(Table13_1[[#This Row],[Round BMI]]&gt;=18.5,Table13_1[[#This Row],[Round BMI]] &lt;=24.9),"Healthy Weight",AND(Table13_1[[#This Row],[Round BMI]]&gt;=25,Table13_1[[#This Row],[Round BMI]]&lt;=29.9),"Overweight",Table13_1[[#This Row],[Round BMI]]&gt;=30,"Obese")</f>
        <v>Obese</v>
      </c>
      <c r="D813" s="4" t="s">
        <v>11</v>
      </c>
      <c r="E813" s="4" t="str">
        <f>IF(Table13_1[[#This Row],[smoker]]="yes","smoker","non-smoker")</f>
        <v>non-smoker</v>
      </c>
      <c r="F813" s="4" t="s">
        <v>13</v>
      </c>
      <c r="G813" s="5">
        <v>33</v>
      </c>
      <c r="H813" s="5">
        <f>IF(Table13_1[[#This Row],[smoker]]="yes",1,0)</f>
        <v>0</v>
      </c>
      <c r="I813" s="4">
        <v>42.94</v>
      </c>
      <c r="J813" s="4">
        <v>3</v>
      </c>
      <c r="K813" s="12">
        <v>6360.9935999999998</v>
      </c>
      <c r="N813">
        <v>658</v>
      </c>
      <c r="O813">
        <v>6477.1552120209053</v>
      </c>
      <c r="P813">
        <v>-2418.4428120209054</v>
      </c>
    </row>
    <row r="814" spans="1:16" x14ac:dyDescent="0.25">
      <c r="A814" s="4" t="s">
        <v>10</v>
      </c>
      <c r="B814" s="4">
        <f>ROUND(Table13_1[[#This Row],[bmi]],1)</f>
        <v>21</v>
      </c>
      <c r="C814" s="4" t="str" cm="1">
        <f t="array" ref="C814">_xlfn.IFS(Table13_1[[#This Row],[Round BMI]]&lt;18.5,"Underweight",AND(Table13_1[[#This Row],[Round BMI]]&gt;=18.5,Table13_1[[#This Row],[Round BMI]] &lt;=24.9),"Healthy Weight",AND(Table13_1[[#This Row],[Round BMI]]&gt;=25,Table13_1[[#This Row],[Round BMI]]&lt;=29.9),"Overweight",Table13_1[[#This Row],[Round BMI]]&gt;=30,"Obese")</f>
        <v>Healthy Weight</v>
      </c>
      <c r="D814" s="4" t="s">
        <v>11</v>
      </c>
      <c r="E814" s="4" t="str">
        <f>IF(Table13_1[[#This Row],[smoker]]="yes","smoker","non-smoker")</f>
        <v>non-smoker</v>
      </c>
      <c r="F814" s="4" t="s">
        <v>12</v>
      </c>
      <c r="G814" s="5">
        <v>54</v>
      </c>
      <c r="H814" s="5">
        <f>IF(Table13_1[[#This Row],[smoker]]="yes",1,0)</f>
        <v>0</v>
      </c>
      <c r="I814" s="4">
        <v>21.01</v>
      </c>
      <c r="J814" s="4">
        <v>2</v>
      </c>
      <c r="K814" s="12">
        <v>11013.7119</v>
      </c>
      <c r="N814">
        <v>659</v>
      </c>
      <c r="O814">
        <v>12305.193165240098</v>
      </c>
      <c r="P814">
        <v>14087.067134759904</v>
      </c>
    </row>
    <row r="815" spans="1:16" x14ac:dyDescent="0.25">
      <c r="A815" s="4" t="s">
        <v>10</v>
      </c>
      <c r="B815" s="4">
        <f>ROUND(Table13_1[[#This Row],[bmi]],1)</f>
        <v>22.5</v>
      </c>
      <c r="C815" s="4" t="str" cm="1">
        <f t="array" ref="C815">_xlfn.IFS(Table13_1[[#This Row],[Round BMI]]&lt;18.5,"Underweight",AND(Table13_1[[#This Row],[Round BMI]]&gt;=18.5,Table13_1[[#This Row],[Round BMI]] &lt;=24.9),"Healthy Weight",AND(Table13_1[[#This Row],[Round BMI]]&gt;=25,Table13_1[[#This Row],[Round BMI]]&lt;=29.9),"Overweight",Table13_1[[#This Row],[Round BMI]]&gt;=30,"Obese")</f>
        <v>Healthy Weight</v>
      </c>
      <c r="D815" s="4" t="s">
        <v>11</v>
      </c>
      <c r="E815" s="4" t="str">
        <f>IF(Table13_1[[#This Row],[smoker]]="yes","smoker","non-smoker")</f>
        <v>non-smoker</v>
      </c>
      <c r="F815" s="4" t="s">
        <v>14</v>
      </c>
      <c r="G815" s="5">
        <v>28</v>
      </c>
      <c r="H815" s="5">
        <f>IF(Table13_1[[#This Row],[smoker]]="yes",1,0)</f>
        <v>0</v>
      </c>
      <c r="I815" s="4">
        <v>22.515000000000001</v>
      </c>
      <c r="J815" s="4">
        <v>2</v>
      </c>
      <c r="K815" s="12">
        <v>4428.8878000000004</v>
      </c>
      <c r="N815">
        <v>660</v>
      </c>
      <c r="O815">
        <v>13753.154432607131</v>
      </c>
      <c r="P815">
        <v>641.2437673928689</v>
      </c>
    </row>
    <row r="816" spans="1:16" x14ac:dyDescent="0.25">
      <c r="A816" s="4" t="s">
        <v>10</v>
      </c>
      <c r="B816" s="4">
        <f>ROUND(Table13_1[[#This Row],[bmi]],1)</f>
        <v>34.4</v>
      </c>
      <c r="C816" s="4" t="str" cm="1">
        <f t="array" ref="C816">_xlfn.IFS(Table13_1[[#This Row],[Round BMI]]&lt;18.5,"Underweight",AND(Table13_1[[#This Row],[Round BMI]]&gt;=18.5,Table13_1[[#This Row],[Round BMI]] &lt;=24.9),"Healthy Weight",AND(Table13_1[[#This Row],[Round BMI]]&gt;=25,Table13_1[[#This Row],[Round BMI]]&lt;=29.9),"Overweight",Table13_1[[#This Row],[Round BMI]]&gt;=30,"Obese")</f>
        <v>Obese</v>
      </c>
      <c r="D816" s="4" t="s">
        <v>11</v>
      </c>
      <c r="E816" s="4" t="str">
        <f>IF(Table13_1[[#This Row],[smoker]]="yes","smoker","non-smoker")</f>
        <v>non-smoker</v>
      </c>
      <c r="F816" s="4" t="s">
        <v>12</v>
      </c>
      <c r="G816" s="5">
        <v>36</v>
      </c>
      <c r="H816" s="5">
        <f>IF(Table13_1[[#This Row],[smoker]]="yes",1,0)</f>
        <v>0</v>
      </c>
      <c r="I816" s="4">
        <v>34.43</v>
      </c>
      <c r="J816" s="4">
        <v>2</v>
      </c>
      <c r="K816" s="12">
        <v>5584.3056999999999</v>
      </c>
      <c r="N816">
        <v>661</v>
      </c>
      <c r="O816">
        <v>13833.915113871506</v>
      </c>
      <c r="P816">
        <v>-7398.2914138715059</v>
      </c>
    </row>
    <row r="817" spans="1:16" x14ac:dyDescent="0.25">
      <c r="A817" s="4" t="s">
        <v>7</v>
      </c>
      <c r="B817" s="4">
        <f>ROUND(Table13_1[[#This Row],[bmi]],1)</f>
        <v>31.5</v>
      </c>
      <c r="C817" s="4" t="str" cm="1">
        <f t="array" ref="C817">_xlfn.IFS(Table13_1[[#This Row],[Round BMI]]&lt;18.5,"Underweight",AND(Table13_1[[#This Row],[Round BMI]]&gt;=18.5,Table13_1[[#This Row],[Round BMI]] &lt;=24.9),"Healthy Weight",AND(Table13_1[[#This Row],[Round BMI]]&gt;=25,Table13_1[[#This Row],[Round BMI]]&lt;=29.9),"Overweight",Table13_1[[#This Row],[Round BMI]]&gt;=30,"Obese")</f>
        <v>Obese</v>
      </c>
      <c r="D817" s="4" t="s">
        <v>11</v>
      </c>
      <c r="E817" s="4" t="str">
        <f>IF(Table13_1[[#This Row],[smoker]]="yes","smoker","non-smoker")</f>
        <v>non-smoker</v>
      </c>
      <c r="F817" s="4" t="s">
        <v>12</v>
      </c>
      <c r="G817" s="5">
        <v>20</v>
      </c>
      <c r="H817" s="5">
        <f>IF(Table13_1[[#This Row],[smoker]]="yes",1,0)</f>
        <v>0</v>
      </c>
      <c r="I817" s="4">
        <v>31.46</v>
      </c>
      <c r="J817" s="4">
        <v>0</v>
      </c>
      <c r="K817" s="12">
        <v>1877.9294</v>
      </c>
      <c r="N817">
        <v>662</v>
      </c>
      <c r="O817">
        <v>10786.151495317636</v>
      </c>
      <c r="P817">
        <v>11406.285604682364</v>
      </c>
    </row>
    <row r="818" spans="1:16" x14ac:dyDescent="0.25">
      <c r="A818" s="4" t="s">
        <v>7</v>
      </c>
      <c r="B818" s="4">
        <f>ROUND(Table13_1[[#This Row],[bmi]],1)</f>
        <v>24.2</v>
      </c>
      <c r="C818" s="4" t="str" cm="1">
        <f t="array" ref="C818">_xlfn.IFS(Table13_1[[#This Row],[Round BMI]]&lt;18.5,"Underweight",AND(Table13_1[[#This Row],[Round BMI]]&gt;=18.5,Table13_1[[#This Row],[Round BMI]] &lt;=24.9),"Healthy Weight",AND(Table13_1[[#This Row],[Round BMI]]&gt;=25,Table13_1[[#This Row],[Round BMI]]&lt;=29.9),"Overweight",Table13_1[[#This Row],[Round BMI]]&gt;=30,"Obese")</f>
        <v>Healthy Weight</v>
      </c>
      <c r="D818" s="4" t="s">
        <v>11</v>
      </c>
      <c r="E818" s="4" t="str">
        <f>IF(Table13_1[[#This Row],[smoker]]="yes","smoker","non-smoker")</f>
        <v>non-smoker</v>
      </c>
      <c r="F818" s="4" t="s">
        <v>13</v>
      </c>
      <c r="G818" s="5">
        <v>24</v>
      </c>
      <c r="H818" s="5">
        <f>IF(Table13_1[[#This Row],[smoker]]="yes",1,0)</f>
        <v>0</v>
      </c>
      <c r="I818" s="4">
        <v>24.225000000000001</v>
      </c>
      <c r="J818" s="4">
        <v>0</v>
      </c>
      <c r="K818" s="12">
        <v>2842.7608</v>
      </c>
      <c r="N818">
        <v>663</v>
      </c>
      <c r="O818">
        <v>6773.1104175383034</v>
      </c>
      <c r="P818">
        <v>-1624.5578175383034</v>
      </c>
    </row>
    <row r="819" spans="1:16" x14ac:dyDescent="0.25">
      <c r="A819" s="4" t="s">
        <v>10</v>
      </c>
      <c r="B819" s="4">
        <f>ROUND(Table13_1[[#This Row],[bmi]],1)</f>
        <v>37.1</v>
      </c>
      <c r="C819" s="4" t="str" cm="1">
        <f t="array" ref="C819">_xlfn.IFS(Table13_1[[#This Row],[Round BMI]]&lt;18.5,"Underweight",AND(Table13_1[[#This Row],[Round BMI]]&gt;=18.5,Table13_1[[#This Row],[Round BMI]] &lt;=24.9),"Healthy Weight",AND(Table13_1[[#This Row],[Round BMI]]&gt;=25,Table13_1[[#This Row],[Round BMI]]&lt;=29.9),"Overweight",Table13_1[[#This Row],[Round BMI]]&gt;=30,"Obese")</f>
        <v>Obese</v>
      </c>
      <c r="D819" s="4" t="s">
        <v>11</v>
      </c>
      <c r="E819" s="4" t="str">
        <f>IF(Table13_1[[#This Row],[smoker]]="yes","smoker","non-smoker")</f>
        <v>non-smoker</v>
      </c>
      <c r="F819" s="4" t="s">
        <v>9</v>
      </c>
      <c r="G819" s="5">
        <v>23</v>
      </c>
      <c r="H819" s="5">
        <f>IF(Table13_1[[#This Row],[smoker]]="yes",1,0)</f>
        <v>0</v>
      </c>
      <c r="I819" s="4">
        <v>37.1</v>
      </c>
      <c r="J819" s="4">
        <v>3</v>
      </c>
      <c r="K819" s="12">
        <v>3597.596</v>
      </c>
      <c r="N819">
        <v>664</v>
      </c>
      <c r="O819">
        <v>3372.0399733908671</v>
      </c>
      <c r="P819">
        <v>-2235.6405733908668</v>
      </c>
    </row>
    <row r="820" spans="1:16" x14ac:dyDescent="0.25">
      <c r="A820" s="4" t="s">
        <v>7</v>
      </c>
      <c r="B820" s="4">
        <f>ROUND(Table13_1[[#This Row],[bmi]],1)</f>
        <v>26.1</v>
      </c>
      <c r="C820" s="4" t="str" cm="1">
        <f t="array" ref="C820">_xlfn.IFS(Table13_1[[#This Row],[Round BMI]]&lt;18.5,"Underweight",AND(Table13_1[[#This Row],[Round BMI]]&gt;=18.5,Table13_1[[#This Row],[Round BMI]] &lt;=24.9),"Healthy Weight",AND(Table13_1[[#This Row],[Round BMI]]&gt;=25,Table13_1[[#This Row],[Round BMI]]&lt;=29.9),"Overweight",Table13_1[[#This Row],[Round BMI]]&gt;=30,"Obese")</f>
        <v>Overweight</v>
      </c>
      <c r="D820" s="4" t="s">
        <v>8</v>
      </c>
      <c r="E820" s="4" t="str">
        <f>IF(Table13_1[[#This Row],[smoker]]="yes","smoker","non-smoker")</f>
        <v>smoker</v>
      </c>
      <c r="F820" s="4" t="s">
        <v>14</v>
      </c>
      <c r="G820" s="5">
        <v>47</v>
      </c>
      <c r="H820" s="5">
        <f>IF(Table13_1[[#This Row],[smoker]]="yes",1,0)</f>
        <v>1</v>
      </c>
      <c r="I820" s="4">
        <v>26.125</v>
      </c>
      <c r="J820" s="4">
        <v>1</v>
      </c>
      <c r="K820" s="12">
        <v>23401.305799999998</v>
      </c>
      <c r="N820">
        <v>665</v>
      </c>
      <c r="O820">
        <v>35610.36268828703</v>
      </c>
      <c r="P820">
        <v>-8572.4485882870285</v>
      </c>
    </row>
    <row r="821" spans="1:16" x14ac:dyDescent="0.25">
      <c r="A821" s="4" t="s">
        <v>7</v>
      </c>
      <c r="B821" s="4">
        <f>ROUND(Table13_1[[#This Row],[bmi]],1)</f>
        <v>35.5</v>
      </c>
      <c r="C821" s="4" t="str" cm="1">
        <f t="array" ref="C821">_xlfn.IFS(Table13_1[[#This Row],[Round BMI]]&lt;18.5,"Underweight",AND(Table13_1[[#This Row],[Round BMI]]&gt;=18.5,Table13_1[[#This Row],[Round BMI]] &lt;=24.9),"Healthy Weight",AND(Table13_1[[#This Row],[Round BMI]]&gt;=25,Table13_1[[#This Row],[Round BMI]]&lt;=29.9),"Overweight",Table13_1[[#This Row],[Round BMI]]&gt;=30,"Obese")</f>
        <v>Obese</v>
      </c>
      <c r="D821" s="4" t="s">
        <v>8</v>
      </c>
      <c r="E821" s="4" t="str">
        <f>IF(Table13_1[[#This Row],[smoker]]="yes","smoker","non-smoker")</f>
        <v>smoker</v>
      </c>
      <c r="F821" s="4" t="s">
        <v>13</v>
      </c>
      <c r="G821" s="5">
        <v>33</v>
      </c>
      <c r="H821" s="5">
        <f>IF(Table13_1[[#This Row],[smoker]]="yes",1,0)</f>
        <v>1</v>
      </c>
      <c r="I821" s="4">
        <v>35.53</v>
      </c>
      <c r="J821" s="4">
        <v>0</v>
      </c>
      <c r="K821" s="12">
        <v>55135.402099999999</v>
      </c>
      <c r="N821">
        <v>666</v>
      </c>
      <c r="O821">
        <v>35992.82830625827</v>
      </c>
      <c r="P821">
        <v>6567.602093741727</v>
      </c>
    </row>
    <row r="822" spans="1:16" x14ac:dyDescent="0.25">
      <c r="A822" s="4" t="s">
        <v>10</v>
      </c>
      <c r="B822" s="4">
        <f>ROUND(Table13_1[[#This Row],[bmi]],1)</f>
        <v>33.700000000000003</v>
      </c>
      <c r="C822" s="4" t="str" cm="1">
        <f t="array" ref="C822">_xlfn.IFS(Table13_1[[#This Row],[Round BMI]]&lt;18.5,"Underweight",AND(Table13_1[[#This Row],[Round BMI]]&gt;=18.5,Table13_1[[#This Row],[Round BMI]] &lt;=24.9),"Healthy Weight",AND(Table13_1[[#This Row],[Round BMI]]&gt;=25,Table13_1[[#This Row],[Round BMI]]&lt;=29.9),"Overweight",Table13_1[[#This Row],[Round BMI]]&gt;=30,"Obese")</f>
        <v>Obese</v>
      </c>
      <c r="D822" s="4" t="s">
        <v>11</v>
      </c>
      <c r="E822" s="4" t="str">
        <f>IF(Table13_1[[#This Row],[smoker]]="yes","smoker","non-smoker")</f>
        <v>non-smoker</v>
      </c>
      <c r="F822" s="4" t="s">
        <v>9</v>
      </c>
      <c r="G822" s="5">
        <v>45</v>
      </c>
      <c r="H822" s="5">
        <f>IF(Table13_1[[#This Row],[smoker]]="yes",1,0)</f>
        <v>0</v>
      </c>
      <c r="I822" s="4">
        <v>33.700000000000003</v>
      </c>
      <c r="J822" s="4">
        <v>1</v>
      </c>
      <c r="K822" s="12">
        <v>7445.9179999999997</v>
      </c>
      <c r="N822">
        <v>667</v>
      </c>
      <c r="O822">
        <v>10242.494058085311</v>
      </c>
      <c r="P822">
        <v>-1539.0380580853107</v>
      </c>
    </row>
    <row r="823" spans="1:16" x14ac:dyDescent="0.25">
      <c r="A823" s="4" t="s">
        <v>10</v>
      </c>
      <c r="B823" s="4">
        <f>ROUND(Table13_1[[#This Row],[bmi]],1)</f>
        <v>17.7</v>
      </c>
      <c r="C823" s="4" t="str" cm="1">
        <f t="array" ref="C823">_xlfn.IFS(Table13_1[[#This Row],[Round BMI]]&lt;18.5,"Underweight",AND(Table13_1[[#This Row],[Round BMI]]&gt;=18.5,Table13_1[[#This Row],[Round BMI]] &lt;=24.9),"Healthy Weight",AND(Table13_1[[#This Row],[Round BMI]]&gt;=25,Table13_1[[#This Row],[Round BMI]]&lt;=29.9),"Overweight",Table13_1[[#This Row],[Round BMI]]&gt;=30,"Obese")</f>
        <v>Underweight</v>
      </c>
      <c r="D823" s="4" t="s">
        <v>11</v>
      </c>
      <c r="E823" s="4" t="str">
        <f>IF(Table13_1[[#This Row],[smoker]]="yes","smoker","non-smoker")</f>
        <v>non-smoker</v>
      </c>
      <c r="F823" s="4" t="s">
        <v>13</v>
      </c>
      <c r="G823" s="5">
        <v>26</v>
      </c>
      <c r="H823" s="5">
        <f>IF(Table13_1[[#This Row],[smoker]]="yes",1,0)</f>
        <v>0</v>
      </c>
      <c r="I823" s="4">
        <v>17.670000000000002</v>
      </c>
      <c r="J823" s="4">
        <v>0</v>
      </c>
      <c r="K823" s="12">
        <v>2680.9493000000002</v>
      </c>
      <c r="N823">
        <v>668</v>
      </c>
      <c r="O823">
        <v>33518.295120251394</v>
      </c>
      <c r="P823">
        <v>6485.037079748603</v>
      </c>
    </row>
    <row r="824" spans="1:16" x14ac:dyDescent="0.25">
      <c r="A824" s="4" t="s">
        <v>7</v>
      </c>
      <c r="B824" s="4">
        <f>ROUND(Table13_1[[#This Row],[bmi]],1)</f>
        <v>31.1</v>
      </c>
      <c r="C824" s="4" t="str" cm="1">
        <f t="array" ref="C824">_xlfn.IFS(Table13_1[[#This Row],[Round BMI]]&lt;18.5,"Underweight",AND(Table13_1[[#This Row],[Round BMI]]&gt;=18.5,Table13_1[[#This Row],[Round BMI]] &lt;=24.9),"Healthy Weight",AND(Table13_1[[#This Row],[Round BMI]]&gt;=25,Table13_1[[#This Row],[Round BMI]]&lt;=29.9),"Overweight",Table13_1[[#This Row],[Round BMI]]&gt;=30,"Obese")</f>
        <v>Obese</v>
      </c>
      <c r="D824" s="4" t="s">
        <v>11</v>
      </c>
      <c r="E824" s="4" t="str">
        <f>IF(Table13_1[[#This Row],[smoker]]="yes","smoker","non-smoker")</f>
        <v>non-smoker</v>
      </c>
      <c r="F824" s="4" t="s">
        <v>12</v>
      </c>
      <c r="G824" s="5">
        <v>18</v>
      </c>
      <c r="H824" s="5">
        <f>IF(Table13_1[[#This Row],[smoker]]="yes",1,0)</f>
        <v>0</v>
      </c>
      <c r="I824" s="4">
        <v>31.13</v>
      </c>
      <c r="J824" s="4">
        <v>0</v>
      </c>
      <c r="K824" s="12">
        <v>1621.8827000000001</v>
      </c>
      <c r="N824">
        <v>669</v>
      </c>
      <c r="O824">
        <v>37999.372584268262</v>
      </c>
      <c r="P824">
        <v>7710.8352157317349</v>
      </c>
    </row>
    <row r="825" spans="1:16" x14ac:dyDescent="0.25">
      <c r="A825" s="4" t="s">
        <v>7</v>
      </c>
      <c r="B825" s="4">
        <f>ROUND(Table13_1[[#This Row],[bmi]],1)</f>
        <v>29.8</v>
      </c>
      <c r="C825" s="4" t="str" cm="1">
        <f t="array" ref="C825">_xlfn.IFS(Table13_1[[#This Row],[Round BMI]]&lt;18.5,"Underweight",AND(Table13_1[[#This Row],[Round BMI]]&gt;=18.5,Table13_1[[#This Row],[Round BMI]] &lt;=24.9),"Healthy Weight",AND(Table13_1[[#This Row],[Round BMI]]&gt;=25,Table13_1[[#This Row],[Round BMI]]&lt;=29.9),"Overweight",Table13_1[[#This Row],[Round BMI]]&gt;=30,"Obese")</f>
        <v>Overweight</v>
      </c>
      <c r="D825" s="4" t="s">
        <v>11</v>
      </c>
      <c r="E825" s="4" t="str">
        <f>IF(Table13_1[[#This Row],[smoker]]="yes","smoker","non-smoker")</f>
        <v>non-smoker</v>
      </c>
      <c r="F825" s="4" t="s">
        <v>12</v>
      </c>
      <c r="G825" s="5">
        <v>44</v>
      </c>
      <c r="H825" s="5">
        <f>IF(Table13_1[[#This Row],[smoker]]="yes",1,0)</f>
        <v>0</v>
      </c>
      <c r="I825" s="4">
        <v>29.81</v>
      </c>
      <c r="J825" s="4">
        <v>2</v>
      </c>
      <c r="K825" s="12">
        <v>8219.2039000000004</v>
      </c>
      <c r="N825">
        <v>670</v>
      </c>
      <c r="O825">
        <v>8279.1035492658539</v>
      </c>
      <c r="P825">
        <v>-1778.8676492658542</v>
      </c>
    </row>
    <row r="826" spans="1:16" x14ac:dyDescent="0.25">
      <c r="A826" s="4" t="s">
        <v>10</v>
      </c>
      <c r="B826" s="4">
        <f>ROUND(Table13_1[[#This Row],[bmi]],1)</f>
        <v>24.3</v>
      </c>
      <c r="C826" s="4" t="str" cm="1">
        <f t="array" ref="C826">_xlfn.IFS(Table13_1[[#This Row],[Round BMI]]&lt;18.5,"Underweight",AND(Table13_1[[#This Row],[Round BMI]]&gt;=18.5,Table13_1[[#This Row],[Round BMI]] &lt;=24.9),"Healthy Weight",AND(Table13_1[[#This Row],[Round BMI]]&gt;=25,Table13_1[[#This Row],[Round BMI]]&lt;=29.9),"Overweight",Table13_1[[#This Row],[Round BMI]]&gt;=30,"Obese")</f>
        <v>Healthy Weight</v>
      </c>
      <c r="D826" s="4" t="s">
        <v>11</v>
      </c>
      <c r="E826" s="4" t="str">
        <f>IF(Table13_1[[#This Row],[smoker]]="yes","smoker","non-smoker")</f>
        <v>non-smoker</v>
      </c>
      <c r="F826" s="4" t="s">
        <v>13</v>
      </c>
      <c r="G826" s="5">
        <v>60</v>
      </c>
      <c r="H826" s="5">
        <f>IF(Table13_1[[#This Row],[smoker]]="yes",1,0)</f>
        <v>0</v>
      </c>
      <c r="I826" s="4">
        <v>24.32</v>
      </c>
      <c r="J826" s="4">
        <v>0</v>
      </c>
      <c r="K826" s="12">
        <v>12523.604799999999</v>
      </c>
      <c r="N826">
        <v>671</v>
      </c>
      <c r="O826">
        <v>7214.0715760544745</v>
      </c>
      <c r="P826">
        <v>-2376.4892760544744</v>
      </c>
    </row>
    <row r="827" spans="1:16" x14ac:dyDescent="0.25">
      <c r="A827" s="4" t="s">
        <v>7</v>
      </c>
      <c r="B827" s="4">
        <f>ROUND(Table13_1[[#This Row],[bmi]],1)</f>
        <v>31.8</v>
      </c>
      <c r="C827" s="4" t="str" cm="1">
        <f t="array" ref="C827">_xlfn.IFS(Table13_1[[#This Row],[Round BMI]]&lt;18.5,"Underweight",AND(Table13_1[[#This Row],[Round BMI]]&gt;=18.5,Table13_1[[#This Row],[Round BMI]] &lt;=24.9),"Healthy Weight",AND(Table13_1[[#This Row],[Round BMI]]&gt;=25,Table13_1[[#This Row],[Round BMI]]&lt;=29.9),"Overweight",Table13_1[[#This Row],[Round BMI]]&gt;=30,"Obese")</f>
        <v>Obese</v>
      </c>
      <c r="D827" s="4" t="s">
        <v>11</v>
      </c>
      <c r="E827" s="4" t="str">
        <f>IF(Table13_1[[#This Row],[smoker]]="yes","smoker","non-smoker")</f>
        <v>non-smoker</v>
      </c>
      <c r="F827" s="4" t="s">
        <v>14</v>
      </c>
      <c r="G827" s="5">
        <v>64</v>
      </c>
      <c r="H827" s="5">
        <f>IF(Table13_1[[#This Row],[smoker]]="yes",1,0)</f>
        <v>0</v>
      </c>
      <c r="I827" s="4">
        <v>31.824999999999999</v>
      </c>
      <c r="J827" s="4">
        <v>2</v>
      </c>
      <c r="K827" s="12">
        <v>16069.084800000001</v>
      </c>
      <c r="N827">
        <v>672</v>
      </c>
      <c r="O827">
        <v>5403.7560469217515</v>
      </c>
      <c r="P827">
        <v>-1460.1606469217513</v>
      </c>
    </row>
    <row r="828" spans="1:16" x14ac:dyDescent="0.25">
      <c r="A828" s="4" t="s">
        <v>10</v>
      </c>
      <c r="B828" s="4">
        <f>ROUND(Table13_1[[#This Row],[bmi]],1)</f>
        <v>31.8</v>
      </c>
      <c r="C828" s="4" t="str" cm="1">
        <f t="array" ref="C828">_xlfn.IFS(Table13_1[[#This Row],[Round BMI]]&lt;18.5,"Underweight",AND(Table13_1[[#This Row],[Round BMI]]&gt;=18.5,Table13_1[[#This Row],[Round BMI]] &lt;=24.9),"Healthy Weight",AND(Table13_1[[#This Row],[Round BMI]]&gt;=25,Table13_1[[#This Row],[Round BMI]]&lt;=29.9),"Overweight",Table13_1[[#This Row],[Round BMI]]&gt;=30,"Obese")</f>
        <v>Obese</v>
      </c>
      <c r="D828" s="4" t="s">
        <v>8</v>
      </c>
      <c r="E828" s="4" t="str">
        <f>IF(Table13_1[[#This Row],[smoker]]="yes","smoker","non-smoker")</f>
        <v>smoker</v>
      </c>
      <c r="F828" s="4" t="s">
        <v>12</v>
      </c>
      <c r="G828" s="5">
        <v>56</v>
      </c>
      <c r="H828" s="5">
        <f>IF(Table13_1[[#This Row],[smoker]]="yes",1,0)</f>
        <v>1</v>
      </c>
      <c r="I828" s="4">
        <v>31.79</v>
      </c>
      <c r="J828" s="4">
        <v>2</v>
      </c>
      <c r="K828" s="12">
        <v>43813.866099999999</v>
      </c>
      <c r="N828">
        <v>673</v>
      </c>
      <c r="O828">
        <v>6738.7995500860743</v>
      </c>
      <c r="P828">
        <v>-2339.0685500860745</v>
      </c>
    </row>
    <row r="829" spans="1:16" x14ac:dyDescent="0.25">
      <c r="A829" s="4" t="s">
        <v>10</v>
      </c>
      <c r="B829" s="4">
        <f>ROUND(Table13_1[[#This Row],[bmi]],1)</f>
        <v>28</v>
      </c>
      <c r="C829" s="4" t="str" cm="1">
        <f t="array" ref="C829">_xlfn.IFS(Table13_1[[#This Row],[Round BMI]]&lt;18.5,"Underweight",AND(Table13_1[[#This Row],[Round BMI]]&gt;=18.5,Table13_1[[#This Row],[Round BMI]] &lt;=24.9),"Healthy Weight",AND(Table13_1[[#This Row],[Round BMI]]&gt;=25,Table13_1[[#This Row],[Round BMI]]&lt;=29.9),"Overweight",Table13_1[[#This Row],[Round BMI]]&gt;=30,"Obese")</f>
        <v>Overweight</v>
      </c>
      <c r="D829" s="4" t="s">
        <v>8</v>
      </c>
      <c r="E829" s="4" t="str">
        <f>IF(Table13_1[[#This Row],[smoker]]="yes","smoker","non-smoker")</f>
        <v>smoker</v>
      </c>
      <c r="F829" s="4" t="s">
        <v>14</v>
      </c>
      <c r="G829" s="5">
        <v>36</v>
      </c>
      <c r="H829" s="5">
        <f>IF(Table13_1[[#This Row],[smoker]]="yes",1,0)</f>
        <v>1</v>
      </c>
      <c r="I829" s="4">
        <v>28.024999999999999</v>
      </c>
      <c r="J829" s="4">
        <v>1</v>
      </c>
      <c r="K829" s="12">
        <v>20773.627799999998</v>
      </c>
      <c r="N829">
        <v>674</v>
      </c>
      <c r="O829">
        <v>8452.8909384882536</v>
      </c>
      <c r="P829">
        <v>-2267.5701384882532</v>
      </c>
    </row>
    <row r="830" spans="1:16" x14ac:dyDescent="0.25">
      <c r="A830" s="4" t="s">
        <v>10</v>
      </c>
      <c r="B830" s="4">
        <f>ROUND(Table13_1[[#This Row],[bmi]],1)</f>
        <v>30.8</v>
      </c>
      <c r="C830" s="4" t="str" cm="1">
        <f t="array" ref="C830">_xlfn.IFS(Table13_1[[#This Row],[Round BMI]]&lt;18.5,"Underweight",AND(Table13_1[[#This Row],[Round BMI]]&gt;=18.5,Table13_1[[#This Row],[Round BMI]] &lt;=24.9),"Healthy Weight",AND(Table13_1[[#This Row],[Round BMI]]&gt;=25,Table13_1[[#This Row],[Round BMI]]&lt;=29.9),"Overweight",Table13_1[[#This Row],[Round BMI]]&gt;=30,"Obese")</f>
        <v>Obese</v>
      </c>
      <c r="D830" s="4" t="s">
        <v>8</v>
      </c>
      <c r="E830" s="4" t="str">
        <f>IF(Table13_1[[#This Row],[smoker]]="yes","smoker","non-smoker")</f>
        <v>smoker</v>
      </c>
      <c r="F830" s="4" t="s">
        <v>14</v>
      </c>
      <c r="G830" s="5">
        <v>41</v>
      </c>
      <c r="H830" s="5">
        <f>IF(Table13_1[[#This Row],[smoker]]="yes",1,0)</f>
        <v>1</v>
      </c>
      <c r="I830" s="4">
        <v>30.78</v>
      </c>
      <c r="J830" s="4">
        <v>3</v>
      </c>
      <c r="K830" s="12">
        <v>39597.407200000001</v>
      </c>
      <c r="N830">
        <v>675</v>
      </c>
      <c r="O830">
        <v>38127.071492152892</v>
      </c>
      <c r="P830">
        <v>8073.9136078471056</v>
      </c>
    </row>
    <row r="831" spans="1:16" x14ac:dyDescent="0.25">
      <c r="A831" s="4" t="s">
        <v>10</v>
      </c>
      <c r="B831" s="4">
        <f>ROUND(Table13_1[[#This Row],[bmi]],1)</f>
        <v>21.9</v>
      </c>
      <c r="C831" s="4" t="str" cm="1">
        <f t="array" ref="C831">_xlfn.IFS(Table13_1[[#This Row],[Round BMI]]&lt;18.5,"Underweight",AND(Table13_1[[#This Row],[Round BMI]]&gt;=18.5,Table13_1[[#This Row],[Round BMI]] &lt;=24.9),"Healthy Weight",AND(Table13_1[[#This Row],[Round BMI]]&gt;=25,Table13_1[[#This Row],[Round BMI]]&lt;=29.9),"Overweight",Table13_1[[#This Row],[Round BMI]]&gt;=30,"Obese")</f>
        <v>Healthy Weight</v>
      </c>
      <c r="D831" s="4" t="s">
        <v>11</v>
      </c>
      <c r="E831" s="4" t="str">
        <f>IF(Table13_1[[#This Row],[smoker]]="yes","smoker","non-smoker")</f>
        <v>non-smoker</v>
      </c>
      <c r="F831" s="4" t="s">
        <v>13</v>
      </c>
      <c r="G831" s="5">
        <v>39</v>
      </c>
      <c r="H831" s="5">
        <f>IF(Table13_1[[#This Row],[smoker]]="yes",1,0)</f>
        <v>0</v>
      </c>
      <c r="I831" s="4">
        <v>21.85</v>
      </c>
      <c r="J831" s="4">
        <v>1</v>
      </c>
      <c r="K831" s="12">
        <v>6117.4944999999998</v>
      </c>
      <c r="N831">
        <v>676</v>
      </c>
      <c r="O831">
        <v>6380.0321874061829</v>
      </c>
      <c r="P831">
        <v>842.7540125938167</v>
      </c>
    </row>
    <row r="832" spans="1:16" x14ac:dyDescent="0.25">
      <c r="A832" s="4" t="s">
        <v>10</v>
      </c>
      <c r="B832" s="4">
        <f>ROUND(Table13_1[[#This Row],[bmi]],1)</f>
        <v>33.1</v>
      </c>
      <c r="C832" s="4" t="str" cm="1">
        <f t="array" ref="C832">_xlfn.IFS(Table13_1[[#This Row],[Round BMI]]&lt;18.5,"Underweight",AND(Table13_1[[#This Row],[Round BMI]]&gt;=18.5,Table13_1[[#This Row],[Round BMI]] &lt;=24.9),"Healthy Weight",AND(Table13_1[[#This Row],[Round BMI]]&gt;=25,Table13_1[[#This Row],[Round BMI]]&lt;=29.9),"Overweight",Table13_1[[#This Row],[Round BMI]]&gt;=30,"Obese")</f>
        <v>Obese</v>
      </c>
      <c r="D832" s="4" t="s">
        <v>11</v>
      </c>
      <c r="E832" s="4" t="str">
        <f>IF(Table13_1[[#This Row],[smoker]]="yes","smoker","non-smoker")</f>
        <v>non-smoker</v>
      </c>
      <c r="F832" s="4" t="s">
        <v>9</v>
      </c>
      <c r="G832" s="5">
        <v>63</v>
      </c>
      <c r="H832" s="5">
        <f>IF(Table13_1[[#This Row],[smoker]]="yes",1,0)</f>
        <v>0</v>
      </c>
      <c r="I832" s="4">
        <v>33.1</v>
      </c>
      <c r="J832" s="4">
        <v>0</v>
      </c>
      <c r="K832" s="12">
        <v>13393.755999999999</v>
      </c>
      <c r="N832">
        <v>677</v>
      </c>
      <c r="O832">
        <v>16634.216221566177</v>
      </c>
      <c r="P832">
        <v>-4148.4153215661772</v>
      </c>
    </row>
    <row r="833" spans="1:16" x14ac:dyDescent="0.25">
      <c r="A833" s="4" t="s">
        <v>7</v>
      </c>
      <c r="B833" s="4">
        <f>ROUND(Table13_1[[#This Row],[bmi]],1)</f>
        <v>25.8</v>
      </c>
      <c r="C833" s="4" t="str" cm="1">
        <f t="array" ref="C833">_xlfn.IFS(Table13_1[[#This Row],[Round BMI]]&lt;18.5,"Underweight",AND(Table13_1[[#This Row],[Round BMI]]&gt;=18.5,Table13_1[[#This Row],[Round BMI]] &lt;=24.9),"Healthy Weight",AND(Table13_1[[#This Row],[Round BMI]]&gt;=25,Table13_1[[#This Row],[Round BMI]]&lt;=29.9),"Overweight",Table13_1[[#This Row],[Round BMI]]&gt;=30,"Obese")</f>
        <v>Overweight</v>
      </c>
      <c r="D833" s="4" t="s">
        <v>11</v>
      </c>
      <c r="E833" s="4" t="str">
        <f>IF(Table13_1[[#This Row],[smoker]]="yes","smoker","non-smoker")</f>
        <v>non-smoker</v>
      </c>
      <c r="F833" s="4" t="s">
        <v>13</v>
      </c>
      <c r="G833" s="5">
        <v>36</v>
      </c>
      <c r="H833" s="5">
        <f>IF(Table13_1[[#This Row],[smoker]]="yes",1,0)</f>
        <v>0</v>
      </c>
      <c r="I833" s="4">
        <v>25.84</v>
      </c>
      <c r="J833" s="4">
        <v>0</v>
      </c>
      <c r="K833" s="12">
        <v>5266.3656000000001</v>
      </c>
      <c r="N833">
        <v>678</v>
      </c>
      <c r="O833">
        <v>38690.149333355614</v>
      </c>
      <c r="P833">
        <v>7440.3771666443863</v>
      </c>
    </row>
    <row r="834" spans="1:16" x14ac:dyDescent="0.25">
      <c r="A834" s="4" t="s">
        <v>7</v>
      </c>
      <c r="B834" s="4">
        <f>ROUND(Table13_1[[#This Row],[bmi]],1)</f>
        <v>23.8</v>
      </c>
      <c r="C834" s="4" t="str" cm="1">
        <f t="array" ref="C834">_xlfn.IFS(Table13_1[[#This Row],[Round BMI]]&lt;18.5,"Underweight",AND(Table13_1[[#This Row],[Round BMI]]&gt;=18.5,Table13_1[[#This Row],[Round BMI]] &lt;=24.9),"Healthy Weight",AND(Table13_1[[#This Row],[Round BMI]]&gt;=25,Table13_1[[#This Row],[Round BMI]]&lt;=29.9),"Overweight",Table13_1[[#This Row],[Round BMI]]&gt;=30,"Obese")</f>
        <v>Healthy Weight</v>
      </c>
      <c r="D834" s="4" t="s">
        <v>11</v>
      </c>
      <c r="E834" s="4" t="str">
        <f>IF(Table13_1[[#This Row],[smoker]]="yes","smoker","non-smoker")</f>
        <v>non-smoker</v>
      </c>
      <c r="F834" s="4" t="s">
        <v>13</v>
      </c>
      <c r="G834" s="5">
        <v>28</v>
      </c>
      <c r="H834" s="5">
        <f>IF(Table13_1[[#This Row],[smoker]]="yes",1,0)</f>
        <v>0</v>
      </c>
      <c r="I834" s="4">
        <v>23.844999999999999</v>
      </c>
      <c r="J834" s="4">
        <v>2</v>
      </c>
      <c r="K834" s="12">
        <v>4719.7366000000002</v>
      </c>
      <c r="N834">
        <v>679</v>
      </c>
      <c r="O834">
        <v>15376.145621514423</v>
      </c>
      <c r="P834">
        <v>-3012.5986215144221</v>
      </c>
    </row>
    <row r="835" spans="1:16" x14ac:dyDescent="0.25">
      <c r="A835" s="4" t="s">
        <v>10</v>
      </c>
      <c r="B835" s="4">
        <f>ROUND(Table13_1[[#This Row],[bmi]],1)</f>
        <v>34.4</v>
      </c>
      <c r="C835" s="4" t="str" cm="1">
        <f t="array" ref="C835">_xlfn.IFS(Table13_1[[#This Row],[Round BMI]]&lt;18.5,"Underweight",AND(Table13_1[[#This Row],[Round BMI]]&gt;=18.5,Table13_1[[#This Row],[Round BMI]] &lt;=24.9),"Healthy Weight",AND(Table13_1[[#This Row],[Round BMI]]&gt;=25,Table13_1[[#This Row],[Round BMI]]&lt;=29.9),"Overweight",Table13_1[[#This Row],[Round BMI]]&gt;=30,"Obese")</f>
        <v>Obese</v>
      </c>
      <c r="D835" s="4" t="s">
        <v>11</v>
      </c>
      <c r="E835" s="4" t="str">
        <f>IF(Table13_1[[#This Row],[smoker]]="yes","smoker","non-smoker")</f>
        <v>non-smoker</v>
      </c>
      <c r="F835" s="4" t="s">
        <v>13</v>
      </c>
      <c r="G835" s="5">
        <v>58</v>
      </c>
      <c r="H835" s="5">
        <f>IF(Table13_1[[#This Row],[smoker]]="yes",1,0)</f>
        <v>0</v>
      </c>
      <c r="I835" s="4">
        <v>34.39</v>
      </c>
      <c r="J835" s="4">
        <v>0</v>
      </c>
      <c r="K835" s="12">
        <v>11743.9341</v>
      </c>
      <c r="N835">
        <v>680</v>
      </c>
      <c r="O835">
        <v>8939.376629947641</v>
      </c>
      <c r="P835">
        <v>1217.4065700523588</v>
      </c>
    </row>
    <row r="836" spans="1:16" x14ac:dyDescent="0.25">
      <c r="A836" s="4" t="s">
        <v>10</v>
      </c>
      <c r="B836" s="4">
        <f>ROUND(Table13_1[[#This Row],[bmi]],1)</f>
        <v>33.799999999999997</v>
      </c>
      <c r="C836" s="4" t="str" cm="1">
        <f t="array" ref="C836">_xlfn.IFS(Table13_1[[#This Row],[Round BMI]]&lt;18.5,"Underweight",AND(Table13_1[[#This Row],[Round BMI]]&gt;=18.5,Table13_1[[#This Row],[Round BMI]] &lt;=24.9),"Healthy Weight",AND(Table13_1[[#This Row],[Round BMI]]&gt;=25,Table13_1[[#This Row],[Round BMI]]&lt;=29.9),"Overweight",Table13_1[[#This Row],[Round BMI]]&gt;=30,"Obese")</f>
        <v>Obese</v>
      </c>
      <c r="D836" s="4" t="s">
        <v>11</v>
      </c>
      <c r="E836" s="4" t="str">
        <f>IF(Table13_1[[#This Row],[smoker]]="yes","smoker","non-smoker")</f>
        <v>non-smoker</v>
      </c>
      <c r="F836" s="4" t="s">
        <v>13</v>
      </c>
      <c r="G836" s="5">
        <v>36</v>
      </c>
      <c r="H836" s="5">
        <f>IF(Table13_1[[#This Row],[smoker]]="yes",1,0)</f>
        <v>0</v>
      </c>
      <c r="I836" s="4">
        <v>33.82</v>
      </c>
      <c r="J836" s="4">
        <v>1</v>
      </c>
      <c r="K836" s="12">
        <v>5377.4578000000001</v>
      </c>
      <c r="N836">
        <v>681</v>
      </c>
      <c r="O836">
        <v>-614.21299927035727</v>
      </c>
      <c r="P836">
        <v>3199.4819992703569</v>
      </c>
    </row>
    <row r="837" spans="1:16" x14ac:dyDescent="0.25">
      <c r="A837" s="4" t="s">
        <v>10</v>
      </c>
      <c r="B837" s="4">
        <f>ROUND(Table13_1[[#This Row],[bmi]],1)</f>
        <v>36</v>
      </c>
      <c r="C837" s="4" t="str" cm="1">
        <f t="array" ref="C837">_xlfn.IFS(Table13_1[[#This Row],[Round BMI]]&lt;18.5,"Underweight",AND(Table13_1[[#This Row],[Round BMI]]&gt;=18.5,Table13_1[[#This Row],[Round BMI]] &lt;=24.9),"Healthy Weight",AND(Table13_1[[#This Row],[Round BMI]]&gt;=25,Table13_1[[#This Row],[Round BMI]]&lt;=29.9),"Overweight",Table13_1[[#This Row],[Round BMI]]&gt;=30,"Obese")</f>
        <v>Obese</v>
      </c>
      <c r="D837" s="4" t="s">
        <v>11</v>
      </c>
      <c r="E837" s="4" t="str">
        <f>IF(Table13_1[[#This Row],[smoker]]="yes","smoker","non-smoker")</f>
        <v>non-smoker</v>
      </c>
      <c r="F837" s="4" t="s">
        <v>12</v>
      </c>
      <c r="G837" s="5">
        <v>42</v>
      </c>
      <c r="H837" s="5">
        <f>IF(Table13_1[[#This Row],[smoker]]="yes",1,0)</f>
        <v>0</v>
      </c>
      <c r="I837" s="4">
        <v>35.97</v>
      </c>
      <c r="J837" s="4">
        <v>2</v>
      </c>
      <c r="K837" s="12">
        <v>7160.3302999999996</v>
      </c>
      <c r="N837">
        <v>682</v>
      </c>
      <c r="O837">
        <v>-670.0452612373756</v>
      </c>
      <c r="P837">
        <v>1912.3052612373756</v>
      </c>
    </row>
    <row r="838" spans="1:16" x14ac:dyDescent="0.25">
      <c r="A838" s="4" t="s">
        <v>10</v>
      </c>
      <c r="B838" s="4">
        <f>ROUND(Table13_1[[#This Row],[bmi]],1)</f>
        <v>31.5</v>
      </c>
      <c r="C838" s="4" t="str" cm="1">
        <f t="array" ref="C838">_xlfn.IFS(Table13_1[[#This Row],[Round BMI]]&lt;18.5,"Underweight",AND(Table13_1[[#This Row],[Round BMI]]&gt;=18.5,Table13_1[[#This Row],[Round BMI]] &lt;=24.9),"Healthy Weight",AND(Table13_1[[#This Row],[Round BMI]]&gt;=25,Table13_1[[#This Row],[Round BMI]]&lt;=29.9),"Overweight",Table13_1[[#This Row],[Round BMI]]&gt;=30,"Obese")</f>
        <v>Obese</v>
      </c>
      <c r="D838" s="4" t="s">
        <v>11</v>
      </c>
      <c r="E838" s="4" t="str">
        <f>IF(Table13_1[[#This Row],[smoker]]="yes","smoker","non-smoker")</f>
        <v>non-smoker</v>
      </c>
      <c r="F838" s="4" t="s">
        <v>9</v>
      </c>
      <c r="G838" s="5">
        <v>36</v>
      </c>
      <c r="H838" s="5">
        <f>IF(Table13_1[[#This Row],[smoker]]="yes",1,0)</f>
        <v>0</v>
      </c>
      <c r="I838" s="4">
        <v>31.5</v>
      </c>
      <c r="J838" s="4">
        <v>0</v>
      </c>
      <c r="K838" s="12">
        <v>4402.2330000000002</v>
      </c>
      <c r="N838">
        <v>683</v>
      </c>
      <c r="O838">
        <v>34073.120405095098</v>
      </c>
      <c r="P838">
        <v>6030.7695949049012</v>
      </c>
    </row>
    <row r="839" spans="1:16" x14ac:dyDescent="0.25">
      <c r="A839" s="4" t="s">
        <v>7</v>
      </c>
      <c r="B839" s="4">
        <f>ROUND(Table13_1[[#This Row],[bmi]],1)</f>
        <v>28.3</v>
      </c>
      <c r="C839" s="4" t="str" cm="1">
        <f t="array" ref="C839">_xlfn.IFS(Table13_1[[#This Row],[Round BMI]]&lt;18.5,"Underweight",AND(Table13_1[[#This Row],[Round BMI]]&gt;=18.5,Table13_1[[#This Row],[Round BMI]] &lt;=24.9),"Healthy Weight",AND(Table13_1[[#This Row],[Round BMI]]&gt;=25,Table13_1[[#This Row],[Round BMI]]&lt;=29.9),"Overweight",Table13_1[[#This Row],[Round BMI]]&gt;=30,"Obese")</f>
        <v>Overweight</v>
      </c>
      <c r="D839" s="4" t="s">
        <v>11</v>
      </c>
      <c r="E839" s="4" t="str">
        <f>IF(Table13_1[[#This Row],[smoker]]="yes","smoker","non-smoker")</f>
        <v>non-smoker</v>
      </c>
      <c r="F839" s="4" t="s">
        <v>14</v>
      </c>
      <c r="G839" s="5">
        <v>56</v>
      </c>
      <c r="H839" s="5">
        <f>IF(Table13_1[[#This Row],[smoker]]="yes",1,0)</f>
        <v>0</v>
      </c>
      <c r="I839" s="4">
        <v>28.31</v>
      </c>
      <c r="J839" s="4">
        <v>0</v>
      </c>
      <c r="K839" s="12">
        <v>11657.7189</v>
      </c>
      <c r="N839">
        <v>684</v>
      </c>
      <c r="O839">
        <v>9390.680627416401</v>
      </c>
      <c r="P839">
        <v>472.79117258359838</v>
      </c>
    </row>
    <row r="840" spans="1:16" x14ac:dyDescent="0.25">
      <c r="A840" s="4" t="s">
        <v>7</v>
      </c>
      <c r="B840" s="4">
        <f>ROUND(Table13_1[[#This Row],[bmi]],1)</f>
        <v>23.5</v>
      </c>
      <c r="C840" s="4" t="str" cm="1">
        <f t="array" ref="C840">_xlfn.IFS(Table13_1[[#This Row],[Round BMI]]&lt;18.5,"Underweight",AND(Table13_1[[#This Row],[Round BMI]]&gt;=18.5,Table13_1[[#This Row],[Round BMI]] &lt;=24.9),"Healthy Weight",AND(Table13_1[[#This Row],[Round BMI]]&gt;=25,Table13_1[[#This Row],[Round BMI]]&lt;=29.9),"Overweight",Table13_1[[#This Row],[Round BMI]]&gt;=30,"Obese")</f>
        <v>Healthy Weight</v>
      </c>
      <c r="D840" s="4" t="s">
        <v>11</v>
      </c>
      <c r="E840" s="4" t="str">
        <f>IF(Table13_1[[#This Row],[smoker]]="yes","smoker","non-smoker")</f>
        <v>non-smoker</v>
      </c>
      <c r="F840" s="4" t="s">
        <v>14</v>
      </c>
      <c r="G840" s="5">
        <v>35</v>
      </c>
      <c r="H840" s="5">
        <f>IF(Table13_1[[#This Row],[smoker]]="yes",1,0)</f>
        <v>0</v>
      </c>
      <c r="I840" s="4">
        <v>23.465</v>
      </c>
      <c r="J840" s="4">
        <v>2</v>
      </c>
      <c r="K840" s="12">
        <v>6402.2914000000001</v>
      </c>
      <c r="N840">
        <v>685</v>
      </c>
      <c r="O840">
        <v>2834.0176318192493</v>
      </c>
      <c r="P840">
        <v>1932.0043681807506</v>
      </c>
    </row>
    <row r="841" spans="1:16" x14ac:dyDescent="0.25">
      <c r="A841" s="4" t="s">
        <v>7</v>
      </c>
      <c r="B841" s="4">
        <f>ROUND(Table13_1[[#This Row],[bmi]],1)</f>
        <v>31.4</v>
      </c>
      <c r="C841" s="4" t="str" cm="1">
        <f t="array" ref="C841">_xlfn.IFS(Table13_1[[#This Row],[Round BMI]]&lt;18.5,"Underweight",AND(Table13_1[[#This Row],[Round BMI]]&gt;=18.5,Table13_1[[#This Row],[Round BMI]] &lt;=24.9),"Healthy Weight",AND(Table13_1[[#This Row],[Round BMI]]&gt;=25,Table13_1[[#This Row],[Round BMI]]&lt;=29.9),"Overweight",Table13_1[[#This Row],[Round BMI]]&gt;=30,"Obese")</f>
        <v>Obese</v>
      </c>
      <c r="D841" s="4" t="s">
        <v>11</v>
      </c>
      <c r="E841" s="4" t="str">
        <f>IF(Table13_1[[#This Row],[smoker]]="yes","smoker","non-smoker")</f>
        <v>non-smoker</v>
      </c>
      <c r="F841" s="4" t="s">
        <v>13</v>
      </c>
      <c r="G841" s="5">
        <v>59</v>
      </c>
      <c r="H841" s="5">
        <f>IF(Table13_1[[#This Row],[smoker]]="yes",1,0)</f>
        <v>0</v>
      </c>
      <c r="I841" s="4">
        <v>31.35</v>
      </c>
      <c r="J841" s="4">
        <v>0</v>
      </c>
      <c r="K841" s="12">
        <v>12622.1795</v>
      </c>
      <c r="N841">
        <v>686</v>
      </c>
      <c r="O841">
        <v>11010.354690446182</v>
      </c>
      <c r="P841">
        <v>234.02220955381745</v>
      </c>
    </row>
    <row r="842" spans="1:16" x14ac:dyDescent="0.25">
      <c r="A842" s="4" t="s">
        <v>10</v>
      </c>
      <c r="B842" s="4">
        <f>ROUND(Table13_1[[#This Row],[bmi]],1)</f>
        <v>31.1</v>
      </c>
      <c r="C842" s="4" t="str" cm="1">
        <f t="array" ref="C842">_xlfn.IFS(Table13_1[[#This Row],[Round BMI]]&lt;18.5,"Underweight",AND(Table13_1[[#This Row],[Round BMI]]&gt;=18.5,Table13_1[[#This Row],[Round BMI]] &lt;=24.9),"Healthy Weight",AND(Table13_1[[#This Row],[Round BMI]]&gt;=25,Table13_1[[#This Row],[Round BMI]]&lt;=29.9),"Overweight",Table13_1[[#This Row],[Round BMI]]&gt;=30,"Obese")</f>
        <v>Obese</v>
      </c>
      <c r="D842" s="4" t="s">
        <v>11</v>
      </c>
      <c r="E842" s="4" t="str">
        <f>IF(Table13_1[[#This Row],[smoker]]="yes","smoker","non-smoker")</f>
        <v>non-smoker</v>
      </c>
      <c r="F842" s="4" t="s">
        <v>9</v>
      </c>
      <c r="G842" s="5">
        <v>21</v>
      </c>
      <c r="H842" s="5">
        <f>IF(Table13_1[[#This Row],[smoker]]="yes",1,0)</f>
        <v>0</v>
      </c>
      <c r="I842" s="4">
        <v>31.1</v>
      </c>
      <c r="J842" s="4">
        <v>0</v>
      </c>
      <c r="K842" s="12">
        <v>1526.3119999999999</v>
      </c>
      <c r="N842">
        <v>687</v>
      </c>
      <c r="O842">
        <v>8082.2824600025224</v>
      </c>
      <c r="P842">
        <v>-352.63666000252215</v>
      </c>
    </row>
    <row r="843" spans="1:16" x14ac:dyDescent="0.25">
      <c r="A843" s="4" t="s">
        <v>10</v>
      </c>
      <c r="B843" s="4">
        <f>ROUND(Table13_1[[#This Row],[bmi]],1)</f>
        <v>24.7</v>
      </c>
      <c r="C843" s="4" t="str" cm="1">
        <f t="array" ref="C843">_xlfn.IFS(Table13_1[[#This Row],[Round BMI]]&lt;18.5,"Underweight",AND(Table13_1[[#This Row],[Round BMI]]&gt;=18.5,Table13_1[[#This Row],[Round BMI]] &lt;=24.9),"Healthy Weight",AND(Table13_1[[#This Row],[Round BMI]]&gt;=25,Table13_1[[#This Row],[Round BMI]]&lt;=29.9),"Overweight",Table13_1[[#This Row],[Round BMI]]&gt;=30,"Obese")</f>
        <v>Healthy Weight</v>
      </c>
      <c r="D843" s="4" t="s">
        <v>11</v>
      </c>
      <c r="E843" s="4" t="str">
        <f>IF(Table13_1[[#This Row],[smoker]]="yes","smoker","non-smoker")</f>
        <v>non-smoker</v>
      </c>
      <c r="F843" s="4" t="s">
        <v>14</v>
      </c>
      <c r="G843" s="5">
        <v>59</v>
      </c>
      <c r="H843" s="5">
        <f>IF(Table13_1[[#This Row],[smoker]]="yes",1,0)</f>
        <v>0</v>
      </c>
      <c r="I843" s="4">
        <v>24.7</v>
      </c>
      <c r="J843" s="4">
        <v>0</v>
      </c>
      <c r="K843" s="12">
        <v>12323.936</v>
      </c>
      <c r="N843">
        <v>688</v>
      </c>
      <c r="O843">
        <v>11629.195899473634</v>
      </c>
      <c r="P843">
        <v>-6190.4467994736342</v>
      </c>
    </row>
    <row r="844" spans="1:16" x14ac:dyDescent="0.25">
      <c r="A844" s="4" t="s">
        <v>7</v>
      </c>
      <c r="B844" s="4">
        <f>ROUND(Table13_1[[#This Row],[bmi]],1)</f>
        <v>32.799999999999997</v>
      </c>
      <c r="C844" s="4" t="str" cm="1">
        <f t="array" ref="C844">_xlfn.IFS(Table13_1[[#This Row],[Round BMI]]&lt;18.5,"Underweight",AND(Table13_1[[#This Row],[Round BMI]]&gt;=18.5,Table13_1[[#This Row],[Round BMI]] &lt;=24.9),"Healthy Weight",AND(Table13_1[[#This Row],[Round BMI]]&gt;=25,Table13_1[[#This Row],[Round BMI]]&lt;=29.9),"Overweight",Table13_1[[#This Row],[Round BMI]]&gt;=30,"Obese")</f>
        <v>Obese</v>
      </c>
      <c r="D844" s="4" t="s">
        <v>8</v>
      </c>
      <c r="E844" s="4" t="str">
        <f>IF(Table13_1[[#This Row],[smoker]]="yes","smoker","non-smoker")</f>
        <v>smoker</v>
      </c>
      <c r="F844" s="4" t="s">
        <v>12</v>
      </c>
      <c r="G844" s="5">
        <v>23</v>
      </c>
      <c r="H844" s="5">
        <f>IF(Table13_1[[#This Row],[smoker]]="yes",1,0)</f>
        <v>1</v>
      </c>
      <c r="I844" s="4">
        <v>32.78</v>
      </c>
      <c r="J844" s="4">
        <v>2</v>
      </c>
      <c r="K844" s="12">
        <v>36021.011200000001</v>
      </c>
      <c r="N844">
        <v>689</v>
      </c>
      <c r="O844">
        <v>8246.278590355023</v>
      </c>
      <c r="P844">
        <v>17990.301409644977</v>
      </c>
    </row>
    <row r="845" spans="1:16" x14ac:dyDescent="0.25">
      <c r="A845" s="4" t="s">
        <v>7</v>
      </c>
      <c r="B845" s="4">
        <f>ROUND(Table13_1[[#This Row],[bmi]],1)</f>
        <v>29.8</v>
      </c>
      <c r="C845" s="4" t="str" cm="1">
        <f t="array" ref="C845">_xlfn.IFS(Table13_1[[#This Row],[Round BMI]]&lt;18.5,"Underweight",AND(Table13_1[[#This Row],[Round BMI]]&gt;=18.5,Table13_1[[#This Row],[Round BMI]] &lt;=24.9),"Healthy Weight",AND(Table13_1[[#This Row],[Round BMI]]&gt;=25,Table13_1[[#This Row],[Round BMI]]&lt;=29.9),"Overweight",Table13_1[[#This Row],[Round BMI]]&gt;=30,"Obese")</f>
        <v>Overweight</v>
      </c>
      <c r="D845" s="4" t="s">
        <v>8</v>
      </c>
      <c r="E845" s="4" t="str">
        <f>IF(Table13_1[[#This Row],[smoker]]="yes","smoker","non-smoker")</f>
        <v>smoker</v>
      </c>
      <c r="F845" s="4" t="s">
        <v>12</v>
      </c>
      <c r="G845" s="5">
        <v>57</v>
      </c>
      <c r="H845" s="5">
        <f>IF(Table13_1[[#This Row],[smoker]]="yes",1,0)</f>
        <v>1</v>
      </c>
      <c r="I845" s="4">
        <v>29.81</v>
      </c>
      <c r="J845" s="4">
        <v>0</v>
      </c>
      <c r="K845" s="12">
        <v>27533.912899999999</v>
      </c>
      <c r="N845">
        <v>690</v>
      </c>
      <c r="O845">
        <v>29163.303651737147</v>
      </c>
      <c r="P845">
        <v>5643.1640482628536</v>
      </c>
    </row>
    <row r="846" spans="1:16" x14ac:dyDescent="0.25">
      <c r="A846" s="4" t="s">
        <v>10</v>
      </c>
      <c r="B846" s="4">
        <f>ROUND(Table13_1[[#This Row],[bmi]],1)</f>
        <v>30.5</v>
      </c>
      <c r="C846" s="4" t="str" cm="1">
        <f t="array" ref="C846">_xlfn.IFS(Table13_1[[#This Row],[Round BMI]]&lt;18.5,"Underweight",AND(Table13_1[[#This Row],[Round BMI]]&gt;=18.5,Table13_1[[#This Row],[Round BMI]] &lt;=24.9),"Healthy Weight",AND(Table13_1[[#This Row],[Round BMI]]&gt;=25,Table13_1[[#This Row],[Round BMI]]&lt;=29.9),"Overweight",Table13_1[[#This Row],[Round BMI]]&gt;=30,"Obese")</f>
        <v>Obese</v>
      </c>
      <c r="D846" s="4" t="s">
        <v>11</v>
      </c>
      <c r="E846" s="4" t="str">
        <f>IF(Table13_1[[#This Row],[smoker]]="yes","smoker","non-smoker")</f>
        <v>non-smoker</v>
      </c>
      <c r="F846" s="4" t="s">
        <v>14</v>
      </c>
      <c r="G846" s="5">
        <v>53</v>
      </c>
      <c r="H846" s="5">
        <f>IF(Table13_1[[#This Row],[smoker]]="yes",1,0)</f>
        <v>0</v>
      </c>
      <c r="I846" s="4">
        <v>30.495000000000001</v>
      </c>
      <c r="J846" s="4">
        <v>0</v>
      </c>
      <c r="K846" s="12">
        <v>10072.055</v>
      </c>
      <c r="N846">
        <v>691</v>
      </c>
      <c r="O846">
        <v>2117.9246574822973</v>
      </c>
      <c r="P846">
        <v>-13.811257482297151</v>
      </c>
    </row>
    <row r="847" spans="1:16" x14ac:dyDescent="0.25">
      <c r="A847" s="4" t="s">
        <v>7</v>
      </c>
      <c r="B847" s="4">
        <f>ROUND(Table13_1[[#This Row],[bmi]],1)</f>
        <v>32.5</v>
      </c>
      <c r="C847" s="4" t="str" cm="1">
        <f t="array" ref="C847">_xlfn.IFS(Table13_1[[#This Row],[Round BMI]]&lt;18.5,"Underweight",AND(Table13_1[[#This Row],[Round BMI]]&gt;=18.5,Table13_1[[#This Row],[Round BMI]] &lt;=24.9),"Healthy Weight",AND(Table13_1[[#This Row],[Round BMI]]&gt;=25,Table13_1[[#This Row],[Round BMI]]&lt;=29.9),"Overweight",Table13_1[[#This Row],[Round BMI]]&gt;=30,"Obese")</f>
        <v>Obese</v>
      </c>
      <c r="D847" s="4" t="s">
        <v>8</v>
      </c>
      <c r="E847" s="4" t="str">
        <f>IF(Table13_1[[#This Row],[smoker]]="yes","smoker","non-smoker")</f>
        <v>smoker</v>
      </c>
      <c r="F847" s="4" t="s">
        <v>12</v>
      </c>
      <c r="G847" s="5">
        <v>60</v>
      </c>
      <c r="H847" s="5">
        <f>IF(Table13_1[[#This Row],[smoker]]="yes",1,0)</f>
        <v>1</v>
      </c>
      <c r="I847" s="4">
        <v>32.450000000000003</v>
      </c>
      <c r="J847" s="4">
        <v>0</v>
      </c>
      <c r="K847" s="12">
        <v>45008.955499999996</v>
      </c>
      <c r="N847">
        <v>692</v>
      </c>
      <c r="O847">
        <v>12140.680564733695</v>
      </c>
      <c r="P847">
        <v>-4072.4955647336947</v>
      </c>
    </row>
    <row r="848" spans="1:16" x14ac:dyDescent="0.25">
      <c r="A848" s="4" t="s">
        <v>7</v>
      </c>
      <c r="B848" s="4">
        <f>ROUND(Table13_1[[#This Row],[bmi]],1)</f>
        <v>34.200000000000003</v>
      </c>
      <c r="C848" s="4" t="str" cm="1">
        <f t="array" ref="C848">_xlfn.IFS(Table13_1[[#This Row],[Round BMI]]&lt;18.5,"Underweight",AND(Table13_1[[#This Row],[Round BMI]]&gt;=18.5,Table13_1[[#This Row],[Round BMI]] &lt;=24.9),"Healthy Weight",AND(Table13_1[[#This Row],[Round BMI]]&gt;=25,Table13_1[[#This Row],[Round BMI]]&lt;=29.9),"Overweight",Table13_1[[#This Row],[Round BMI]]&gt;=30,"Obese")</f>
        <v>Obese</v>
      </c>
      <c r="D848" s="4" t="s">
        <v>11</v>
      </c>
      <c r="E848" s="4" t="str">
        <f>IF(Table13_1[[#This Row],[smoker]]="yes","smoker","non-smoker")</f>
        <v>non-smoker</v>
      </c>
      <c r="F848" s="4" t="s">
        <v>9</v>
      </c>
      <c r="G848" s="5">
        <v>51</v>
      </c>
      <c r="H848" s="5">
        <f>IF(Table13_1[[#This Row],[smoker]]="yes",1,0)</f>
        <v>0</v>
      </c>
      <c r="I848" s="4">
        <v>34.200000000000003</v>
      </c>
      <c r="J848" s="4">
        <v>1</v>
      </c>
      <c r="K848" s="12">
        <v>9872.7009999999991</v>
      </c>
      <c r="N848">
        <v>693</v>
      </c>
      <c r="O848">
        <v>3954.0992790032701</v>
      </c>
      <c r="P848">
        <v>-1591.8702790032703</v>
      </c>
    </row>
    <row r="849" spans="1:16" x14ac:dyDescent="0.25">
      <c r="A849" s="4" t="s">
        <v>10</v>
      </c>
      <c r="B849" s="4">
        <f>ROUND(Table13_1[[#This Row],[bmi]],1)</f>
        <v>50.4</v>
      </c>
      <c r="C849" s="4" t="str" cm="1">
        <f t="array" ref="C849">_xlfn.IFS(Table13_1[[#This Row],[Round BMI]]&lt;18.5,"Underweight",AND(Table13_1[[#This Row],[Round BMI]]&gt;=18.5,Table13_1[[#This Row],[Round BMI]] &lt;=24.9),"Healthy Weight",AND(Table13_1[[#This Row],[Round BMI]]&gt;=25,Table13_1[[#This Row],[Round BMI]]&lt;=29.9),"Overweight",Table13_1[[#This Row],[Round BMI]]&gt;=30,"Obese")</f>
        <v>Obese</v>
      </c>
      <c r="D849" s="4" t="s">
        <v>11</v>
      </c>
      <c r="E849" s="4" t="str">
        <f>IF(Table13_1[[#This Row],[smoker]]="yes","smoker","non-smoker")</f>
        <v>non-smoker</v>
      </c>
      <c r="F849" s="4" t="s">
        <v>12</v>
      </c>
      <c r="G849" s="5">
        <v>23</v>
      </c>
      <c r="H849" s="5">
        <f>IF(Table13_1[[#This Row],[smoker]]="yes",1,0)</f>
        <v>0</v>
      </c>
      <c r="I849" s="4">
        <v>50.38</v>
      </c>
      <c r="J849" s="4">
        <v>1</v>
      </c>
      <c r="K849" s="12">
        <v>2438.0551999999998</v>
      </c>
      <c r="N849">
        <v>694</v>
      </c>
      <c r="O849">
        <v>1699.013731946673</v>
      </c>
      <c r="P849">
        <v>653.95466805332717</v>
      </c>
    </row>
    <row r="850" spans="1:16" x14ac:dyDescent="0.25">
      <c r="A850" s="4" t="s">
        <v>7</v>
      </c>
      <c r="B850" s="4">
        <f>ROUND(Table13_1[[#This Row],[bmi]],1)</f>
        <v>24.1</v>
      </c>
      <c r="C850" s="4" t="str" cm="1">
        <f t="array" ref="C850">_xlfn.IFS(Table13_1[[#This Row],[Round BMI]]&lt;18.5,"Underweight",AND(Table13_1[[#This Row],[Round BMI]]&gt;=18.5,Table13_1[[#This Row],[Round BMI]] &lt;=24.9),"Healthy Weight",AND(Table13_1[[#This Row],[Round BMI]]&gt;=25,Table13_1[[#This Row],[Round BMI]]&lt;=29.9),"Overweight",Table13_1[[#This Row],[Round BMI]]&gt;=30,"Obese")</f>
        <v>Healthy Weight</v>
      </c>
      <c r="D850" s="4" t="s">
        <v>11</v>
      </c>
      <c r="E850" s="4" t="str">
        <f>IF(Table13_1[[#This Row],[smoker]]="yes","smoker","non-smoker")</f>
        <v>non-smoker</v>
      </c>
      <c r="F850" s="4" t="s">
        <v>9</v>
      </c>
      <c r="G850" s="5">
        <v>27</v>
      </c>
      <c r="H850" s="5">
        <f>IF(Table13_1[[#This Row],[smoker]]="yes",1,0)</f>
        <v>0</v>
      </c>
      <c r="I850" s="4">
        <v>24.1</v>
      </c>
      <c r="J850" s="4">
        <v>0</v>
      </c>
      <c r="K850" s="12">
        <v>2974.1260000000002</v>
      </c>
      <c r="N850">
        <v>695</v>
      </c>
      <c r="O850">
        <v>6533.0984541488742</v>
      </c>
      <c r="P850">
        <v>-2955.0994541488744</v>
      </c>
    </row>
    <row r="851" spans="1:16" x14ac:dyDescent="0.25">
      <c r="A851" s="4" t="s">
        <v>10</v>
      </c>
      <c r="B851" s="4">
        <f>ROUND(Table13_1[[#This Row],[bmi]],1)</f>
        <v>32.799999999999997</v>
      </c>
      <c r="C851" s="4" t="str" cm="1">
        <f t="array" ref="C851">_xlfn.IFS(Table13_1[[#This Row],[Round BMI]]&lt;18.5,"Underweight",AND(Table13_1[[#This Row],[Round BMI]]&gt;=18.5,Table13_1[[#This Row],[Round BMI]] &lt;=24.9),"Healthy Weight",AND(Table13_1[[#This Row],[Round BMI]]&gt;=25,Table13_1[[#This Row],[Round BMI]]&lt;=29.9),"Overweight",Table13_1[[#This Row],[Round BMI]]&gt;=30,"Obese")</f>
        <v>Obese</v>
      </c>
      <c r="D851" s="4" t="s">
        <v>11</v>
      </c>
      <c r="E851" s="4" t="str">
        <f>IF(Table13_1[[#This Row],[smoker]]="yes","smoker","non-smoker")</f>
        <v>non-smoker</v>
      </c>
      <c r="F851" s="4" t="s">
        <v>13</v>
      </c>
      <c r="G851" s="5">
        <v>55</v>
      </c>
      <c r="H851" s="5">
        <f>IF(Table13_1[[#This Row],[smoker]]="yes",1,0)</f>
        <v>0</v>
      </c>
      <c r="I851" s="4">
        <v>32.774999999999999</v>
      </c>
      <c r="J851" s="4">
        <v>0</v>
      </c>
      <c r="K851" s="12">
        <v>10601.6322</v>
      </c>
      <c r="N851">
        <v>696</v>
      </c>
      <c r="O851">
        <v>7534.916435572628</v>
      </c>
      <c r="P851">
        <v>-4333.6712355726286</v>
      </c>
    </row>
    <row r="852" spans="1:16" x14ac:dyDescent="0.25">
      <c r="A852" s="4" t="s">
        <v>7</v>
      </c>
      <c r="B852" s="4">
        <f>ROUND(Table13_1[[#This Row],[bmi]],1)</f>
        <v>30.8</v>
      </c>
      <c r="C852" s="4" t="str" cm="1">
        <f t="array" ref="C852">_xlfn.IFS(Table13_1[[#This Row],[Round BMI]]&lt;18.5,"Underweight",AND(Table13_1[[#This Row],[Round BMI]]&gt;=18.5,Table13_1[[#This Row],[Round BMI]] &lt;=24.9),"Healthy Weight",AND(Table13_1[[#This Row],[Round BMI]]&gt;=25,Table13_1[[#This Row],[Round BMI]]&lt;=29.9),"Overweight",Table13_1[[#This Row],[Round BMI]]&gt;=30,"Obese")</f>
        <v>Obese</v>
      </c>
      <c r="D852" s="4" t="s">
        <v>8</v>
      </c>
      <c r="E852" s="4" t="str">
        <f>IF(Table13_1[[#This Row],[smoker]]="yes","smoker","non-smoker")</f>
        <v>smoker</v>
      </c>
      <c r="F852" s="4" t="s">
        <v>14</v>
      </c>
      <c r="G852" s="5">
        <v>37</v>
      </c>
      <c r="H852" s="5">
        <f>IF(Table13_1[[#This Row],[smoker]]="yes",1,0)</f>
        <v>1</v>
      </c>
      <c r="I852" s="4">
        <v>30.78</v>
      </c>
      <c r="J852" s="4">
        <v>0</v>
      </c>
      <c r="K852" s="12">
        <v>37270.1512</v>
      </c>
      <c r="N852">
        <v>697</v>
      </c>
      <c r="O852">
        <v>12906.059453180922</v>
      </c>
      <c r="P852">
        <v>16280.422946819079</v>
      </c>
    </row>
    <row r="853" spans="1:16" x14ac:dyDescent="0.25">
      <c r="A853" s="4" t="s">
        <v>10</v>
      </c>
      <c r="B853" s="4">
        <f>ROUND(Table13_1[[#This Row],[bmi]],1)</f>
        <v>32.299999999999997</v>
      </c>
      <c r="C853" s="4" t="str" cm="1">
        <f t="array" ref="C853">_xlfn.IFS(Table13_1[[#This Row],[Round BMI]]&lt;18.5,"Underweight",AND(Table13_1[[#This Row],[Round BMI]]&gt;=18.5,Table13_1[[#This Row],[Round BMI]] &lt;=24.9),"Healthy Weight",AND(Table13_1[[#This Row],[Round BMI]]&gt;=25,Table13_1[[#This Row],[Round BMI]]&lt;=29.9),"Overweight",Table13_1[[#This Row],[Round BMI]]&gt;=30,"Obese")</f>
        <v>Obese</v>
      </c>
      <c r="D853" s="4" t="s">
        <v>11</v>
      </c>
      <c r="E853" s="4" t="str">
        <f>IF(Table13_1[[#This Row],[smoker]]="yes","smoker","non-smoker")</f>
        <v>non-smoker</v>
      </c>
      <c r="F853" s="4" t="s">
        <v>13</v>
      </c>
      <c r="G853" s="5">
        <v>61</v>
      </c>
      <c r="H853" s="5">
        <f>IF(Table13_1[[#This Row],[smoker]]="yes",1,0)</f>
        <v>0</v>
      </c>
      <c r="I853" s="4">
        <v>32.299999999999997</v>
      </c>
      <c r="J853" s="4">
        <v>2</v>
      </c>
      <c r="K853" s="12">
        <v>14119.62</v>
      </c>
      <c r="N853">
        <v>698</v>
      </c>
      <c r="O853">
        <v>34260.150235488538</v>
      </c>
      <c r="P853">
        <v>6013.4952645114608</v>
      </c>
    </row>
    <row r="854" spans="1:16" x14ac:dyDescent="0.25">
      <c r="A854" s="4" t="s">
        <v>7</v>
      </c>
      <c r="B854" s="4">
        <f>ROUND(Table13_1[[#This Row],[bmi]],1)</f>
        <v>35.5</v>
      </c>
      <c r="C854" s="4" t="str" cm="1">
        <f t="array" ref="C854">_xlfn.IFS(Table13_1[[#This Row],[Round BMI]]&lt;18.5,"Underweight",AND(Table13_1[[#This Row],[Round BMI]]&gt;=18.5,Table13_1[[#This Row],[Round BMI]] &lt;=24.9),"Healthy Weight",AND(Table13_1[[#This Row],[Round BMI]]&gt;=25,Table13_1[[#This Row],[Round BMI]]&lt;=29.9),"Overweight",Table13_1[[#This Row],[Round BMI]]&gt;=30,"Obese")</f>
        <v>Obese</v>
      </c>
      <c r="D854" s="4" t="s">
        <v>8</v>
      </c>
      <c r="E854" s="4" t="str">
        <f>IF(Table13_1[[#This Row],[smoker]]="yes","smoker","non-smoker")</f>
        <v>smoker</v>
      </c>
      <c r="F854" s="4" t="s">
        <v>14</v>
      </c>
      <c r="G854" s="5">
        <v>46</v>
      </c>
      <c r="H854" s="5">
        <f>IF(Table13_1[[#This Row],[smoker]]="yes",1,0)</f>
        <v>1</v>
      </c>
      <c r="I854" s="4">
        <v>35.53</v>
      </c>
      <c r="J854" s="4">
        <v>0</v>
      </c>
      <c r="K854" s="12">
        <v>42111.664700000001</v>
      </c>
      <c r="N854">
        <v>699</v>
      </c>
      <c r="O854">
        <v>13191.241593129072</v>
      </c>
      <c r="P854">
        <v>-2214.9957931290719</v>
      </c>
    </row>
    <row r="855" spans="1:16" x14ac:dyDescent="0.25">
      <c r="A855" s="4" t="s">
        <v>7</v>
      </c>
      <c r="B855" s="4">
        <f>ROUND(Table13_1[[#This Row],[bmi]],1)</f>
        <v>23.8</v>
      </c>
      <c r="C855" s="4" t="str" cm="1">
        <f t="array" ref="C855">_xlfn.IFS(Table13_1[[#This Row],[Round BMI]]&lt;18.5,"Underweight",AND(Table13_1[[#This Row],[Round BMI]]&gt;=18.5,Table13_1[[#This Row],[Round BMI]] &lt;=24.9),"Healthy Weight",AND(Table13_1[[#This Row],[Round BMI]]&gt;=25,Table13_1[[#This Row],[Round BMI]]&lt;=29.9),"Overweight",Table13_1[[#This Row],[Round BMI]]&gt;=30,"Obese")</f>
        <v>Healthy Weight</v>
      </c>
      <c r="D855" s="4" t="s">
        <v>11</v>
      </c>
      <c r="E855" s="4" t="str">
        <f>IF(Table13_1[[#This Row],[smoker]]="yes","smoker","non-smoker")</f>
        <v>non-smoker</v>
      </c>
      <c r="F855" s="4" t="s">
        <v>14</v>
      </c>
      <c r="G855" s="5">
        <v>53</v>
      </c>
      <c r="H855" s="5">
        <f>IF(Table13_1[[#This Row],[smoker]]="yes",1,0)</f>
        <v>0</v>
      </c>
      <c r="I855" s="4">
        <v>23.75</v>
      </c>
      <c r="J855" s="4">
        <v>2</v>
      </c>
      <c r="K855" s="12">
        <v>11729.6795</v>
      </c>
      <c r="N855">
        <v>700</v>
      </c>
      <c r="O855">
        <v>7413.878511073498</v>
      </c>
      <c r="P855">
        <v>-3913.2662110734982</v>
      </c>
    </row>
    <row r="856" spans="1:16" x14ac:dyDescent="0.25">
      <c r="A856" s="4" t="s">
        <v>7</v>
      </c>
      <c r="B856" s="4">
        <f>ROUND(Table13_1[[#This Row],[bmi]],1)</f>
        <v>23.8</v>
      </c>
      <c r="C856" s="4" t="str" cm="1">
        <f t="array" ref="C856">_xlfn.IFS(Table13_1[[#This Row],[Round BMI]]&lt;18.5,"Underweight",AND(Table13_1[[#This Row],[Round BMI]]&gt;=18.5,Table13_1[[#This Row],[Round BMI]] &lt;=24.9),"Healthy Weight",AND(Table13_1[[#This Row],[Round BMI]]&gt;=25,Table13_1[[#This Row],[Round BMI]]&lt;=29.9),"Overweight",Table13_1[[#This Row],[Round BMI]]&gt;=30,"Obese")</f>
        <v>Healthy Weight</v>
      </c>
      <c r="D856" s="4" t="s">
        <v>8</v>
      </c>
      <c r="E856" s="4" t="str">
        <f>IF(Table13_1[[#This Row],[smoker]]="yes","smoker","non-smoker")</f>
        <v>smoker</v>
      </c>
      <c r="F856" s="4" t="s">
        <v>14</v>
      </c>
      <c r="G856" s="5">
        <v>49</v>
      </c>
      <c r="H856" s="5">
        <f>IF(Table13_1[[#This Row],[smoker]]="yes",1,0)</f>
        <v>1</v>
      </c>
      <c r="I856" s="4">
        <v>23.844999999999999</v>
      </c>
      <c r="J856" s="4">
        <v>3</v>
      </c>
      <c r="K856" s="12">
        <v>24106.9126</v>
      </c>
      <c r="N856">
        <v>701</v>
      </c>
      <c r="O856">
        <v>4535.028692819802</v>
      </c>
      <c r="P856">
        <v>-2514.4763928198017</v>
      </c>
    </row>
    <row r="857" spans="1:16" x14ac:dyDescent="0.25">
      <c r="A857" s="4" t="s">
        <v>7</v>
      </c>
      <c r="B857" s="4">
        <f>ROUND(Table13_1[[#This Row],[bmi]],1)</f>
        <v>29.6</v>
      </c>
      <c r="C857" s="4" t="str" cm="1">
        <f t="array" ref="C857">_xlfn.IFS(Table13_1[[#This Row],[Round BMI]]&lt;18.5,"Underweight",AND(Table13_1[[#This Row],[Round BMI]]&gt;=18.5,Table13_1[[#This Row],[Round BMI]] &lt;=24.9),"Healthy Weight",AND(Table13_1[[#This Row],[Round BMI]]&gt;=25,Table13_1[[#This Row],[Round BMI]]&lt;=29.9),"Overweight",Table13_1[[#This Row],[Round BMI]]&gt;=30,"Obese")</f>
        <v>Overweight</v>
      </c>
      <c r="D857" s="4" t="s">
        <v>11</v>
      </c>
      <c r="E857" s="4" t="str">
        <f>IF(Table13_1[[#This Row],[smoker]]="yes","smoker","non-smoker")</f>
        <v>non-smoker</v>
      </c>
      <c r="F857" s="4" t="s">
        <v>9</v>
      </c>
      <c r="G857" s="5">
        <v>20</v>
      </c>
      <c r="H857" s="5">
        <f>IF(Table13_1[[#This Row],[smoker]]="yes",1,0)</f>
        <v>0</v>
      </c>
      <c r="I857" s="4">
        <v>29.6</v>
      </c>
      <c r="J857" s="4">
        <v>0</v>
      </c>
      <c r="K857" s="12">
        <v>1875.3440000000001</v>
      </c>
      <c r="N857">
        <v>702</v>
      </c>
      <c r="O857">
        <v>15190.947008457098</v>
      </c>
      <c r="P857">
        <v>-5649.2514084570994</v>
      </c>
    </row>
    <row r="858" spans="1:16" x14ac:dyDescent="0.25">
      <c r="A858" s="4" t="s">
        <v>7</v>
      </c>
      <c r="B858" s="4">
        <f>ROUND(Table13_1[[#This Row],[bmi]],1)</f>
        <v>33.1</v>
      </c>
      <c r="C858" s="4" t="str" cm="1">
        <f t="array" ref="C858">_xlfn.IFS(Table13_1[[#This Row],[Round BMI]]&lt;18.5,"Underweight",AND(Table13_1[[#This Row],[Round BMI]]&gt;=18.5,Table13_1[[#This Row],[Round BMI]] &lt;=24.9),"Healthy Weight",AND(Table13_1[[#This Row],[Round BMI]]&gt;=25,Table13_1[[#This Row],[Round BMI]]&lt;=29.9),"Overweight",Table13_1[[#This Row],[Round BMI]]&gt;=30,"Obese")</f>
        <v>Obese</v>
      </c>
      <c r="D858" s="4" t="s">
        <v>8</v>
      </c>
      <c r="E858" s="4" t="str">
        <f>IF(Table13_1[[#This Row],[smoker]]="yes","smoker","non-smoker")</f>
        <v>smoker</v>
      </c>
      <c r="F858" s="4" t="s">
        <v>12</v>
      </c>
      <c r="G858" s="5">
        <v>48</v>
      </c>
      <c r="H858" s="5">
        <f>IF(Table13_1[[#This Row],[smoker]]="yes",1,0)</f>
        <v>1</v>
      </c>
      <c r="I858" s="4">
        <v>33.11</v>
      </c>
      <c r="J858" s="4">
        <v>0</v>
      </c>
      <c r="K858" s="12">
        <v>40974.164900000003</v>
      </c>
      <c r="N858">
        <v>703</v>
      </c>
      <c r="O858">
        <v>14910.432186143196</v>
      </c>
      <c r="P858">
        <v>-5406.1218861431971</v>
      </c>
    </row>
    <row r="859" spans="1:16" x14ac:dyDescent="0.25">
      <c r="A859" s="4" t="s">
        <v>10</v>
      </c>
      <c r="B859" s="4">
        <f>ROUND(Table13_1[[#This Row],[bmi]],1)</f>
        <v>24.1</v>
      </c>
      <c r="C859" s="4" t="str" cm="1">
        <f t="array" ref="C859">_xlfn.IFS(Table13_1[[#This Row],[Round BMI]]&lt;18.5,"Underweight",AND(Table13_1[[#This Row],[Round BMI]]&gt;=18.5,Table13_1[[#This Row],[Round BMI]] &lt;=24.9),"Healthy Weight",AND(Table13_1[[#This Row],[Round BMI]]&gt;=25,Table13_1[[#This Row],[Round BMI]]&lt;=29.9),"Overweight",Table13_1[[#This Row],[Round BMI]]&gt;=30,"Obese")</f>
        <v>Healthy Weight</v>
      </c>
      <c r="D859" s="4" t="s">
        <v>8</v>
      </c>
      <c r="E859" s="4" t="str">
        <f>IF(Table13_1[[#This Row],[smoker]]="yes","smoker","non-smoker")</f>
        <v>smoker</v>
      </c>
      <c r="F859" s="4" t="s">
        <v>13</v>
      </c>
      <c r="G859" s="5">
        <v>25</v>
      </c>
      <c r="H859" s="5">
        <f>IF(Table13_1[[#This Row],[smoker]]="yes",1,0)</f>
        <v>1</v>
      </c>
      <c r="I859" s="4">
        <v>24.13</v>
      </c>
      <c r="J859" s="4">
        <v>0</v>
      </c>
      <c r="K859" s="12">
        <v>15817.985699999999</v>
      </c>
      <c r="N859">
        <v>704</v>
      </c>
      <c r="O859">
        <v>5637.7117356235949</v>
      </c>
      <c r="P859">
        <v>-252.37383562359446</v>
      </c>
    </row>
    <row r="860" spans="1:16" x14ac:dyDescent="0.25">
      <c r="A860" s="4" t="s">
        <v>7</v>
      </c>
      <c r="B860" s="4">
        <f>ROUND(Table13_1[[#This Row],[bmi]],1)</f>
        <v>32.200000000000003</v>
      </c>
      <c r="C860" s="4" t="str" cm="1">
        <f t="array" ref="C860">_xlfn.IFS(Table13_1[[#This Row],[Round BMI]]&lt;18.5,"Underweight",AND(Table13_1[[#This Row],[Round BMI]]&gt;=18.5,Table13_1[[#This Row],[Round BMI]] &lt;=24.9),"Healthy Weight",AND(Table13_1[[#This Row],[Round BMI]]&gt;=25,Table13_1[[#This Row],[Round BMI]]&lt;=29.9),"Overweight",Table13_1[[#This Row],[Round BMI]]&gt;=30,"Obese")</f>
        <v>Obese</v>
      </c>
      <c r="D860" s="4" t="s">
        <v>11</v>
      </c>
      <c r="E860" s="4" t="str">
        <f>IF(Table13_1[[#This Row],[smoker]]="yes","smoker","non-smoker")</f>
        <v>non-smoker</v>
      </c>
      <c r="F860" s="4" t="s">
        <v>12</v>
      </c>
      <c r="G860" s="5">
        <v>25</v>
      </c>
      <c r="H860" s="5">
        <f>IF(Table13_1[[#This Row],[smoker]]="yes",1,0)</f>
        <v>0</v>
      </c>
      <c r="I860" s="4">
        <v>32.229999999999997</v>
      </c>
      <c r="J860" s="4">
        <v>1</v>
      </c>
      <c r="K860" s="12">
        <v>18218.161400000001</v>
      </c>
      <c r="N860">
        <v>705</v>
      </c>
      <c r="O860">
        <v>9998.7594788254246</v>
      </c>
      <c r="P860">
        <v>-1067.8248788254241</v>
      </c>
    </row>
    <row r="861" spans="1:16" x14ac:dyDescent="0.25">
      <c r="A861" s="4" t="s">
        <v>10</v>
      </c>
      <c r="B861" s="4">
        <f>ROUND(Table13_1[[#This Row],[bmi]],1)</f>
        <v>28.1</v>
      </c>
      <c r="C861" s="4" t="str" cm="1">
        <f t="array" ref="C861">_xlfn.IFS(Table13_1[[#This Row],[Round BMI]]&lt;18.5,"Underweight",AND(Table13_1[[#This Row],[Round BMI]]&gt;=18.5,Table13_1[[#This Row],[Round BMI]] &lt;=24.9),"Healthy Weight",AND(Table13_1[[#This Row],[Round BMI]]&gt;=25,Table13_1[[#This Row],[Round BMI]]&lt;=29.9),"Overweight",Table13_1[[#This Row],[Round BMI]]&gt;=30,"Obese")</f>
        <v>Overweight</v>
      </c>
      <c r="D861" s="4" t="s">
        <v>11</v>
      </c>
      <c r="E861" s="4" t="str">
        <f>IF(Table13_1[[#This Row],[smoker]]="yes","smoker","non-smoker")</f>
        <v>non-smoker</v>
      </c>
      <c r="F861" s="4" t="s">
        <v>9</v>
      </c>
      <c r="G861" s="5">
        <v>57</v>
      </c>
      <c r="H861" s="5">
        <f>IF(Table13_1[[#This Row],[smoker]]="yes",1,0)</f>
        <v>0</v>
      </c>
      <c r="I861" s="4">
        <v>28.1</v>
      </c>
      <c r="J861" s="4">
        <v>0</v>
      </c>
      <c r="K861" s="12">
        <v>10965.446</v>
      </c>
      <c r="N861">
        <v>706</v>
      </c>
      <c r="O861">
        <v>7942.1801482785331</v>
      </c>
      <c r="P861">
        <v>-2567.1421482785336</v>
      </c>
    </row>
    <row r="862" spans="1:16" x14ac:dyDescent="0.25">
      <c r="A862" s="4" t="s">
        <v>7</v>
      </c>
      <c r="B862" s="4">
        <f>ROUND(Table13_1[[#This Row],[bmi]],1)</f>
        <v>47.6</v>
      </c>
      <c r="C862" s="4" t="str" cm="1">
        <f t="array" ref="C862">_xlfn.IFS(Table13_1[[#This Row],[Round BMI]]&lt;18.5,"Underweight",AND(Table13_1[[#This Row],[Round BMI]]&gt;=18.5,Table13_1[[#This Row],[Round BMI]] &lt;=24.9),"Healthy Weight",AND(Table13_1[[#This Row],[Round BMI]]&gt;=25,Table13_1[[#This Row],[Round BMI]]&lt;=29.9),"Overweight",Table13_1[[#This Row],[Round BMI]]&gt;=30,"Obese")</f>
        <v>Obese</v>
      </c>
      <c r="D862" s="4" t="s">
        <v>8</v>
      </c>
      <c r="E862" s="4" t="str">
        <f>IF(Table13_1[[#This Row],[smoker]]="yes","smoker","non-smoker")</f>
        <v>smoker</v>
      </c>
      <c r="F862" s="4" t="s">
        <v>9</v>
      </c>
      <c r="G862" s="5">
        <v>37</v>
      </c>
      <c r="H862" s="5">
        <f>IF(Table13_1[[#This Row],[smoker]]="yes",1,0)</f>
        <v>1</v>
      </c>
      <c r="I862" s="4">
        <v>47.6</v>
      </c>
      <c r="J862" s="4">
        <v>2</v>
      </c>
      <c r="K862" s="12">
        <v>46113.510999999999</v>
      </c>
      <c r="N862">
        <v>707</v>
      </c>
      <c r="O862">
        <v>37108.619733809472</v>
      </c>
      <c r="P862">
        <v>7291.7866661905282</v>
      </c>
    </row>
    <row r="863" spans="1:16" x14ac:dyDescent="0.25">
      <c r="A863" s="4" t="s">
        <v>7</v>
      </c>
      <c r="B863" s="4">
        <f>ROUND(Table13_1[[#This Row],[bmi]],1)</f>
        <v>28</v>
      </c>
      <c r="C863" s="4" t="str" cm="1">
        <f t="array" ref="C863">_xlfn.IFS(Table13_1[[#This Row],[Round BMI]]&lt;18.5,"Underweight",AND(Table13_1[[#This Row],[Round BMI]]&gt;=18.5,Table13_1[[#This Row],[Round BMI]] &lt;=24.9),"Healthy Weight",AND(Table13_1[[#This Row],[Round BMI]]&gt;=25,Table13_1[[#This Row],[Round BMI]]&lt;=29.9),"Overweight",Table13_1[[#This Row],[Round BMI]]&gt;=30,"Obese")</f>
        <v>Overweight</v>
      </c>
      <c r="D863" s="4" t="s">
        <v>11</v>
      </c>
      <c r="E863" s="4" t="str">
        <f>IF(Table13_1[[#This Row],[smoker]]="yes","smoker","non-smoker")</f>
        <v>non-smoker</v>
      </c>
      <c r="F863" s="4" t="s">
        <v>9</v>
      </c>
      <c r="G863" s="5">
        <v>38</v>
      </c>
      <c r="H863" s="5">
        <f>IF(Table13_1[[#This Row],[smoker]]="yes",1,0)</f>
        <v>0</v>
      </c>
      <c r="I863" s="4">
        <v>28</v>
      </c>
      <c r="J863" s="4">
        <v>3</v>
      </c>
      <c r="K863" s="12">
        <v>7151.0919999999996</v>
      </c>
      <c r="N863">
        <v>708</v>
      </c>
      <c r="O863">
        <v>11186.280175148546</v>
      </c>
      <c r="P863">
        <v>-921.83807514854561</v>
      </c>
    </row>
    <row r="864" spans="1:16" x14ac:dyDescent="0.25">
      <c r="A864" s="4" t="s">
        <v>7</v>
      </c>
      <c r="B864" s="4">
        <f>ROUND(Table13_1[[#This Row],[bmi]],1)</f>
        <v>33.5</v>
      </c>
      <c r="C864" s="4" t="str" cm="1">
        <f t="array" ref="C864">_xlfn.IFS(Table13_1[[#This Row],[Round BMI]]&lt;18.5,"Underweight",AND(Table13_1[[#This Row],[Round BMI]]&gt;=18.5,Table13_1[[#This Row],[Round BMI]] &lt;=24.9),"Healthy Weight",AND(Table13_1[[#This Row],[Round BMI]]&gt;=25,Table13_1[[#This Row],[Round BMI]]&lt;=29.9),"Overweight",Table13_1[[#This Row],[Round BMI]]&gt;=30,"Obese")</f>
        <v>Obese</v>
      </c>
      <c r="D864" s="4" t="s">
        <v>11</v>
      </c>
      <c r="E864" s="4" t="str">
        <f>IF(Table13_1[[#This Row],[smoker]]="yes","smoker","non-smoker")</f>
        <v>non-smoker</v>
      </c>
      <c r="F864" s="4" t="s">
        <v>13</v>
      </c>
      <c r="G864" s="5">
        <v>55</v>
      </c>
      <c r="H864" s="5">
        <f>IF(Table13_1[[#This Row],[smoker]]="yes",1,0)</f>
        <v>0</v>
      </c>
      <c r="I864" s="4">
        <v>33.534999999999997</v>
      </c>
      <c r="J864" s="4">
        <v>2</v>
      </c>
      <c r="K864" s="12">
        <v>12269.688599999999</v>
      </c>
      <c r="N864">
        <v>709</v>
      </c>
      <c r="O864">
        <v>7125.9308253305271</v>
      </c>
      <c r="P864">
        <v>-1012.6998253305273</v>
      </c>
    </row>
    <row r="865" spans="1:16" x14ac:dyDescent="0.25">
      <c r="A865" s="4" t="s">
        <v>7</v>
      </c>
      <c r="B865" s="4">
        <f>ROUND(Table13_1[[#This Row],[bmi]],1)</f>
        <v>19.899999999999999</v>
      </c>
      <c r="C865" s="4" t="str" cm="1">
        <f t="array" ref="C865">_xlfn.IFS(Table13_1[[#This Row],[Round BMI]]&lt;18.5,"Underweight",AND(Table13_1[[#This Row],[Round BMI]]&gt;=18.5,Table13_1[[#This Row],[Round BMI]] &lt;=24.9),"Healthy Weight",AND(Table13_1[[#This Row],[Round BMI]]&gt;=25,Table13_1[[#This Row],[Round BMI]]&lt;=29.9),"Overweight",Table13_1[[#This Row],[Round BMI]]&gt;=30,"Obese")</f>
        <v>Healthy Weight</v>
      </c>
      <c r="D865" s="4" t="s">
        <v>11</v>
      </c>
      <c r="E865" s="4" t="str">
        <f>IF(Table13_1[[#This Row],[smoker]]="yes","smoker","non-smoker")</f>
        <v>non-smoker</v>
      </c>
      <c r="F865" s="4" t="s">
        <v>14</v>
      </c>
      <c r="G865" s="5">
        <v>36</v>
      </c>
      <c r="H865" s="5">
        <f>IF(Table13_1[[#This Row],[smoker]]="yes",1,0)</f>
        <v>0</v>
      </c>
      <c r="I865" s="4">
        <v>19.855</v>
      </c>
      <c r="J865" s="4">
        <v>0</v>
      </c>
      <c r="K865" s="12">
        <v>5458.0464000000002</v>
      </c>
      <c r="N865">
        <v>710</v>
      </c>
      <c r="O865">
        <v>6107.9708005172961</v>
      </c>
      <c r="P865">
        <v>-638.96420051729638</v>
      </c>
    </row>
    <row r="866" spans="1:16" x14ac:dyDescent="0.25">
      <c r="A866" s="4" t="s">
        <v>10</v>
      </c>
      <c r="B866" s="4">
        <f>ROUND(Table13_1[[#This Row],[bmi]],1)</f>
        <v>25.4</v>
      </c>
      <c r="C866" s="4" t="str" cm="1">
        <f t="array" ref="C866">_xlfn.IFS(Table13_1[[#This Row],[Round BMI]]&lt;18.5,"Underweight",AND(Table13_1[[#This Row],[Round BMI]]&gt;=18.5,Table13_1[[#This Row],[Round BMI]] &lt;=24.9),"Healthy Weight",AND(Table13_1[[#This Row],[Round BMI]]&gt;=25,Table13_1[[#This Row],[Round BMI]]&lt;=29.9),"Overweight",Table13_1[[#This Row],[Round BMI]]&gt;=30,"Obese")</f>
        <v>Overweight</v>
      </c>
      <c r="D866" s="4" t="s">
        <v>11</v>
      </c>
      <c r="E866" s="4" t="str">
        <f>IF(Table13_1[[#This Row],[smoker]]="yes","smoker","non-smoker")</f>
        <v>non-smoker</v>
      </c>
      <c r="F866" s="4" t="s">
        <v>9</v>
      </c>
      <c r="G866" s="5">
        <v>51</v>
      </c>
      <c r="H866" s="5">
        <f>IF(Table13_1[[#This Row],[smoker]]="yes",1,0)</f>
        <v>0</v>
      </c>
      <c r="I866" s="4">
        <v>25.4</v>
      </c>
      <c r="J866" s="4">
        <v>0</v>
      </c>
      <c r="K866" s="12">
        <v>8782.4689999999991</v>
      </c>
      <c r="N866">
        <v>711</v>
      </c>
      <c r="O866">
        <v>4341.1934493121598</v>
      </c>
      <c r="P866">
        <v>-2613.6534493121599</v>
      </c>
    </row>
    <row r="867" spans="1:16" x14ac:dyDescent="0.25">
      <c r="A867" s="4" t="s">
        <v>10</v>
      </c>
      <c r="B867" s="4">
        <f>ROUND(Table13_1[[#This Row],[bmi]],1)</f>
        <v>29.9</v>
      </c>
      <c r="C867" s="4" t="str" cm="1">
        <f t="array" ref="C867">_xlfn.IFS(Table13_1[[#This Row],[Round BMI]]&lt;18.5,"Underweight",AND(Table13_1[[#This Row],[Round BMI]]&gt;=18.5,Table13_1[[#This Row],[Round BMI]] &lt;=24.9),"Healthy Weight",AND(Table13_1[[#This Row],[Round BMI]]&gt;=25,Table13_1[[#This Row],[Round BMI]]&lt;=29.9),"Overweight",Table13_1[[#This Row],[Round BMI]]&gt;=30,"Obese")</f>
        <v>Overweight</v>
      </c>
      <c r="D867" s="4" t="s">
        <v>11</v>
      </c>
      <c r="E867" s="4" t="str">
        <f>IF(Table13_1[[#This Row],[smoker]]="yes","smoker","non-smoker")</f>
        <v>non-smoker</v>
      </c>
      <c r="F867" s="4" t="s">
        <v>9</v>
      </c>
      <c r="G867" s="5">
        <v>40</v>
      </c>
      <c r="H867" s="5">
        <f>IF(Table13_1[[#This Row],[smoker]]="yes",1,0)</f>
        <v>0</v>
      </c>
      <c r="I867" s="4">
        <v>29.9</v>
      </c>
      <c r="J867" s="4">
        <v>2</v>
      </c>
      <c r="K867" s="12">
        <v>6600.3609999999999</v>
      </c>
      <c r="N867">
        <v>712</v>
      </c>
      <c r="O867">
        <v>9313.0926423008332</v>
      </c>
      <c r="P867">
        <v>794.12795769916738</v>
      </c>
    </row>
    <row r="868" spans="1:16" x14ac:dyDescent="0.25">
      <c r="A868" s="4" t="s">
        <v>10</v>
      </c>
      <c r="B868" s="4">
        <f>ROUND(Table13_1[[#This Row],[bmi]],1)</f>
        <v>37.299999999999997</v>
      </c>
      <c r="C868" s="4" t="str" cm="1">
        <f t="array" ref="C868">_xlfn.IFS(Table13_1[[#This Row],[Round BMI]]&lt;18.5,"Underweight",AND(Table13_1[[#This Row],[Round BMI]]&gt;=18.5,Table13_1[[#This Row],[Round BMI]] &lt;=24.9),"Healthy Weight",AND(Table13_1[[#This Row],[Round BMI]]&gt;=25,Table13_1[[#This Row],[Round BMI]]&lt;=29.9),"Overweight",Table13_1[[#This Row],[Round BMI]]&gt;=30,"Obese")</f>
        <v>Obese</v>
      </c>
      <c r="D868" s="4" t="s">
        <v>11</v>
      </c>
      <c r="E868" s="4" t="str">
        <f>IF(Table13_1[[#This Row],[smoker]]="yes","smoker","non-smoker")</f>
        <v>non-smoker</v>
      </c>
      <c r="F868" s="4" t="s">
        <v>12</v>
      </c>
      <c r="G868" s="5">
        <v>18</v>
      </c>
      <c r="H868" s="5">
        <f>IF(Table13_1[[#This Row],[smoker]]="yes",1,0)</f>
        <v>0</v>
      </c>
      <c r="I868" s="4">
        <v>37.29</v>
      </c>
      <c r="J868" s="4">
        <v>0</v>
      </c>
      <c r="K868" s="12">
        <v>1141.4450999999999</v>
      </c>
      <c r="N868">
        <v>713</v>
      </c>
      <c r="O868">
        <v>9807.7743642888036</v>
      </c>
      <c r="P868">
        <v>-1496.9351642888032</v>
      </c>
    </row>
    <row r="869" spans="1:16" x14ac:dyDescent="0.25">
      <c r="A869" s="4" t="s">
        <v>10</v>
      </c>
      <c r="B869" s="4">
        <f>ROUND(Table13_1[[#This Row],[bmi]],1)</f>
        <v>43.7</v>
      </c>
      <c r="C869" s="4" t="str" cm="1">
        <f t="array" ref="C869">_xlfn.IFS(Table13_1[[#This Row],[Round BMI]]&lt;18.5,"Underweight",AND(Table13_1[[#This Row],[Round BMI]]&gt;=18.5,Table13_1[[#This Row],[Round BMI]] &lt;=24.9),"Healthy Weight",AND(Table13_1[[#This Row],[Round BMI]]&gt;=25,Table13_1[[#This Row],[Round BMI]]&lt;=29.9),"Overweight",Table13_1[[#This Row],[Round BMI]]&gt;=30,"Obese")</f>
        <v>Obese</v>
      </c>
      <c r="D869" s="4" t="s">
        <v>11</v>
      </c>
      <c r="E869" s="4" t="str">
        <f>IF(Table13_1[[#This Row],[smoker]]="yes","smoker","non-smoker")</f>
        <v>non-smoker</v>
      </c>
      <c r="F869" s="4" t="s">
        <v>9</v>
      </c>
      <c r="G869" s="5">
        <v>57</v>
      </c>
      <c r="H869" s="5">
        <f>IF(Table13_1[[#This Row],[smoker]]="yes",1,0)</f>
        <v>0</v>
      </c>
      <c r="I869" s="4">
        <v>43.7</v>
      </c>
      <c r="J869" s="4">
        <v>1</v>
      </c>
      <c r="K869" s="12">
        <v>11576.13</v>
      </c>
      <c r="N869">
        <v>714</v>
      </c>
      <c r="O869">
        <v>6079.5470414002357</v>
      </c>
      <c r="P869">
        <v>-4095.0937414002356</v>
      </c>
    </row>
    <row r="870" spans="1:16" x14ac:dyDescent="0.25">
      <c r="A870" s="4" t="s">
        <v>10</v>
      </c>
      <c r="B870" s="4">
        <f>ROUND(Table13_1[[#This Row],[bmi]],1)</f>
        <v>23.7</v>
      </c>
      <c r="C870" s="4" t="str" cm="1">
        <f t="array" ref="C870">_xlfn.IFS(Table13_1[[#This Row],[Round BMI]]&lt;18.5,"Underweight",AND(Table13_1[[#This Row],[Round BMI]]&gt;=18.5,Table13_1[[#This Row],[Round BMI]] &lt;=24.9),"Healthy Weight",AND(Table13_1[[#This Row],[Round BMI]]&gt;=25,Table13_1[[#This Row],[Round BMI]]&lt;=29.9),"Overweight",Table13_1[[#This Row],[Round BMI]]&gt;=30,"Obese")</f>
        <v>Healthy Weight</v>
      </c>
      <c r="D870" s="4" t="s">
        <v>11</v>
      </c>
      <c r="E870" s="4" t="str">
        <f>IF(Table13_1[[#This Row],[smoker]]="yes","smoker","non-smoker")</f>
        <v>non-smoker</v>
      </c>
      <c r="F870" s="4" t="s">
        <v>14</v>
      </c>
      <c r="G870" s="5">
        <v>61</v>
      </c>
      <c r="H870" s="5">
        <f>IF(Table13_1[[#This Row],[smoker]]="yes",1,0)</f>
        <v>0</v>
      </c>
      <c r="I870" s="4">
        <v>23.655000000000001</v>
      </c>
      <c r="J870" s="4">
        <v>0</v>
      </c>
      <c r="K870" s="12">
        <v>13129.6034</v>
      </c>
      <c r="N870">
        <v>715</v>
      </c>
      <c r="O870">
        <v>1359.4605019491937</v>
      </c>
      <c r="P870">
        <v>1098.0414980508062</v>
      </c>
    </row>
    <row r="871" spans="1:16" x14ac:dyDescent="0.25">
      <c r="A871" s="4" t="s">
        <v>7</v>
      </c>
      <c r="B871" s="4">
        <f>ROUND(Table13_1[[#This Row],[bmi]],1)</f>
        <v>24.3</v>
      </c>
      <c r="C871" s="4" t="str" cm="1">
        <f t="array" ref="C871">_xlfn.IFS(Table13_1[[#This Row],[Round BMI]]&lt;18.5,"Underweight",AND(Table13_1[[#This Row],[Round BMI]]&gt;=18.5,Table13_1[[#This Row],[Round BMI]] &lt;=24.9),"Healthy Weight",AND(Table13_1[[#This Row],[Round BMI]]&gt;=25,Table13_1[[#This Row],[Round BMI]]&lt;=29.9),"Overweight",Table13_1[[#This Row],[Round BMI]]&gt;=30,"Obese")</f>
        <v>Healthy Weight</v>
      </c>
      <c r="D871" s="4" t="s">
        <v>11</v>
      </c>
      <c r="E871" s="4" t="str">
        <f>IF(Table13_1[[#This Row],[smoker]]="yes","smoker","non-smoker")</f>
        <v>non-smoker</v>
      </c>
      <c r="F871" s="4" t="s">
        <v>9</v>
      </c>
      <c r="G871" s="5">
        <v>25</v>
      </c>
      <c r="H871" s="5">
        <f>IF(Table13_1[[#This Row],[smoker]]="yes",1,0)</f>
        <v>0</v>
      </c>
      <c r="I871" s="4">
        <v>24.3</v>
      </c>
      <c r="J871" s="4">
        <v>3</v>
      </c>
      <c r="K871" s="12">
        <v>4391.652</v>
      </c>
      <c r="N871">
        <v>716</v>
      </c>
      <c r="O871">
        <v>12669.706603741644</v>
      </c>
      <c r="P871">
        <v>-522.73560374164481</v>
      </c>
    </row>
    <row r="872" spans="1:16" x14ac:dyDescent="0.25">
      <c r="A872" s="4" t="s">
        <v>10</v>
      </c>
      <c r="B872" s="4">
        <f>ROUND(Table13_1[[#This Row],[bmi]],1)</f>
        <v>36.200000000000003</v>
      </c>
      <c r="C872" s="4" t="str" cm="1">
        <f t="array" ref="C872">_xlfn.IFS(Table13_1[[#This Row],[Round BMI]]&lt;18.5,"Underweight",AND(Table13_1[[#This Row],[Round BMI]]&gt;=18.5,Table13_1[[#This Row],[Round BMI]] &lt;=24.9),"Healthy Weight",AND(Table13_1[[#This Row],[Round BMI]]&gt;=25,Table13_1[[#This Row],[Round BMI]]&lt;=29.9),"Overweight",Table13_1[[#This Row],[Round BMI]]&gt;=30,"Obese")</f>
        <v>Obese</v>
      </c>
      <c r="D872" s="4" t="s">
        <v>11</v>
      </c>
      <c r="E872" s="4" t="str">
        <f>IF(Table13_1[[#This Row],[smoker]]="yes","smoker","non-smoker")</f>
        <v>non-smoker</v>
      </c>
      <c r="F872" s="4" t="s">
        <v>9</v>
      </c>
      <c r="G872" s="5">
        <v>50</v>
      </c>
      <c r="H872" s="5">
        <f>IF(Table13_1[[#This Row],[smoker]]="yes",1,0)</f>
        <v>0</v>
      </c>
      <c r="I872" s="4">
        <v>36.200000000000003</v>
      </c>
      <c r="J872" s="4">
        <v>0</v>
      </c>
      <c r="K872" s="12">
        <v>8457.8179999999993</v>
      </c>
      <c r="N872">
        <v>717</v>
      </c>
      <c r="O872">
        <v>8282.4190147823265</v>
      </c>
      <c r="P872">
        <v>1284.5718852176742</v>
      </c>
    </row>
    <row r="873" spans="1:16" x14ac:dyDescent="0.25">
      <c r="A873" s="4" t="s">
        <v>7</v>
      </c>
      <c r="B873" s="4">
        <f>ROUND(Table13_1[[#This Row],[bmi]],1)</f>
        <v>29.5</v>
      </c>
      <c r="C873" s="4" t="str" cm="1">
        <f t="array" ref="C873">_xlfn.IFS(Table13_1[[#This Row],[Round BMI]]&lt;18.5,"Underweight",AND(Table13_1[[#This Row],[Round BMI]]&gt;=18.5,Table13_1[[#This Row],[Round BMI]] &lt;=24.9),"Healthy Weight",AND(Table13_1[[#This Row],[Round BMI]]&gt;=25,Table13_1[[#This Row],[Round BMI]]&lt;=29.9),"Overweight",Table13_1[[#This Row],[Round BMI]]&gt;=30,"Obese")</f>
        <v>Overweight</v>
      </c>
      <c r="D873" s="4" t="s">
        <v>11</v>
      </c>
      <c r="E873" s="4" t="str">
        <f>IF(Table13_1[[#This Row],[smoker]]="yes","smoker","non-smoker")</f>
        <v>non-smoker</v>
      </c>
      <c r="F873" s="4" t="s">
        <v>12</v>
      </c>
      <c r="G873" s="5">
        <v>26</v>
      </c>
      <c r="H873" s="5">
        <f>IF(Table13_1[[#This Row],[smoker]]="yes",1,0)</f>
        <v>0</v>
      </c>
      <c r="I873" s="4">
        <v>29.48</v>
      </c>
      <c r="J873" s="4">
        <v>1</v>
      </c>
      <c r="K873" s="12">
        <v>3392.3652000000002</v>
      </c>
      <c r="N873">
        <v>718</v>
      </c>
      <c r="O873">
        <v>11669.129494274715</v>
      </c>
      <c r="P873">
        <v>1443.4753057252838</v>
      </c>
    </row>
    <row r="874" spans="1:16" x14ac:dyDescent="0.25">
      <c r="A874" s="4" t="s">
        <v>10</v>
      </c>
      <c r="B874" s="4">
        <f>ROUND(Table13_1[[#This Row],[bmi]],1)</f>
        <v>24.9</v>
      </c>
      <c r="C874" s="4" t="str" cm="1">
        <f t="array" ref="C874">_xlfn.IFS(Table13_1[[#This Row],[Round BMI]]&lt;18.5,"Underweight",AND(Table13_1[[#This Row],[Round BMI]]&gt;=18.5,Table13_1[[#This Row],[Round BMI]] &lt;=24.9),"Healthy Weight",AND(Table13_1[[#This Row],[Round BMI]]&gt;=25,Table13_1[[#This Row],[Round BMI]]&lt;=29.9),"Overweight",Table13_1[[#This Row],[Round BMI]]&gt;=30,"Obese")</f>
        <v>Healthy Weight</v>
      </c>
      <c r="D874" s="4" t="s">
        <v>11</v>
      </c>
      <c r="E874" s="4" t="str">
        <f>IF(Table13_1[[#This Row],[smoker]]="yes","smoker","non-smoker")</f>
        <v>non-smoker</v>
      </c>
      <c r="F874" s="4" t="s">
        <v>12</v>
      </c>
      <c r="G874" s="5">
        <v>42</v>
      </c>
      <c r="H874" s="5">
        <f>IF(Table13_1[[#This Row],[smoker]]="yes",1,0)</f>
        <v>0</v>
      </c>
      <c r="I874" s="4">
        <v>24.86</v>
      </c>
      <c r="J874" s="4">
        <v>0</v>
      </c>
      <c r="K874" s="12">
        <v>5966.8873999999996</v>
      </c>
      <c r="N874">
        <v>719</v>
      </c>
      <c r="O874">
        <v>13796.851068936308</v>
      </c>
      <c r="P874">
        <v>-2948.7167689363087</v>
      </c>
    </row>
    <row r="875" spans="1:16" x14ac:dyDescent="0.25">
      <c r="A875" s="4" t="s">
        <v>10</v>
      </c>
      <c r="B875" s="4">
        <f>ROUND(Table13_1[[#This Row],[bmi]],1)</f>
        <v>30.1</v>
      </c>
      <c r="C875" s="4" t="str" cm="1">
        <f t="array" ref="C875">_xlfn.IFS(Table13_1[[#This Row],[Round BMI]]&lt;18.5,"Underweight",AND(Table13_1[[#This Row],[Round BMI]]&gt;=18.5,Table13_1[[#This Row],[Round BMI]] &lt;=24.9),"Healthy Weight",AND(Table13_1[[#This Row],[Round BMI]]&gt;=25,Table13_1[[#This Row],[Round BMI]]&lt;=29.9),"Overweight",Table13_1[[#This Row],[Round BMI]]&gt;=30,"Obese")</f>
        <v>Obese</v>
      </c>
      <c r="D875" s="4" t="s">
        <v>11</v>
      </c>
      <c r="E875" s="4" t="str">
        <f>IF(Table13_1[[#This Row],[smoker]]="yes","smoker","non-smoker")</f>
        <v>non-smoker</v>
      </c>
      <c r="F875" s="4" t="s">
        <v>9</v>
      </c>
      <c r="G875" s="5">
        <v>43</v>
      </c>
      <c r="H875" s="5">
        <f>IF(Table13_1[[#This Row],[smoker]]="yes",1,0)</f>
        <v>0</v>
      </c>
      <c r="I875" s="4">
        <v>30.1</v>
      </c>
      <c r="J875" s="4">
        <v>1</v>
      </c>
      <c r="K875" s="12">
        <v>6849.0259999999998</v>
      </c>
      <c r="N875">
        <v>720</v>
      </c>
      <c r="O875">
        <v>13615.212957980038</v>
      </c>
      <c r="P875">
        <v>-1383.5993579800379</v>
      </c>
    </row>
    <row r="876" spans="1:16" x14ac:dyDescent="0.25">
      <c r="A876" s="4" t="s">
        <v>10</v>
      </c>
      <c r="B876" s="4">
        <f>ROUND(Table13_1[[#This Row],[bmi]],1)</f>
        <v>21.9</v>
      </c>
      <c r="C876" s="4" t="str" cm="1">
        <f t="array" ref="C876">_xlfn.IFS(Table13_1[[#This Row],[Round BMI]]&lt;18.5,"Underweight",AND(Table13_1[[#This Row],[Round BMI]]&gt;=18.5,Table13_1[[#This Row],[Round BMI]] &lt;=24.9),"Healthy Weight",AND(Table13_1[[#This Row],[Round BMI]]&gt;=25,Table13_1[[#This Row],[Round BMI]]&lt;=29.9),"Overweight",Table13_1[[#This Row],[Round BMI]]&gt;=30,"Obese")</f>
        <v>Healthy Weight</v>
      </c>
      <c r="D876" s="4" t="s">
        <v>11</v>
      </c>
      <c r="E876" s="4" t="str">
        <f>IF(Table13_1[[#This Row],[smoker]]="yes","smoker","non-smoker")</f>
        <v>non-smoker</v>
      </c>
      <c r="F876" s="4" t="s">
        <v>14</v>
      </c>
      <c r="G876" s="5">
        <v>44</v>
      </c>
      <c r="H876" s="5">
        <f>IF(Table13_1[[#This Row],[smoker]]="yes",1,0)</f>
        <v>0</v>
      </c>
      <c r="I876" s="4">
        <v>21.85</v>
      </c>
      <c r="J876" s="4">
        <v>3</v>
      </c>
      <c r="K876" s="12">
        <v>8891.1394999999993</v>
      </c>
      <c r="N876">
        <v>721</v>
      </c>
      <c r="O876">
        <v>14134.033535181099</v>
      </c>
      <c r="P876">
        <v>-4258.3531351810998</v>
      </c>
    </row>
    <row r="877" spans="1:16" x14ac:dyDescent="0.25">
      <c r="A877" s="4" t="s">
        <v>7</v>
      </c>
      <c r="B877" s="4">
        <f>ROUND(Table13_1[[#This Row],[bmi]],1)</f>
        <v>28.1</v>
      </c>
      <c r="C877" s="4" t="str" cm="1">
        <f t="array" ref="C877">_xlfn.IFS(Table13_1[[#This Row],[Round BMI]]&lt;18.5,"Underweight",AND(Table13_1[[#This Row],[Round BMI]]&gt;=18.5,Table13_1[[#This Row],[Round BMI]] &lt;=24.9),"Healthy Weight",AND(Table13_1[[#This Row],[Round BMI]]&gt;=25,Table13_1[[#This Row],[Round BMI]]&lt;=29.9),"Overweight",Table13_1[[#This Row],[Round BMI]]&gt;=30,"Obese")</f>
        <v>Overweight</v>
      </c>
      <c r="D877" s="4" t="s">
        <v>11</v>
      </c>
      <c r="E877" s="4" t="str">
        <f>IF(Table13_1[[#This Row],[smoker]]="yes","smoker","non-smoker")</f>
        <v>non-smoker</v>
      </c>
      <c r="F877" s="4" t="s">
        <v>13</v>
      </c>
      <c r="G877" s="5">
        <v>23</v>
      </c>
      <c r="H877" s="5">
        <f>IF(Table13_1[[#This Row],[smoker]]="yes",1,0)</f>
        <v>0</v>
      </c>
      <c r="I877" s="4">
        <v>28.12</v>
      </c>
      <c r="J877" s="4">
        <v>0</v>
      </c>
      <c r="K877" s="12">
        <v>2690.1138000000001</v>
      </c>
      <c r="N877">
        <v>722</v>
      </c>
      <c r="O877">
        <v>14763.522800943962</v>
      </c>
      <c r="P877">
        <v>-3498.9818009439623</v>
      </c>
    </row>
    <row r="878" spans="1:16" x14ac:dyDescent="0.25">
      <c r="A878" s="4" t="s">
        <v>7</v>
      </c>
      <c r="B878" s="4">
        <f>ROUND(Table13_1[[#This Row],[bmi]],1)</f>
        <v>27.1</v>
      </c>
      <c r="C878" s="4" t="str" cm="1">
        <f t="array" ref="C878">_xlfn.IFS(Table13_1[[#This Row],[Round BMI]]&lt;18.5,"Underweight",AND(Table13_1[[#This Row],[Round BMI]]&gt;=18.5,Table13_1[[#This Row],[Round BMI]] &lt;=24.9),"Healthy Weight",AND(Table13_1[[#This Row],[Round BMI]]&gt;=25,Table13_1[[#This Row],[Round BMI]]&lt;=29.9),"Overweight",Table13_1[[#This Row],[Round BMI]]&gt;=30,"Obese")</f>
        <v>Overweight</v>
      </c>
      <c r="D878" s="4" t="s">
        <v>11</v>
      </c>
      <c r="E878" s="4" t="str">
        <f>IF(Table13_1[[#This Row],[smoker]]="yes","smoker","non-smoker")</f>
        <v>non-smoker</v>
      </c>
      <c r="F878" s="4" t="s">
        <v>9</v>
      </c>
      <c r="G878" s="5">
        <v>49</v>
      </c>
      <c r="H878" s="5">
        <f>IF(Table13_1[[#This Row],[smoker]]="yes",1,0)</f>
        <v>0</v>
      </c>
      <c r="I878" s="4">
        <v>27.1</v>
      </c>
      <c r="J878" s="4">
        <v>1</v>
      </c>
      <c r="K878" s="12">
        <v>26140.3603</v>
      </c>
      <c r="N878">
        <v>723</v>
      </c>
      <c r="O878">
        <v>15921.142542552665</v>
      </c>
      <c r="P878">
        <v>-2941.7845425526648</v>
      </c>
    </row>
    <row r="879" spans="1:16" x14ac:dyDescent="0.25">
      <c r="A879" s="4" t="s">
        <v>10</v>
      </c>
      <c r="B879" s="4">
        <f>ROUND(Table13_1[[#This Row],[bmi]],1)</f>
        <v>33.4</v>
      </c>
      <c r="C879" s="4" t="str" cm="1">
        <f t="array" ref="C879">_xlfn.IFS(Table13_1[[#This Row],[Round BMI]]&lt;18.5,"Underweight",AND(Table13_1[[#This Row],[Round BMI]]&gt;=18.5,Table13_1[[#This Row],[Round BMI]] &lt;=24.9),"Healthy Weight",AND(Table13_1[[#This Row],[Round BMI]]&gt;=25,Table13_1[[#This Row],[Round BMI]]&lt;=29.9),"Overweight",Table13_1[[#This Row],[Round BMI]]&gt;=30,"Obese")</f>
        <v>Obese</v>
      </c>
      <c r="D879" s="4" t="s">
        <v>11</v>
      </c>
      <c r="E879" s="4" t="str">
        <f>IF(Table13_1[[#This Row],[smoker]]="yes","smoker","non-smoker")</f>
        <v>non-smoker</v>
      </c>
      <c r="F879" s="4" t="s">
        <v>12</v>
      </c>
      <c r="G879" s="5">
        <v>33</v>
      </c>
      <c r="H879" s="5">
        <f>IF(Table13_1[[#This Row],[smoker]]="yes",1,0)</f>
        <v>0</v>
      </c>
      <c r="I879" s="4">
        <v>33.44</v>
      </c>
      <c r="J879" s="4">
        <v>5</v>
      </c>
      <c r="K879" s="12">
        <v>6653.7885999999999</v>
      </c>
      <c r="N879">
        <v>724</v>
      </c>
      <c r="O879">
        <v>4189.9109216649331</v>
      </c>
      <c r="P879">
        <v>-2926.6619216649333</v>
      </c>
    </row>
    <row r="880" spans="1:16" x14ac:dyDescent="0.25">
      <c r="A880" s="4" t="s">
        <v>10</v>
      </c>
      <c r="B880" s="4">
        <f>ROUND(Table13_1[[#This Row],[bmi]],1)</f>
        <v>28.8</v>
      </c>
      <c r="C880" s="4" t="str" cm="1">
        <f t="array" ref="C880">_xlfn.IFS(Table13_1[[#This Row],[Round BMI]]&lt;18.5,"Underweight",AND(Table13_1[[#This Row],[Round BMI]]&gt;=18.5,Table13_1[[#This Row],[Round BMI]] &lt;=24.9),"Healthy Weight",AND(Table13_1[[#This Row],[Round BMI]]&gt;=25,Table13_1[[#This Row],[Round BMI]]&lt;=29.9),"Overweight",Table13_1[[#This Row],[Round BMI]]&gt;=30,"Obese")</f>
        <v>Overweight</v>
      </c>
      <c r="D880" s="4" t="s">
        <v>11</v>
      </c>
      <c r="E880" s="4" t="str">
        <f>IF(Table13_1[[#This Row],[smoker]]="yes","smoker","non-smoker")</f>
        <v>non-smoker</v>
      </c>
      <c r="F880" s="4" t="s">
        <v>9</v>
      </c>
      <c r="G880" s="5">
        <v>41</v>
      </c>
      <c r="H880" s="5">
        <f>IF(Table13_1[[#This Row],[smoker]]="yes",1,0)</f>
        <v>0</v>
      </c>
      <c r="I880" s="4">
        <v>28.8</v>
      </c>
      <c r="J880" s="4">
        <v>1</v>
      </c>
      <c r="K880" s="12">
        <v>6282.2349999999997</v>
      </c>
      <c r="N880">
        <v>725</v>
      </c>
      <c r="O880">
        <v>9977.3350357986983</v>
      </c>
      <c r="P880">
        <v>128.79916420130212</v>
      </c>
    </row>
    <row r="881" spans="1:16" x14ac:dyDescent="0.25">
      <c r="A881" s="4" t="s">
        <v>7</v>
      </c>
      <c r="B881" s="4">
        <f>ROUND(Table13_1[[#This Row],[bmi]],1)</f>
        <v>29.5</v>
      </c>
      <c r="C881" s="4" t="str" cm="1">
        <f t="array" ref="C881">_xlfn.IFS(Table13_1[[#This Row],[Round BMI]]&lt;18.5,"Underweight",AND(Table13_1[[#This Row],[Round BMI]]&gt;=18.5,Table13_1[[#This Row],[Round BMI]] &lt;=24.9),"Healthy Weight",AND(Table13_1[[#This Row],[Round BMI]]&gt;=25,Table13_1[[#This Row],[Round BMI]]&lt;=29.9),"Overweight",Table13_1[[#This Row],[Round BMI]]&gt;=30,"Obese")</f>
        <v>Overweight</v>
      </c>
      <c r="D881" s="4" t="s">
        <v>11</v>
      </c>
      <c r="E881" s="4" t="str">
        <f>IF(Table13_1[[#This Row],[smoker]]="yes","smoker","non-smoker")</f>
        <v>non-smoker</v>
      </c>
      <c r="F881" s="4" t="s">
        <v>9</v>
      </c>
      <c r="G881" s="5">
        <v>37</v>
      </c>
      <c r="H881" s="5">
        <f>IF(Table13_1[[#This Row],[smoker]]="yes",1,0)</f>
        <v>0</v>
      </c>
      <c r="I881" s="4">
        <v>29.5</v>
      </c>
      <c r="J881" s="4">
        <v>2</v>
      </c>
      <c r="K881" s="12">
        <v>6311.9520000000002</v>
      </c>
      <c r="N881">
        <v>726</v>
      </c>
      <c r="O881">
        <v>33432.919915322265</v>
      </c>
      <c r="P881">
        <v>7499.5095846777331</v>
      </c>
    </row>
    <row r="882" spans="1:16" x14ac:dyDescent="0.25">
      <c r="A882" s="4" t="s">
        <v>10</v>
      </c>
      <c r="B882" s="4">
        <f>ROUND(Table13_1[[#This Row],[bmi]],1)</f>
        <v>34.799999999999997</v>
      </c>
      <c r="C882" s="4" t="str" cm="1">
        <f t="array" ref="C882">_xlfn.IFS(Table13_1[[#This Row],[Round BMI]]&lt;18.5,"Underweight",AND(Table13_1[[#This Row],[Round BMI]]&gt;=18.5,Table13_1[[#This Row],[Round BMI]] &lt;=24.9),"Healthy Weight",AND(Table13_1[[#This Row],[Round BMI]]&gt;=25,Table13_1[[#This Row],[Round BMI]]&lt;=29.9),"Overweight",Table13_1[[#This Row],[Round BMI]]&gt;=30,"Obese")</f>
        <v>Obese</v>
      </c>
      <c r="D882" s="4" t="s">
        <v>11</v>
      </c>
      <c r="E882" s="4" t="str">
        <f>IF(Table13_1[[#This Row],[smoker]]="yes","smoker","non-smoker")</f>
        <v>non-smoker</v>
      </c>
      <c r="F882" s="4" t="s">
        <v>9</v>
      </c>
      <c r="G882" s="5">
        <v>22</v>
      </c>
      <c r="H882" s="5">
        <f>IF(Table13_1[[#This Row],[smoker]]="yes",1,0)</f>
        <v>0</v>
      </c>
      <c r="I882" s="4">
        <v>34.799999999999997</v>
      </c>
      <c r="J882" s="4">
        <v>3</v>
      </c>
      <c r="K882" s="12">
        <v>3443.0639999999999</v>
      </c>
      <c r="N882">
        <v>727</v>
      </c>
      <c r="O882">
        <v>8084.7518356043065</v>
      </c>
      <c r="P882">
        <v>-1420.0658356043068</v>
      </c>
    </row>
    <row r="883" spans="1:16" x14ac:dyDescent="0.25">
      <c r="A883" s="4" t="s">
        <v>10</v>
      </c>
      <c r="B883" s="4">
        <f>ROUND(Table13_1[[#This Row],[bmi]],1)</f>
        <v>27.4</v>
      </c>
      <c r="C883" s="4" t="str" cm="1">
        <f t="array" ref="C883">_xlfn.IFS(Table13_1[[#This Row],[Round BMI]]&lt;18.5,"Underweight",AND(Table13_1[[#This Row],[Round BMI]]&gt;=18.5,Table13_1[[#This Row],[Round BMI]] &lt;=24.9),"Healthy Weight",AND(Table13_1[[#This Row],[Round BMI]]&gt;=25,Table13_1[[#This Row],[Round BMI]]&lt;=29.9),"Overweight",Table13_1[[#This Row],[Round BMI]]&gt;=30,"Obese")</f>
        <v>Overweight</v>
      </c>
      <c r="D883" s="4" t="s">
        <v>11</v>
      </c>
      <c r="E883" s="4" t="str">
        <f>IF(Table13_1[[#This Row],[smoker]]="yes","smoker","non-smoker")</f>
        <v>non-smoker</v>
      </c>
      <c r="F883" s="4" t="s">
        <v>13</v>
      </c>
      <c r="G883" s="5">
        <v>23</v>
      </c>
      <c r="H883" s="5">
        <f>IF(Table13_1[[#This Row],[smoker]]="yes",1,0)</f>
        <v>0</v>
      </c>
      <c r="I883" s="4">
        <v>27.36</v>
      </c>
      <c r="J883" s="4">
        <v>1</v>
      </c>
      <c r="K883" s="12">
        <v>2789.0574000000001</v>
      </c>
      <c r="N883">
        <v>728</v>
      </c>
      <c r="O883">
        <v>26661.645764761495</v>
      </c>
      <c r="P883">
        <v>-10003.928364761494</v>
      </c>
    </row>
    <row r="884" spans="1:16" x14ac:dyDescent="0.25">
      <c r="A884" s="4" t="s">
        <v>7</v>
      </c>
      <c r="B884" s="4">
        <f>ROUND(Table13_1[[#This Row],[bmi]],1)</f>
        <v>22.1</v>
      </c>
      <c r="C884" s="4" t="str" cm="1">
        <f t="array" ref="C884">_xlfn.IFS(Table13_1[[#This Row],[Round BMI]]&lt;18.5,"Underweight",AND(Table13_1[[#This Row],[Round BMI]]&gt;=18.5,Table13_1[[#This Row],[Round BMI]] &lt;=24.9),"Healthy Weight",AND(Table13_1[[#This Row],[Round BMI]]&gt;=25,Table13_1[[#This Row],[Round BMI]]&lt;=29.9),"Overweight",Table13_1[[#This Row],[Round BMI]]&gt;=30,"Obese")</f>
        <v>Healthy Weight</v>
      </c>
      <c r="D884" s="4" t="s">
        <v>11</v>
      </c>
      <c r="E884" s="4" t="str">
        <f>IF(Table13_1[[#This Row],[smoker]]="yes","smoker","non-smoker")</f>
        <v>non-smoker</v>
      </c>
      <c r="F884" s="4" t="s">
        <v>14</v>
      </c>
      <c r="G884" s="5">
        <v>21</v>
      </c>
      <c r="H884" s="5">
        <f>IF(Table13_1[[#This Row],[smoker]]="yes",1,0)</f>
        <v>0</v>
      </c>
      <c r="I884" s="4">
        <v>22.135000000000002</v>
      </c>
      <c r="J884" s="4">
        <v>0</v>
      </c>
      <c r="K884" s="12">
        <v>2585.8506000000002</v>
      </c>
      <c r="N884">
        <v>729</v>
      </c>
      <c r="O884">
        <v>5502.6962601996947</v>
      </c>
      <c r="P884">
        <v>-3285.0950601996947</v>
      </c>
    </row>
    <row r="885" spans="1:16" x14ac:dyDescent="0.25">
      <c r="A885" s="4" t="s">
        <v>7</v>
      </c>
      <c r="B885" s="4">
        <f>ROUND(Table13_1[[#This Row],[bmi]],1)</f>
        <v>37.1</v>
      </c>
      <c r="C885" s="4" t="str" cm="1">
        <f t="array" ref="C885">_xlfn.IFS(Table13_1[[#This Row],[Round BMI]]&lt;18.5,"Underweight",AND(Table13_1[[#This Row],[Round BMI]]&gt;=18.5,Table13_1[[#This Row],[Round BMI]] &lt;=24.9),"Healthy Weight",AND(Table13_1[[#This Row],[Round BMI]]&gt;=25,Table13_1[[#This Row],[Round BMI]]&lt;=29.9),"Overweight",Table13_1[[#This Row],[Round BMI]]&gt;=30,"Obese")</f>
        <v>Obese</v>
      </c>
      <c r="D885" s="4" t="s">
        <v>8</v>
      </c>
      <c r="E885" s="4" t="str">
        <f>IF(Table13_1[[#This Row],[smoker]]="yes","smoker","non-smoker")</f>
        <v>smoker</v>
      </c>
      <c r="F885" s="4" t="s">
        <v>14</v>
      </c>
      <c r="G885" s="5">
        <v>51</v>
      </c>
      <c r="H885" s="5">
        <f>IF(Table13_1[[#This Row],[smoker]]="yes",1,0)</f>
        <v>1</v>
      </c>
      <c r="I885" s="4">
        <v>37.049999999999997</v>
      </c>
      <c r="J885" s="4">
        <v>3</v>
      </c>
      <c r="K885" s="12">
        <v>46255.112500000003</v>
      </c>
      <c r="N885">
        <v>730</v>
      </c>
      <c r="O885">
        <v>10554.961352410612</v>
      </c>
      <c r="P885">
        <v>-3773.6071524106119</v>
      </c>
    </row>
    <row r="886" spans="1:16" x14ac:dyDescent="0.25">
      <c r="A886" s="4" t="s">
        <v>10</v>
      </c>
      <c r="B886" s="4">
        <f>ROUND(Table13_1[[#This Row],[bmi]],1)</f>
        <v>26.7</v>
      </c>
      <c r="C886" s="4" t="str" cm="1">
        <f t="array" ref="C886">_xlfn.IFS(Table13_1[[#This Row],[Round BMI]]&lt;18.5,"Underweight",AND(Table13_1[[#This Row],[Round BMI]]&gt;=18.5,Table13_1[[#This Row],[Round BMI]] &lt;=24.9),"Healthy Weight",AND(Table13_1[[#This Row],[Round BMI]]&gt;=25,Table13_1[[#This Row],[Round BMI]]&lt;=29.9),"Overweight",Table13_1[[#This Row],[Round BMI]]&gt;=30,"Obese")</f>
        <v>Overweight</v>
      </c>
      <c r="D886" s="4" t="s">
        <v>11</v>
      </c>
      <c r="E886" s="4" t="str">
        <f>IF(Table13_1[[#This Row],[smoker]]="yes","smoker","non-smoker")</f>
        <v>non-smoker</v>
      </c>
      <c r="F886" s="4" t="s">
        <v>13</v>
      </c>
      <c r="G886" s="5">
        <v>25</v>
      </c>
      <c r="H886" s="5">
        <f>IF(Table13_1[[#This Row],[smoker]]="yes",1,0)</f>
        <v>0</v>
      </c>
      <c r="I886" s="4">
        <v>26.695</v>
      </c>
      <c r="J886" s="4">
        <v>4</v>
      </c>
      <c r="K886" s="12">
        <v>4877.9809999999998</v>
      </c>
      <c r="N886">
        <v>731</v>
      </c>
      <c r="O886">
        <v>30013.481428407107</v>
      </c>
      <c r="P886">
        <v>-10651.482628407106</v>
      </c>
    </row>
    <row r="887" spans="1:16" x14ac:dyDescent="0.25">
      <c r="A887" s="4" t="s">
        <v>10</v>
      </c>
      <c r="B887" s="4">
        <f>ROUND(Table13_1[[#This Row],[bmi]],1)</f>
        <v>28.9</v>
      </c>
      <c r="C887" s="4" t="str" cm="1">
        <f t="array" ref="C887">_xlfn.IFS(Table13_1[[#This Row],[Round BMI]]&lt;18.5,"Underweight",AND(Table13_1[[#This Row],[Round BMI]]&gt;=18.5,Table13_1[[#This Row],[Round BMI]] &lt;=24.9),"Healthy Weight",AND(Table13_1[[#This Row],[Round BMI]]&gt;=25,Table13_1[[#This Row],[Round BMI]]&lt;=29.9),"Overweight",Table13_1[[#This Row],[Round BMI]]&gt;=30,"Obese")</f>
        <v>Overweight</v>
      </c>
      <c r="D887" s="4" t="s">
        <v>8</v>
      </c>
      <c r="E887" s="4" t="str">
        <f>IF(Table13_1[[#This Row],[smoker]]="yes","smoker","non-smoker")</f>
        <v>smoker</v>
      </c>
      <c r="F887" s="4" t="s">
        <v>12</v>
      </c>
      <c r="G887" s="5">
        <v>32</v>
      </c>
      <c r="H887" s="5">
        <f>IF(Table13_1[[#This Row],[smoker]]="yes",1,0)</f>
        <v>1</v>
      </c>
      <c r="I887" s="4">
        <v>28.93</v>
      </c>
      <c r="J887" s="4">
        <v>1</v>
      </c>
      <c r="K887" s="12">
        <v>19719.6947</v>
      </c>
      <c r="N887">
        <v>732</v>
      </c>
      <c r="O887">
        <v>8924.3768466658839</v>
      </c>
      <c r="P887">
        <v>1141.0361533341165</v>
      </c>
    </row>
    <row r="888" spans="1:16" x14ac:dyDescent="0.25">
      <c r="A888" s="4" t="s">
        <v>10</v>
      </c>
      <c r="B888" s="4">
        <f>ROUND(Table13_1[[#This Row],[bmi]],1)</f>
        <v>29</v>
      </c>
      <c r="C888" s="4" t="str" cm="1">
        <f t="array" ref="C888">_xlfn.IFS(Table13_1[[#This Row],[Round BMI]]&lt;18.5,"Underweight",AND(Table13_1[[#This Row],[Round BMI]]&gt;=18.5,Table13_1[[#This Row],[Round BMI]] &lt;=24.9),"Healthy Weight",AND(Table13_1[[#This Row],[Round BMI]]&gt;=25,Table13_1[[#This Row],[Round BMI]]&lt;=29.9),"Overweight",Table13_1[[#This Row],[Round BMI]]&gt;=30,"Obese")</f>
        <v>Overweight</v>
      </c>
      <c r="D888" s="4" t="s">
        <v>8</v>
      </c>
      <c r="E888" s="4" t="str">
        <f>IF(Table13_1[[#This Row],[smoker]]="yes","smoker","non-smoker")</f>
        <v>smoker</v>
      </c>
      <c r="F888" s="4" t="s">
        <v>14</v>
      </c>
      <c r="G888" s="5">
        <v>57</v>
      </c>
      <c r="H888" s="5">
        <f>IF(Table13_1[[#This Row],[smoker]]="yes",1,0)</f>
        <v>1</v>
      </c>
      <c r="I888" s="4">
        <v>28.975000000000001</v>
      </c>
      <c r="J888" s="4">
        <v>0</v>
      </c>
      <c r="K888" s="12">
        <v>27218.4372</v>
      </c>
      <c r="N888">
        <v>733</v>
      </c>
      <c r="O888">
        <v>5193.8529698957573</v>
      </c>
      <c r="P888">
        <v>-958.92596989575759</v>
      </c>
    </row>
    <row r="889" spans="1:16" x14ac:dyDescent="0.25">
      <c r="A889" s="4" t="s">
        <v>7</v>
      </c>
      <c r="B889" s="4">
        <f>ROUND(Table13_1[[#This Row],[bmi]],1)</f>
        <v>30</v>
      </c>
      <c r="C889" s="4" t="str" cm="1">
        <f t="array" ref="C889">_xlfn.IFS(Table13_1[[#This Row],[Round BMI]]&lt;18.5,"Underweight",AND(Table13_1[[#This Row],[Round BMI]]&gt;=18.5,Table13_1[[#This Row],[Round BMI]] &lt;=24.9),"Healthy Weight",AND(Table13_1[[#This Row],[Round BMI]]&gt;=25,Table13_1[[#This Row],[Round BMI]]&lt;=29.9),"Overweight",Table13_1[[#This Row],[Round BMI]]&gt;=30,"Obese")</f>
        <v>Obese</v>
      </c>
      <c r="D889" s="4" t="s">
        <v>11</v>
      </c>
      <c r="E889" s="4" t="str">
        <f>IF(Table13_1[[#This Row],[smoker]]="yes","smoker","non-smoker")</f>
        <v>non-smoker</v>
      </c>
      <c r="F889" s="4" t="s">
        <v>13</v>
      </c>
      <c r="G889" s="5">
        <v>36</v>
      </c>
      <c r="H889" s="5">
        <f>IF(Table13_1[[#This Row],[smoker]]="yes",1,0)</f>
        <v>0</v>
      </c>
      <c r="I889" s="4">
        <v>30.02</v>
      </c>
      <c r="J889" s="4">
        <v>0</v>
      </c>
      <c r="K889" s="12">
        <v>5272.1758</v>
      </c>
      <c r="N889">
        <v>734</v>
      </c>
      <c r="O889">
        <v>9522.7877876778166</v>
      </c>
      <c r="P889">
        <v>-75.537387677815786</v>
      </c>
    </row>
    <row r="890" spans="1:16" x14ac:dyDescent="0.25">
      <c r="A890" s="4" t="s">
        <v>10</v>
      </c>
      <c r="B890" s="4">
        <f>ROUND(Table13_1[[#This Row],[bmi]],1)</f>
        <v>39.5</v>
      </c>
      <c r="C890" s="4" t="str" cm="1">
        <f t="array" ref="C890">_xlfn.IFS(Table13_1[[#This Row],[Round BMI]]&lt;18.5,"Underweight",AND(Table13_1[[#This Row],[Round BMI]]&gt;=18.5,Table13_1[[#This Row],[Round BMI]] &lt;=24.9),"Healthy Weight",AND(Table13_1[[#This Row],[Round BMI]]&gt;=25,Table13_1[[#This Row],[Round BMI]]&lt;=29.9),"Overweight",Table13_1[[#This Row],[Round BMI]]&gt;=30,"Obese")</f>
        <v>Obese</v>
      </c>
      <c r="D890" s="4" t="s">
        <v>11</v>
      </c>
      <c r="E890" s="4" t="str">
        <f>IF(Table13_1[[#This Row],[smoker]]="yes","smoker","non-smoker")</f>
        <v>non-smoker</v>
      </c>
      <c r="F890" s="4" t="s">
        <v>9</v>
      </c>
      <c r="G890" s="5">
        <v>22</v>
      </c>
      <c r="H890" s="5">
        <f>IF(Table13_1[[#This Row],[smoker]]="yes",1,0)</f>
        <v>0</v>
      </c>
      <c r="I890" s="4">
        <v>39.5</v>
      </c>
      <c r="J890" s="4">
        <v>0</v>
      </c>
      <c r="K890" s="12">
        <v>1682.597</v>
      </c>
      <c r="N890">
        <v>735</v>
      </c>
      <c r="O890">
        <v>14862.288532140641</v>
      </c>
      <c r="P890">
        <v>-855.06653214064136</v>
      </c>
    </row>
    <row r="891" spans="1:16" x14ac:dyDescent="0.25">
      <c r="A891" s="4" t="s">
        <v>10</v>
      </c>
      <c r="B891" s="4">
        <f>ROUND(Table13_1[[#This Row],[bmi]],1)</f>
        <v>33.6</v>
      </c>
      <c r="C891" s="4" t="str" cm="1">
        <f t="array" ref="C891">_xlfn.IFS(Table13_1[[#This Row],[Round BMI]]&lt;18.5,"Underweight",AND(Table13_1[[#This Row],[Round BMI]]&gt;=18.5,Table13_1[[#This Row],[Round BMI]] &lt;=24.9),"Healthy Weight",AND(Table13_1[[#This Row],[Round BMI]]&gt;=25,Table13_1[[#This Row],[Round BMI]]&lt;=29.9),"Overweight",Table13_1[[#This Row],[Round BMI]]&gt;=30,"Obese")</f>
        <v>Obese</v>
      </c>
      <c r="D891" s="4" t="s">
        <v>11</v>
      </c>
      <c r="E891" s="4" t="str">
        <f>IF(Table13_1[[#This Row],[smoker]]="yes","smoker","non-smoker")</f>
        <v>non-smoker</v>
      </c>
      <c r="F891" s="4" t="s">
        <v>13</v>
      </c>
      <c r="G891" s="5">
        <v>57</v>
      </c>
      <c r="H891" s="5">
        <f>IF(Table13_1[[#This Row],[smoker]]="yes",1,0)</f>
        <v>0</v>
      </c>
      <c r="I891" s="4">
        <v>33.630000000000003</v>
      </c>
      <c r="J891" s="4">
        <v>1</v>
      </c>
      <c r="K891" s="12">
        <v>11945.1327</v>
      </c>
      <c r="N891">
        <v>736</v>
      </c>
      <c r="O891">
        <v>12196.132073331473</v>
      </c>
      <c r="P891">
        <v>-2612.2387733314736</v>
      </c>
    </row>
    <row r="892" spans="1:16" x14ac:dyDescent="0.25">
      <c r="A892" s="4" t="s">
        <v>7</v>
      </c>
      <c r="B892" s="4">
        <f>ROUND(Table13_1[[#This Row],[bmi]],1)</f>
        <v>26.9</v>
      </c>
      <c r="C892" s="4" t="str" cm="1">
        <f t="array" ref="C892">_xlfn.IFS(Table13_1[[#This Row],[Round BMI]]&lt;18.5,"Underweight",AND(Table13_1[[#This Row],[Round BMI]]&gt;=18.5,Table13_1[[#This Row],[Round BMI]] &lt;=24.9),"Healthy Weight",AND(Table13_1[[#This Row],[Round BMI]]&gt;=25,Table13_1[[#This Row],[Round BMI]]&lt;=29.9),"Overweight",Table13_1[[#This Row],[Round BMI]]&gt;=30,"Obese")</f>
        <v>Overweight</v>
      </c>
      <c r="D892" s="4" t="s">
        <v>8</v>
      </c>
      <c r="E892" s="4" t="str">
        <f>IF(Table13_1[[#This Row],[smoker]]="yes","smoker","non-smoker")</f>
        <v>smoker</v>
      </c>
      <c r="F892" s="4" t="s">
        <v>13</v>
      </c>
      <c r="G892" s="5">
        <v>64</v>
      </c>
      <c r="H892" s="5">
        <f>IF(Table13_1[[#This Row],[smoker]]="yes",1,0)</f>
        <v>1</v>
      </c>
      <c r="I892" s="4">
        <v>26.885000000000002</v>
      </c>
      <c r="J892" s="4">
        <v>0</v>
      </c>
      <c r="K892" s="12">
        <v>29330.983199999999</v>
      </c>
      <c r="N892">
        <v>737</v>
      </c>
      <c r="O892">
        <v>33604.937594122093</v>
      </c>
      <c r="P892">
        <v>6814.0815058779044</v>
      </c>
    </row>
    <row r="893" spans="1:16" x14ac:dyDescent="0.25">
      <c r="A893" s="4" t="s">
        <v>7</v>
      </c>
      <c r="B893" s="4">
        <f>ROUND(Table13_1[[#This Row],[bmi]],1)</f>
        <v>29</v>
      </c>
      <c r="C893" s="4" t="str" cm="1">
        <f t="array" ref="C893">_xlfn.IFS(Table13_1[[#This Row],[Round BMI]]&lt;18.5,"Underweight",AND(Table13_1[[#This Row],[Round BMI]]&gt;=18.5,Table13_1[[#This Row],[Round BMI]] &lt;=24.9),"Healthy Weight",AND(Table13_1[[#This Row],[Round BMI]]&gt;=25,Table13_1[[#This Row],[Round BMI]]&lt;=29.9),"Overweight",Table13_1[[#This Row],[Round BMI]]&gt;=30,"Obese")</f>
        <v>Overweight</v>
      </c>
      <c r="D893" s="4" t="s">
        <v>11</v>
      </c>
      <c r="E893" s="4" t="str">
        <f>IF(Table13_1[[#This Row],[smoker]]="yes","smoker","non-smoker")</f>
        <v>non-smoker</v>
      </c>
      <c r="F893" s="4" t="s">
        <v>12</v>
      </c>
      <c r="G893" s="5">
        <v>36</v>
      </c>
      <c r="H893" s="5">
        <f>IF(Table13_1[[#This Row],[smoker]]="yes",1,0)</f>
        <v>0</v>
      </c>
      <c r="I893" s="4">
        <v>29.04</v>
      </c>
      <c r="J893" s="4">
        <v>4</v>
      </c>
      <c r="K893" s="12">
        <v>7243.8136000000004</v>
      </c>
      <c r="N893">
        <v>738</v>
      </c>
      <c r="O893">
        <v>3176.200690826885</v>
      </c>
      <c r="P893">
        <v>308.13030917311517</v>
      </c>
    </row>
    <row r="894" spans="1:16" x14ac:dyDescent="0.25">
      <c r="A894" s="4" t="s">
        <v>10</v>
      </c>
      <c r="B894" s="4">
        <f>ROUND(Table13_1[[#This Row],[bmi]],1)</f>
        <v>24</v>
      </c>
      <c r="C894" s="4" t="str" cm="1">
        <f t="array" ref="C894">_xlfn.IFS(Table13_1[[#This Row],[Round BMI]]&lt;18.5,"Underweight",AND(Table13_1[[#This Row],[Round BMI]]&gt;=18.5,Table13_1[[#This Row],[Round BMI]] &lt;=24.9),"Healthy Weight",AND(Table13_1[[#This Row],[Round BMI]]&gt;=25,Table13_1[[#This Row],[Round BMI]]&lt;=29.9),"Overweight",Table13_1[[#This Row],[Round BMI]]&gt;=30,"Obese")</f>
        <v>Healthy Weight</v>
      </c>
      <c r="D894" s="4" t="s">
        <v>11</v>
      </c>
      <c r="E894" s="4" t="str">
        <f>IF(Table13_1[[#This Row],[smoker]]="yes","smoker","non-smoker")</f>
        <v>non-smoker</v>
      </c>
      <c r="F894" s="4" t="s">
        <v>14</v>
      </c>
      <c r="G894" s="5">
        <v>54</v>
      </c>
      <c r="H894" s="5">
        <f>IF(Table13_1[[#This Row],[smoker]]="yes",1,0)</f>
        <v>0</v>
      </c>
      <c r="I894" s="4">
        <v>24.035</v>
      </c>
      <c r="J894" s="4">
        <v>0</v>
      </c>
      <c r="K894" s="12">
        <v>10422.9166</v>
      </c>
      <c r="N894">
        <v>739</v>
      </c>
      <c r="O894">
        <v>29272.021095212098</v>
      </c>
      <c r="P894">
        <v>6917.0806047879014</v>
      </c>
    </row>
    <row r="895" spans="1:16" x14ac:dyDescent="0.25">
      <c r="A895" s="4" t="s">
        <v>10</v>
      </c>
      <c r="B895" s="4">
        <f>ROUND(Table13_1[[#This Row],[bmi]],1)</f>
        <v>38.9</v>
      </c>
      <c r="C895" s="4" t="str" cm="1">
        <f t="array" ref="C895">_xlfn.IFS(Table13_1[[#This Row],[Round BMI]]&lt;18.5,"Underweight",AND(Table13_1[[#This Row],[Round BMI]]&gt;=18.5,Table13_1[[#This Row],[Round BMI]] &lt;=24.9),"Healthy Weight",AND(Table13_1[[#This Row],[Round BMI]]&gt;=25,Table13_1[[#This Row],[Round BMI]]&lt;=29.9),"Overweight",Table13_1[[#This Row],[Round BMI]]&gt;=30,"Obese")</f>
        <v>Obese</v>
      </c>
      <c r="D895" s="4" t="s">
        <v>8</v>
      </c>
      <c r="E895" s="4" t="str">
        <f>IF(Table13_1[[#This Row],[smoker]]="yes","smoker","non-smoker")</f>
        <v>smoker</v>
      </c>
      <c r="F895" s="4" t="s">
        <v>12</v>
      </c>
      <c r="G895" s="5">
        <v>47</v>
      </c>
      <c r="H895" s="5">
        <f>IF(Table13_1[[#This Row],[smoker]]="yes",1,0)</f>
        <v>1</v>
      </c>
      <c r="I895" s="4">
        <v>38.94</v>
      </c>
      <c r="J895" s="4">
        <v>2</v>
      </c>
      <c r="K895" s="12">
        <v>44202.653599999998</v>
      </c>
      <c r="N895">
        <v>740</v>
      </c>
      <c r="O895">
        <v>31558.995612359788</v>
      </c>
      <c r="P895">
        <v>13026.460287640213</v>
      </c>
    </row>
    <row r="896" spans="1:16" x14ac:dyDescent="0.25">
      <c r="A896" s="4" t="s">
        <v>10</v>
      </c>
      <c r="B896" s="4">
        <f>ROUND(Table13_1[[#This Row],[bmi]],1)</f>
        <v>32.1</v>
      </c>
      <c r="C896" s="4" t="str" cm="1">
        <f t="array" ref="C896">_xlfn.IFS(Table13_1[[#This Row],[Round BMI]]&lt;18.5,"Underweight",AND(Table13_1[[#This Row],[Round BMI]]&gt;=18.5,Table13_1[[#This Row],[Round BMI]] &lt;=24.9),"Healthy Weight",AND(Table13_1[[#This Row],[Round BMI]]&gt;=25,Table13_1[[#This Row],[Round BMI]]&lt;=29.9),"Overweight",Table13_1[[#This Row],[Round BMI]]&gt;=30,"Obese")</f>
        <v>Obese</v>
      </c>
      <c r="D896" s="4" t="s">
        <v>11</v>
      </c>
      <c r="E896" s="4" t="str">
        <f>IF(Table13_1[[#This Row],[smoker]]="yes","smoker","non-smoker")</f>
        <v>non-smoker</v>
      </c>
      <c r="F896" s="4" t="s">
        <v>14</v>
      </c>
      <c r="G896" s="5">
        <v>62</v>
      </c>
      <c r="H896" s="5">
        <f>IF(Table13_1[[#This Row],[smoker]]="yes",1,0)</f>
        <v>0</v>
      </c>
      <c r="I896" s="4">
        <v>32.11</v>
      </c>
      <c r="J896" s="4">
        <v>0</v>
      </c>
      <c r="K896" s="12">
        <v>13555.0049</v>
      </c>
      <c r="N896">
        <v>741</v>
      </c>
      <c r="O896">
        <v>8183.1615500554553</v>
      </c>
      <c r="P896">
        <v>421.32204994454423</v>
      </c>
    </row>
    <row r="897" spans="1:16" x14ac:dyDescent="0.25">
      <c r="A897" s="4" t="s">
        <v>7</v>
      </c>
      <c r="B897" s="4">
        <f>ROUND(Table13_1[[#This Row],[bmi]],1)</f>
        <v>44</v>
      </c>
      <c r="C897" s="4" t="str" cm="1">
        <f t="array" ref="C897">_xlfn.IFS(Table13_1[[#This Row],[Round BMI]]&lt;18.5,"Underweight",AND(Table13_1[[#This Row],[Round BMI]]&gt;=18.5,Table13_1[[#This Row],[Round BMI]] &lt;=24.9),"Healthy Weight",AND(Table13_1[[#This Row],[Round BMI]]&gt;=25,Table13_1[[#This Row],[Round BMI]]&lt;=29.9),"Overweight",Table13_1[[#This Row],[Round BMI]]&gt;=30,"Obese")</f>
        <v>Obese</v>
      </c>
      <c r="D897" s="4" t="s">
        <v>11</v>
      </c>
      <c r="E897" s="4" t="str">
        <f>IF(Table13_1[[#This Row],[smoker]]="yes","smoker","non-smoker")</f>
        <v>non-smoker</v>
      </c>
      <c r="F897" s="4" t="s">
        <v>9</v>
      </c>
      <c r="G897" s="5">
        <v>61</v>
      </c>
      <c r="H897" s="5">
        <f>IF(Table13_1[[#This Row],[smoker]]="yes",1,0)</f>
        <v>0</v>
      </c>
      <c r="I897" s="4">
        <v>44</v>
      </c>
      <c r="J897" s="4">
        <v>0</v>
      </c>
      <c r="K897" s="12">
        <v>13063.883</v>
      </c>
      <c r="N897">
        <v>742</v>
      </c>
      <c r="O897">
        <v>28052.535558565727</v>
      </c>
      <c r="P897">
        <v>-9806.0400585657262</v>
      </c>
    </row>
    <row r="898" spans="1:16" x14ac:dyDescent="0.25">
      <c r="A898" s="4" t="s">
        <v>7</v>
      </c>
      <c r="B898" s="4">
        <f>ROUND(Table13_1[[#This Row],[bmi]],1)</f>
        <v>20</v>
      </c>
      <c r="C898" s="4" t="str" cm="1">
        <f t="array" ref="C898">_xlfn.IFS(Table13_1[[#This Row],[Round BMI]]&lt;18.5,"Underweight",AND(Table13_1[[#This Row],[Round BMI]]&gt;=18.5,Table13_1[[#This Row],[Round BMI]] &lt;=24.9),"Healthy Weight",AND(Table13_1[[#This Row],[Round BMI]]&gt;=25,Table13_1[[#This Row],[Round BMI]]&lt;=29.9),"Overweight",Table13_1[[#This Row],[Round BMI]]&gt;=30,"Obese")</f>
        <v>Healthy Weight</v>
      </c>
      <c r="D898" s="4" t="s">
        <v>8</v>
      </c>
      <c r="E898" s="4" t="str">
        <f>IF(Table13_1[[#This Row],[smoker]]="yes","smoker","non-smoker")</f>
        <v>smoker</v>
      </c>
      <c r="F898" s="4" t="s">
        <v>14</v>
      </c>
      <c r="G898" s="5">
        <v>43</v>
      </c>
      <c r="H898" s="5">
        <f>IF(Table13_1[[#This Row],[smoker]]="yes",1,0)</f>
        <v>1</v>
      </c>
      <c r="I898" s="4">
        <v>20.045000000000002</v>
      </c>
      <c r="J898" s="4">
        <v>2</v>
      </c>
      <c r="K898" s="12">
        <v>19798.054599999999</v>
      </c>
      <c r="N898">
        <v>743</v>
      </c>
      <c r="O898">
        <v>36351.396450233187</v>
      </c>
      <c r="P898">
        <v>6903.0215497668105</v>
      </c>
    </row>
    <row r="899" spans="1:16" x14ac:dyDescent="0.25">
      <c r="A899" s="4" t="s">
        <v>10</v>
      </c>
      <c r="B899" s="4">
        <f>ROUND(Table13_1[[#This Row],[bmi]],1)</f>
        <v>25.6</v>
      </c>
      <c r="C899" s="4" t="str" cm="1">
        <f t="array" ref="C899">_xlfn.IFS(Table13_1[[#This Row],[Round BMI]]&lt;18.5,"Underweight",AND(Table13_1[[#This Row],[Round BMI]]&gt;=18.5,Table13_1[[#This Row],[Round BMI]] &lt;=24.9),"Healthy Weight",AND(Table13_1[[#This Row],[Round BMI]]&gt;=25,Table13_1[[#This Row],[Round BMI]]&lt;=29.9),"Overweight",Table13_1[[#This Row],[Round BMI]]&gt;=30,"Obese")</f>
        <v>Overweight</v>
      </c>
      <c r="D899" s="4" t="s">
        <v>11</v>
      </c>
      <c r="E899" s="4" t="str">
        <f>IF(Table13_1[[#This Row],[smoker]]="yes","smoker","non-smoker")</f>
        <v>non-smoker</v>
      </c>
      <c r="F899" s="4" t="s">
        <v>13</v>
      </c>
      <c r="G899" s="5">
        <v>19</v>
      </c>
      <c r="H899" s="5">
        <f>IF(Table13_1[[#This Row],[smoker]]="yes",1,0)</f>
        <v>0</v>
      </c>
      <c r="I899" s="4">
        <v>25.555</v>
      </c>
      <c r="J899" s="4">
        <v>1</v>
      </c>
      <c r="K899" s="12">
        <v>2221.5644000000002</v>
      </c>
      <c r="N899">
        <v>744</v>
      </c>
      <c r="O899">
        <v>4458.2496926833601</v>
      </c>
      <c r="P899">
        <v>-700.40489268336023</v>
      </c>
    </row>
    <row r="900" spans="1:16" x14ac:dyDescent="0.25">
      <c r="A900" s="4" t="s">
        <v>7</v>
      </c>
      <c r="B900" s="4">
        <f>ROUND(Table13_1[[#This Row],[bmi]],1)</f>
        <v>40.299999999999997</v>
      </c>
      <c r="C900" s="4" t="str" cm="1">
        <f t="array" ref="C900">_xlfn.IFS(Table13_1[[#This Row],[Round BMI]]&lt;18.5,"Underweight",AND(Table13_1[[#This Row],[Round BMI]]&gt;=18.5,Table13_1[[#This Row],[Round BMI]] &lt;=24.9),"Healthy Weight",AND(Table13_1[[#This Row],[Round BMI]]&gt;=25,Table13_1[[#This Row],[Round BMI]]&lt;=29.9),"Overweight",Table13_1[[#This Row],[Round BMI]]&gt;=30,"Obese")</f>
        <v>Obese</v>
      </c>
      <c r="D900" s="4" t="s">
        <v>11</v>
      </c>
      <c r="E900" s="4" t="str">
        <f>IF(Table13_1[[#This Row],[smoker]]="yes","smoker","non-smoker")</f>
        <v>non-smoker</v>
      </c>
      <c r="F900" s="4" t="s">
        <v>12</v>
      </c>
      <c r="G900" s="5">
        <v>18</v>
      </c>
      <c r="H900" s="5">
        <f>IF(Table13_1[[#This Row],[smoker]]="yes",1,0)</f>
        <v>0</v>
      </c>
      <c r="I900" s="4">
        <v>40.26</v>
      </c>
      <c r="J900" s="4">
        <v>0</v>
      </c>
      <c r="K900" s="12">
        <v>1634.5734</v>
      </c>
      <c r="N900">
        <v>745</v>
      </c>
      <c r="O900">
        <v>9289.801537363468</v>
      </c>
      <c r="P900">
        <v>-462.59163736346818</v>
      </c>
    </row>
    <row r="901" spans="1:16" x14ac:dyDescent="0.25">
      <c r="A901" s="4" t="s">
        <v>7</v>
      </c>
      <c r="B901" s="4">
        <f>ROUND(Table13_1[[#This Row],[bmi]],1)</f>
        <v>22.5</v>
      </c>
      <c r="C901" s="4" t="str" cm="1">
        <f t="array" ref="C901">_xlfn.IFS(Table13_1[[#This Row],[Round BMI]]&lt;18.5,"Underweight",AND(Table13_1[[#This Row],[Round BMI]]&gt;=18.5,Table13_1[[#This Row],[Round BMI]] &lt;=24.9),"Healthy Weight",AND(Table13_1[[#This Row],[Round BMI]]&gt;=25,Table13_1[[#This Row],[Round BMI]]&lt;=29.9),"Overweight",Table13_1[[#This Row],[Round BMI]]&gt;=30,"Obese")</f>
        <v>Healthy Weight</v>
      </c>
      <c r="D901" s="4" t="s">
        <v>11</v>
      </c>
      <c r="E901" s="4" t="str">
        <f>IF(Table13_1[[#This Row],[smoker]]="yes","smoker","non-smoker")</f>
        <v>non-smoker</v>
      </c>
      <c r="F901" s="4" t="s">
        <v>13</v>
      </c>
      <c r="G901" s="5">
        <v>19</v>
      </c>
      <c r="H901" s="5">
        <f>IF(Table13_1[[#This Row],[smoker]]="yes",1,0)</f>
        <v>0</v>
      </c>
      <c r="I901" s="4">
        <v>22.515000000000001</v>
      </c>
      <c r="J901" s="4">
        <v>0</v>
      </c>
      <c r="K901" s="12">
        <v>2117.3388</v>
      </c>
      <c r="N901">
        <v>746</v>
      </c>
      <c r="O901">
        <v>10955.763300435983</v>
      </c>
      <c r="P901">
        <v>-1045.403500435983</v>
      </c>
    </row>
    <row r="902" spans="1:16" x14ac:dyDescent="0.25">
      <c r="A902" s="4" t="s">
        <v>10</v>
      </c>
      <c r="B902" s="4">
        <f>ROUND(Table13_1[[#This Row],[bmi]],1)</f>
        <v>22.5</v>
      </c>
      <c r="C902" s="4" t="str" cm="1">
        <f t="array" ref="C902">_xlfn.IFS(Table13_1[[#This Row],[Round BMI]]&lt;18.5,"Underweight",AND(Table13_1[[#This Row],[Round BMI]]&gt;=18.5,Table13_1[[#This Row],[Round BMI]] &lt;=24.9),"Healthy Weight",AND(Table13_1[[#This Row],[Round BMI]]&gt;=25,Table13_1[[#This Row],[Round BMI]]&lt;=29.9),"Overweight",Table13_1[[#This Row],[Round BMI]]&gt;=30,"Obese")</f>
        <v>Healthy Weight</v>
      </c>
      <c r="D902" s="4" t="s">
        <v>11</v>
      </c>
      <c r="E902" s="4" t="str">
        <f>IF(Table13_1[[#This Row],[smoker]]="yes","smoker","non-smoker")</f>
        <v>non-smoker</v>
      </c>
      <c r="F902" s="4" t="s">
        <v>14</v>
      </c>
      <c r="G902" s="5">
        <v>49</v>
      </c>
      <c r="H902" s="5">
        <f>IF(Table13_1[[#This Row],[smoker]]="yes",1,0)</f>
        <v>0</v>
      </c>
      <c r="I902" s="4">
        <v>22.515000000000001</v>
      </c>
      <c r="J902" s="4">
        <v>0</v>
      </c>
      <c r="K902" s="12">
        <v>8688.8588</v>
      </c>
      <c r="N902">
        <v>747</v>
      </c>
      <c r="O902">
        <v>6301.1063788457332</v>
      </c>
      <c r="P902">
        <v>5436.7424211542666</v>
      </c>
    </row>
    <row r="903" spans="1:16" x14ac:dyDescent="0.25">
      <c r="A903" s="4" t="s">
        <v>10</v>
      </c>
      <c r="B903" s="4">
        <f>ROUND(Table13_1[[#This Row],[bmi]],1)</f>
        <v>40.9</v>
      </c>
      <c r="C903" s="4" t="str" cm="1">
        <f t="array" ref="C903">_xlfn.IFS(Table13_1[[#This Row],[Round BMI]]&lt;18.5,"Underweight",AND(Table13_1[[#This Row],[Round BMI]]&gt;=18.5,Table13_1[[#This Row],[Round BMI]] &lt;=24.9),"Healthy Weight",AND(Table13_1[[#This Row],[Round BMI]]&gt;=25,Table13_1[[#This Row],[Round BMI]]&lt;=29.9),"Overweight",Table13_1[[#This Row],[Round BMI]]&gt;=30,"Obese")</f>
        <v>Obese</v>
      </c>
      <c r="D903" s="4" t="s">
        <v>8</v>
      </c>
      <c r="E903" s="4" t="str">
        <f>IF(Table13_1[[#This Row],[smoker]]="yes","smoker","non-smoker")</f>
        <v>smoker</v>
      </c>
      <c r="F903" s="4" t="s">
        <v>12</v>
      </c>
      <c r="G903" s="5">
        <v>60</v>
      </c>
      <c r="H903" s="5">
        <f>IF(Table13_1[[#This Row],[smoker]]="yes",1,0)</f>
        <v>1</v>
      </c>
      <c r="I903" s="4">
        <v>40.92</v>
      </c>
      <c r="J903" s="4">
        <v>0</v>
      </c>
      <c r="K903" s="12">
        <v>48673.558799999999</v>
      </c>
      <c r="N903">
        <v>748</v>
      </c>
      <c r="O903">
        <v>-201.75147010341152</v>
      </c>
      <c r="P903">
        <v>1829.0338701034116</v>
      </c>
    </row>
    <row r="904" spans="1:16" x14ac:dyDescent="0.25">
      <c r="A904" s="4" t="s">
        <v>10</v>
      </c>
      <c r="B904" s="4">
        <f>ROUND(Table13_1[[#This Row],[bmi]],1)</f>
        <v>27.3</v>
      </c>
      <c r="C904" s="4" t="str" cm="1">
        <f t="array" ref="C904">_xlfn.IFS(Table13_1[[#This Row],[Round BMI]]&lt;18.5,"Underweight",AND(Table13_1[[#This Row],[Round BMI]]&gt;=18.5,Table13_1[[#This Row],[Round BMI]] &lt;=24.9),"Healthy Weight",AND(Table13_1[[#This Row],[Round BMI]]&gt;=25,Table13_1[[#This Row],[Round BMI]]&lt;=29.9),"Overweight",Table13_1[[#This Row],[Round BMI]]&gt;=30,"Obese")</f>
        <v>Overweight</v>
      </c>
      <c r="D904" s="4" t="s">
        <v>11</v>
      </c>
      <c r="E904" s="4" t="str">
        <f>IF(Table13_1[[#This Row],[smoker]]="yes","smoker","non-smoker")</f>
        <v>non-smoker</v>
      </c>
      <c r="F904" s="4" t="s">
        <v>14</v>
      </c>
      <c r="G904" s="5">
        <v>26</v>
      </c>
      <c r="H904" s="5">
        <f>IF(Table13_1[[#This Row],[smoker]]="yes",1,0)</f>
        <v>0</v>
      </c>
      <c r="I904" s="4">
        <v>27.265000000000001</v>
      </c>
      <c r="J904" s="4">
        <v>3</v>
      </c>
      <c r="K904" s="12">
        <v>4661.2864</v>
      </c>
      <c r="N904">
        <v>749</v>
      </c>
      <c r="O904">
        <v>12076.310284165451</v>
      </c>
      <c r="P904">
        <v>-3519.4032841654516</v>
      </c>
    </row>
    <row r="905" spans="1:16" x14ac:dyDescent="0.25">
      <c r="A905" s="4" t="s">
        <v>10</v>
      </c>
      <c r="B905" s="4">
        <f>ROUND(Table13_1[[#This Row],[bmi]],1)</f>
        <v>36.9</v>
      </c>
      <c r="C905" s="4" t="str" cm="1">
        <f t="array" ref="C905">_xlfn.IFS(Table13_1[[#This Row],[Round BMI]]&lt;18.5,"Underweight",AND(Table13_1[[#This Row],[Round BMI]]&gt;=18.5,Table13_1[[#This Row],[Round BMI]] &lt;=24.9),"Healthy Weight",AND(Table13_1[[#This Row],[Round BMI]]&gt;=25,Table13_1[[#This Row],[Round BMI]]&lt;=29.9),"Overweight",Table13_1[[#This Row],[Round BMI]]&gt;=30,"Obese")</f>
        <v>Obese</v>
      </c>
      <c r="D905" s="4" t="s">
        <v>11</v>
      </c>
      <c r="E905" s="4" t="str">
        <f>IF(Table13_1[[#This Row],[smoker]]="yes","smoker","non-smoker")</f>
        <v>non-smoker</v>
      </c>
      <c r="F905" s="4" t="s">
        <v>12</v>
      </c>
      <c r="G905" s="5">
        <v>49</v>
      </c>
      <c r="H905" s="5">
        <f>IF(Table13_1[[#This Row],[smoker]]="yes",1,0)</f>
        <v>0</v>
      </c>
      <c r="I905" s="4">
        <v>36.85</v>
      </c>
      <c r="J905" s="4">
        <v>0</v>
      </c>
      <c r="K905" s="12">
        <v>8125.7844999999998</v>
      </c>
      <c r="N905">
        <v>750</v>
      </c>
      <c r="O905">
        <v>5054.1788897816505</v>
      </c>
      <c r="P905">
        <v>-1991.6706897816503</v>
      </c>
    </row>
    <row r="906" spans="1:16" x14ac:dyDescent="0.25">
      <c r="A906" s="4" t="s">
        <v>7</v>
      </c>
      <c r="B906" s="4">
        <f>ROUND(Table13_1[[#This Row],[bmi]],1)</f>
        <v>35.1</v>
      </c>
      <c r="C906" s="4" t="str" cm="1">
        <f t="array" ref="C906">_xlfn.IFS(Table13_1[[#This Row],[Round BMI]]&lt;18.5,"Underweight",AND(Table13_1[[#This Row],[Round BMI]]&gt;=18.5,Table13_1[[#This Row],[Round BMI]] &lt;=24.9),"Healthy Weight",AND(Table13_1[[#This Row],[Round BMI]]&gt;=25,Table13_1[[#This Row],[Round BMI]]&lt;=29.9),"Overweight",Table13_1[[#This Row],[Round BMI]]&gt;=30,"Obese")</f>
        <v>Obese</v>
      </c>
      <c r="D906" s="4" t="s">
        <v>11</v>
      </c>
      <c r="E906" s="4" t="str">
        <f>IF(Table13_1[[#This Row],[smoker]]="yes","smoker","non-smoker")</f>
        <v>non-smoker</v>
      </c>
      <c r="F906" s="4" t="s">
        <v>9</v>
      </c>
      <c r="G906" s="5">
        <v>60</v>
      </c>
      <c r="H906" s="5">
        <f>IF(Table13_1[[#This Row],[smoker]]="yes",1,0)</f>
        <v>0</v>
      </c>
      <c r="I906" s="4">
        <v>35.1</v>
      </c>
      <c r="J906" s="4">
        <v>0</v>
      </c>
      <c r="K906" s="12">
        <v>12644.589</v>
      </c>
      <c r="N906">
        <v>751</v>
      </c>
      <c r="O906">
        <v>29745.939274055949</v>
      </c>
      <c r="P906">
        <v>-10206.69627405595</v>
      </c>
    </row>
    <row r="907" spans="1:16" x14ac:dyDescent="0.25">
      <c r="A907" s="4" t="s">
        <v>7</v>
      </c>
      <c r="B907" s="4">
        <f>ROUND(Table13_1[[#This Row],[bmi]],1)</f>
        <v>29.4</v>
      </c>
      <c r="C907" s="4" t="str" cm="1">
        <f t="array" ref="C907">_xlfn.IFS(Table13_1[[#This Row],[Round BMI]]&lt;18.5,"Underweight",AND(Table13_1[[#This Row],[Round BMI]]&gt;=18.5,Table13_1[[#This Row],[Round BMI]] &lt;=24.9),"Healthy Weight",AND(Table13_1[[#This Row],[Round BMI]]&gt;=25,Table13_1[[#This Row],[Round BMI]]&lt;=29.9),"Overweight",Table13_1[[#This Row],[Round BMI]]&gt;=30,"Obese")</f>
        <v>Overweight</v>
      </c>
      <c r="D907" s="4" t="s">
        <v>11</v>
      </c>
      <c r="E907" s="4" t="str">
        <f>IF(Table13_1[[#This Row],[smoker]]="yes","smoker","non-smoker")</f>
        <v>non-smoker</v>
      </c>
      <c r="F907" s="4" t="s">
        <v>14</v>
      </c>
      <c r="G907" s="5">
        <v>26</v>
      </c>
      <c r="H907" s="5">
        <f>IF(Table13_1[[#This Row],[smoker]]="yes",1,0)</f>
        <v>0</v>
      </c>
      <c r="I907" s="4">
        <v>29.355</v>
      </c>
      <c r="J907" s="4">
        <v>2</v>
      </c>
      <c r="K907" s="12">
        <v>4564.1913999999997</v>
      </c>
      <c r="N907">
        <v>752</v>
      </c>
      <c r="O907">
        <v>2637.7146730708555</v>
      </c>
      <c r="P907">
        <v>-731.3564730708556</v>
      </c>
    </row>
    <row r="908" spans="1:16" x14ac:dyDescent="0.25">
      <c r="A908" s="4" t="s">
        <v>10</v>
      </c>
      <c r="B908" s="4">
        <f>ROUND(Table13_1[[#This Row],[bmi]],1)</f>
        <v>32.6</v>
      </c>
      <c r="C908" s="4" t="str" cm="1">
        <f t="array" ref="C908">_xlfn.IFS(Table13_1[[#This Row],[Round BMI]]&lt;18.5,"Underweight",AND(Table13_1[[#This Row],[Round BMI]]&gt;=18.5,Table13_1[[#This Row],[Round BMI]] &lt;=24.9),"Healthy Weight",AND(Table13_1[[#This Row],[Round BMI]]&gt;=25,Table13_1[[#This Row],[Round BMI]]&lt;=29.9),"Overweight",Table13_1[[#This Row],[Round BMI]]&gt;=30,"Obese")</f>
        <v>Obese</v>
      </c>
      <c r="D908" s="4" t="s">
        <v>11</v>
      </c>
      <c r="E908" s="4" t="str">
        <f>IF(Table13_1[[#This Row],[smoker]]="yes","smoker","non-smoker")</f>
        <v>non-smoker</v>
      </c>
      <c r="F908" s="4" t="s">
        <v>14</v>
      </c>
      <c r="G908" s="5">
        <v>27</v>
      </c>
      <c r="H908" s="5">
        <f>IF(Table13_1[[#This Row],[smoker]]="yes",1,0)</f>
        <v>0</v>
      </c>
      <c r="I908" s="4">
        <v>32.585000000000001</v>
      </c>
      <c r="J908" s="4">
        <v>3</v>
      </c>
      <c r="K908" s="12">
        <v>4846.9201999999996</v>
      </c>
      <c r="N908">
        <v>753</v>
      </c>
      <c r="O908">
        <v>16599.37651564819</v>
      </c>
      <c r="P908">
        <v>-2388.8405156481895</v>
      </c>
    </row>
    <row r="909" spans="1:16" x14ac:dyDescent="0.25">
      <c r="A909" s="4" t="s">
        <v>7</v>
      </c>
      <c r="B909" s="4">
        <f>ROUND(Table13_1[[#This Row],[bmi]],1)</f>
        <v>32.299999999999997</v>
      </c>
      <c r="C909" s="4" t="str" cm="1">
        <f t="array" ref="C909">_xlfn.IFS(Table13_1[[#This Row],[Round BMI]]&lt;18.5,"Underweight",AND(Table13_1[[#This Row],[Round BMI]]&gt;=18.5,Table13_1[[#This Row],[Round BMI]] &lt;=24.9),"Healthy Weight",AND(Table13_1[[#This Row],[Round BMI]]&gt;=25,Table13_1[[#This Row],[Round BMI]]&lt;=29.9),"Overweight",Table13_1[[#This Row],[Round BMI]]&gt;=30,"Obese")</f>
        <v>Obese</v>
      </c>
      <c r="D909" s="4" t="s">
        <v>11</v>
      </c>
      <c r="E909" s="4" t="str">
        <f>IF(Table13_1[[#This Row],[smoker]]="yes","smoker","non-smoker")</f>
        <v>non-smoker</v>
      </c>
      <c r="F909" s="4" t="s">
        <v>12</v>
      </c>
      <c r="G909" s="5">
        <v>44</v>
      </c>
      <c r="H909" s="5">
        <f>IF(Table13_1[[#This Row],[smoker]]="yes",1,0)</f>
        <v>0</v>
      </c>
      <c r="I909" s="4">
        <v>32.340000000000003</v>
      </c>
      <c r="J909" s="4">
        <v>1</v>
      </c>
      <c r="K909" s="12">
        <v>7633.7205999999996</v>
      </c>
      <c r="N909">
        <v>754</v>
      </c>
      <c r="O909">
        <v>10181.058489664301</v>
      </c>
      <c r="P909">
        <v>1652.7238103356995</v>
      </c>
    </row>
    <row r="910" spans="1:16" x14ac:dyDescent="0.25">
      <c r="A910" s="4" t="s">
        <v>10</v>
      </c>
      <c r="B910" s="4">
        <f>ROUND(Table13_1[[#This Row],[bmi]],1)</f>
        <v>39.799999999999997</v>
      </c>
      <c r="C910" s="4" t="str" cm="1">
        <f t="array" ref="C910">_xlfn.IFS(Table13_1[[#This Row],[Round BMI]]&lt;18.5,"Underweight",AND(Table13_1[[#This Row],[Round BMI]]&gt;=18.5,Table13_1[[#This Row],[Round BMI]] &lt;=24.9),"Healthy Weight",AND(Table13_1[[#This Row],[Round BMI]]&gt;=25,Table13_1[[#This Row],[Round BMI]]&lt;=29.9),"Overweight",Table13_1[[#This Row],[Round BMI]]&gt;=30,"Obese")</f>
        <v>Obese</v>
      </c>
      <c r="D910" s="4" t="s">
        <v>11</v>
      </c>
      <c r="E910" s="4" t="str">
        <f>IF(Table13_1[[#This Row],[smoker]]="yes","smoker","non-smoker")</f>
        <v>non-smoker</v>
      </c>
      <c r="F910" s="4" t="s">
        <v>9</v>
      </c>
      <c r="G910" s="5">
        <v>63</v>
      </c>
      <c r="H910" s="5">
        <f>IF(Table13_1[[#This Row],[smoker]]="yes",1,0)</f>
        <v>0</v>
      </c>
      <c r="I910" s="4">
        <v>39.799999999999997</v>
      </c>
      <c r="J910" s="4">
        <v>3</v>
      </c>
      <c r="K910" s="12">
        <v>15170.069</v>
      </c>
      <c r="N910">
        <v>755</v>
      </c>
      <c r="O910">
        <v>6803.4907374710619</v>
      </c>
      <c r="P910">
        <v>10324.935362528939</v>
      </c>
    </row>
    <row r="911" spans="1:16" x14ac:dyDescent="0.25">
      <c r="A911" s="4" t="s">
        <v>7</v>
      </c>
      <c r="B911" s="4">
        <f>ROUND(Table13_1[[#This Row],[bmi]],1)</f>
        <v>24.6</v>
      </c>
      <c r="C911" s="4" t="str" cm="1">
        <f t="array" ref="C911">_xlfn.IFS(Table13_1[[#This Row],[Round BMI]]&lt;18.5,"Underweight",AND(Table13_1[[#This Row],[Round BMI]]&gt;=18.5,Table13_1[[#This Row],[Round BMI]] &lt;=24.9),"Healthy Weight",AND(Table13_1[[#This Row],[Round BMI]]&gt;=25,Table13_1[[#This Row],[Round BMI]]&lt;=29.9),"Overweight",Table13_1[[#This Row],[Round BMI]]&gt;=30,"Obese")</f>
        <v>Healthy Weight</v>
      </c>
      <c r="D911" s="4" t="s">
        <v>8</v>
      </c>
      <c r="E911" s="4" t="str">
        <f>IF(Table13_1[[#This Row],[smoker]]="yes","smoker","non-smoker")</f>
        <v>smoker</v>
      </c>
      <c r="F911" s="4" t="s">
        <v>9</v>
      </c>
      <c r="G911" s="5">
        <v>32</v>
      </c>
      <c r="H911" s="5">
        <f>IF(Table13_1[[#This Row],[smoker]]="yes",1,0)</f>
        <v>1</v>
      </c>
      <c r="I911" s="4">
        <v>24.6</v>
      </c>
      <c r="J911" s="4">
        <v>0</v>
      </c>
      <c r="K911" s="12">
        <v>17496.306</v>
      </c>
      <c r="N911">
        <v>756</v>
      </c>
      <c r="O911">
        <v>5735.1520116872489</v>
      </c>
      <c r="P911">
        <v>-703.88241168724926</v>
      </c>
    </row>
    <row r="912" spans="1:16" x14ac:dyDescent="0.25">
      <c r="A912" s="4" t="s">
        <v>10</v>
      </c>
      <c r="B912" s="4">
        <f>ROUND(Table13_1[[#This Row],[bmi]],1)</f>
        <v>28.3</v>
      </c>
      <c r="C912" s="4" t="str" cm="1">
        <f t="array" ref="C912">_xlfn.IFS(Table13_1[[#This Row],[Round BMI]]&lt;18.5,"Underweight",AND(Table13_1[[#This Row],[Round BMI]]&gt;=18.5,Table13_1[[#This Row],[Round BMI]] &lt;=24.9),"Healthy Weight",AND(Table13_1[[#This Row],[Round BMI]]&gt;=25,Table13_1[[#This Row],[Round BMI]]&lt;=29.9),"Overweight",Table13_1[[#This Row],[Round BMI]]&gt;=30,"Obese")</f>
        <v>Overweight</v>
      </c>
      <c r="D912" s="4" t="s">
        <v>11</v>
      </c>
      <c r="E912" s="4" t="str">
        <f>IF(Table13_1[[#This Row],[smoker]]="yes","smoker","non-smoker")</f>
        <v>non-smoker</v>
      </c>
      <c r="F912" s="4" t="s">
        <v>13</v>
      </c>
      <c r="G912" s="5">
        <v>22</v>
      </c>
      <c r="H912" s="5">
        <f>IF(Table13_1[[#This Row],[smoker]]="yes",1,0)</f>
        <v>0</v>
      </c>
      <c r="I912" s="4">
        <v>28.31</v>
      </c>
      <c r="J912" s="4">
        <v>1</v>
      </c>
      <c r="K912" s="12">
        <v>2639.0428999999999</v>
      </c>
      <c r="N912">
        <v>757</v>
      </c>
      <c r="O912">
        <v>6712.0803391102454</v>
      </c>
      <c r="P912">
        <v>1273.7346608897542</v>
      </c>
    </row>
    <row r="913" spans="1:16" x14ac:dyDescent="0.25">
      <c r="A913" s="4" t="s">
        <v>10</v>
      </c>
      <c r="B913" s="4">
        <f>ROUND(Table13_1[[#This Row],[bmi]],1)</f>
        <v>31.7</v>
      </c>
      <c r="C913" s="4" t="str" cm="1">
        <f t="array" ref="C913">_xlfn.IFS(Table13_1[[#This Row],[Round BMI]]&lt;18.5,"Underweight",AND(Table13_1[[#This Row],[Round BMI]]&gt;=18.5,Table13_1[[#This Row],[Round BMI]] &lt;=24.9),"Healthy Weight",AND(Table13_1[[#This Row],[Round BMI]]&gt;=25,Table13_1[[#This Row],[Round BMI]]&lt;=29.9),"Overweight",Table13_1[[#This Row],[Round BMI]]&gt;=30,"Obese")</f>
        <v>Obese</v>
      </c>
      <c r="D913" s="4" t="s">
        <v>8</v>
      </c>
      <c r="E913" s="4" t="str">
        <f>IF(Table13_1[[#This Row],[smoker]]="yes","smoker","non-smoker")</f>
        <v>smoker</v>
      </c>
      <c r="F913" s="4" t="s">
        <v>14</v>
      </c>
      <c r="G913" s="5">
        <v>18</v>
      </c>
      <c r="H913" s="5">
        <f>IF(Table13_1[[#This Row],[smoker]]="yes",1,0)</f>
        <v>1</v>
      </c>
      <c r="I913" s="4">
        <v>31.73</v>
      </c>
      <c r="J913" s="4">
        <v>0</v>
      </c>
      <c r="K913" s="12">
        <v>33732.686699999998</v>
      </c>
      <c r="N913">
        <v>758</v>
      </c>
      <c r="O913">
        <v>32784.681853422444</v>
      </c>
      <c r="P913">
        <v>-9719.2611534224452</v>
      </c>
    </row>
    <row r="914" spans="1:16" x14ac:dyDescent="0.25">
      <c r="A914" s="4" t="s">
        <v>7</v>
      </c>
      <c r="B914" s="4">
        <f>ROUND(Table13_1[[#This Row],[bmi]],1)</f>
        <v>26.7</v>
      </c>
      <c r="C914" s="4" t="str" cm="1">
        <f t="array" ref="C914">_xlfn.IFS(Table13_1[[#This Row],[Round BMI]]&lt;18.5,"Underweight",AND(Table13_1[[#This Row],[Round BMI]]&gt;=18.5,Table13_1[[#This Row],[Round BMI]] &lt;=24.9),"Healthy Weight",AND(Table13_1[[#This Row],[Round BMI]]&gt;=25,Table13_1[[#This Row],[Round BMI]]&lt;=29.9),"Overweight",Table13_1[[#This Row],[Round BMI]]&gt;=30,"Obese")</f>
        <v>Overweight</v>
      </c>
      <c r="D914" s="4" t="s">
        <v>11</v>
      </c>
      <c r="E914" s="4" t="str">
        <f>IF(Table13_1[[#This Row],[smoker]]="yes","smoker","non-smoker")</f>
        <v>non-smoker</v>
      </c>
      <c r="F914" s="4" t="s">
        <v>13</v>
      </c>
      <c r="G914" s="5">
        <v>59</v>
      </c>
      <c r="H914" s="5">
        <f>IF(Table13_1[[#This Row],[smoker]]="yes",1,0)</f>
        <v>0</v>
      </c>
      <c r="I914" s="4">
        <v>26.695</v>
      </c>
      <c r="J914" s="4">
        <v>3</v>
      </c>
      <c r="K914" s="12">
        <v>14382.709000000001</v>
      </c>
      <c r="N914">
        <v>759</v>
      </c>
      <c r="O914">
        <v>9100.1207967039809</v>
      </c>
      <c r="P914">
        <v>-3671.3930967039805</v>
      </c>
    </row>
    <row r="915" spans="1:16" x14ac:dyDescent="0.25">
      <c r="A915" s="4" t="s">
        <v>7</v>
      </c>
      <c r="B915" s="4">
        <f>ROUND(Table13_1[[#This Row],[bmi]],1)</f>
        <v>27.5</v>
      </c>
      <c r="C915" s="4" t="str" cm="1">
        <f t="array" ref="C915">_xlfn.IFS(Table13_1[[#This Row],[Round BMI]]&lt;18.5,"Underweight",AND(Table13_1[[#This Row],[Round BMI]]&gt;=18.5,Table13_1[[#This Row],[Round BMI]] &lt;=24.9),"Healthy Weight",AND(Table13_1[[#This Row],[Round BMI]]&gt;=25,Table13_1[[#This Row],[Round BMI]]&lt;=29.9),"Overweight",Table13_1[[#This Row],[Round BMI]]&gt;=30,"Obese")</f>
        <v>Overweight</v>
      </c>
      <c r="D915" s="4" t="s">
        <v>11</v>
      </c>
      <c r="E915" s="4" t="str">
        <f>IF(Table13_1[[#This Row],[smoker]]="yes","smoker","non-smoker")</f>
        <v>non-smoker</v>
      </c>
      <c r="F915" s="4" t="s">
        <v>9</v>
      </c>
      <c r="G915" s="5">
        <v>44</v>
      </c>
      <c r="H915" s="5">
        <f>IF(Table13_1[[#This Row],[smoker]]="yes",1,0)</f>
        <v>0</v>
      </c>
      <c r="I915" s="4">
        <v>27.5</v>
      </c>
      <c r="J915" s="4">
        <v>1</v>
      </c>
      <c r="K915" s="12">
        <v>7626.9930000000004</v>
      </c>
      <c r="N915">
        <v>760</v>
      </c>
      <c r="O915">
        <v>28634.98964622026</v>
      </c>
      <c r="P915">
        <v>7672.8086537797426</v>
      </c>
    </row>
    <row r="916" spans="1:16" x14ac:dyDescent="0.25">
      <c r="A916" s="4" t="s">
        <v>10</v>
      </c>
      <c r="B916" s="4">
        <f>ROUND(Table13_1[[#This Row],[bmi]],1)</f>
        <v>24.6</v>
      </c>
      <c r="C916" s="4" t="str" cm="1">
        <f t="array" ref="C916">_xlfn.IFS(Table13_1[[#This Row],[Round BMI]]&lt;18.5,"Underweight",AND(Table13_1[[#This Row],[Round BMI]]&gt;=18.5,Table13_1[[#This Row],[Round BMI]] &lt;=24.9),"Healthy Weight",AND(Table13_1[[#This Row],[Round BMI]]&gt;=25,Table13_1[[#This Row],[Round BMI]]&lt;=29.9),"Overweight",Table13_1[[#This Row],[Round BMI]]&gt;=30,"Obese")</f>
        <v>Healthy Weight</v>
      </c>
      <c r="D916" s="4" t="s">
        <v>11</v>
      </c>
      <c r="E916" s="4" t="str">
        <f>IF(Table13_1[[#This Row],[smoker]]="yes","smoker","non-smoker")</f>
        <v>non-smoker</v>
      </c>
      <c r="F916" s="4" t="s">
        <v>13</v>
      </c>
      <c r="G916" s="5">
        <v>33</v>
      </c>
      <c r="H916" s="5">
        <f>IF(Table13_1[[#This Row],[smoker]]="yes",1,0)</f>
        <v>0</v>
      </c>
      <c r="I916" s="4">
        <v>24.605</v>
      </c>
      <c r="J916" s="4">
        <v>2</v>
      </c>
      <c r="K916" s="12">
        <v>5257.5079999999998</v>
      </c>
      <c r="N916">
        <v>761</v>
      </c>
      <c r="O916">
        <v>5646.5459244178528</v>
      </c>
      <c r="P916">
        <v>-1720.7877244178526</v>
      </c>
    </row>
    <row r="917" spans="1:16" x14ac:dyDescent="0.25">
      <c r="A917" s="4" t="s">
        <v>7</v>
      </c>
      <c r="B917" s="4">
        <f>ROUND(Table13_1[[#This Row],[bmi]],1)</f>
        <v>34</v>
      </c>
      <c r="C917" s="4" t="str" cm="1">
        <f t="array" ref="C917">_xlfn.IFS(Table13_1[[#This Row],[Round BMI]]&lt;18.5,"Underweight",AND(Table13_1[[#This Row],[Round BMI]]&gt;=18.5,Table13_1[[#This Row],[Round BMI]] &lt;=24.9),"Healthy Weight",AND(Table13_1[[#This Row],[Round BMI]]&gt;=25,Table13_1[[#This Row],[Round BMI]]&lt;=29.9),"Overweight",Table13_1[[#This Row],[Round BMI]]&gt;=30,"Obese")</f>
        <v>Obese</v>
      </c>
      <c r="D917" s="4" t="s">
        <v>11</v>
      </c>
      <c r="E917" s="4" t="str">
        <f>IF(Table13_1[[#This Row],[smoker]]="yes","smoker","non-smoker")</f>
        <v>non-smoker</v>
      </c>
      <c r="F917" s="4" t="s">
        <v>12</v>
      </c>
      <c r="G917" s="5">
        <v>24</v>
      </c>
      <c r="H917" s="5">
        <f>IF(Table13_1[[#This Row],[smoker]]="yes",1,0)</f>
        <v>0</v>
      </c>
      <c r="I917" s="4">
        <v>33.99</v>
      </c>
      <c r="J917" s="4">
        <v>0</v>
      </c>
      <c r="K917" s="12">
        <v>2473.3341</v>
      </c>
      <c r="N917">
        <v>762</v>
      </c>
      <c r="O917">
        <v>5630.4409859639391</v>
      </c>
      <c r="P917">
        <v>-3213.4859859639391</v>
      </c>
    </row>
    <row r="918" spans="1:16" x14ac:dyDescent="0.25">
      <c r="A918" s="4" t="s">
        <v>7</v>
      </c>
      <c r="B918" s="4">
        <f>ROUND(Table13_1[[#This Row],[bmi]],1)</f>
        <v>26.9</v>
      </c>
      <c r="C918" s="4" t="str" cm="1">
        <f t="array" ref="C918">_xlfn.IFS(Table13_1[[#This Row],[Round BMI]]&lt;18.5,"Underweight",AND(Table13_1[[#This Row],[Round BMI]]&gt;=18.5,Table13_1[[#This Row],[Round BMI]] &lt;=24.9),"Healthy Weight",AND(Table13_1[[#This Row],[Round BMI]]&gt;=25,Table13_1[[#This Row],[Round BMI]]&lt;=29.9),"Overweight",Table13_1[[#This Row],[Round BMI]]&gt;=30,"Obese")</f>
        <v>Overweight</v>
      </c>
      <c r="D918" s="4" t="s">
        <v>8</v>
      </c>
      <c r="E918" s="4" t="str">
        <f>IF(Table13_1[[#This Row],[smoker]]="yes","smoker","non-smoker")</f>
        <v>smoker</v>
      </c>
      <c r="F918" s="4" t="s">
        <v>13</v>
      </c>
      <c r="G918" s="5">
        <v>43</v>
      </c>
      <c r="H918" s="5">
        <f>IF(Table13_1[[#This Row],[smoker]]="yes",1,0)</f>
        <v>1</v>
      </c>
      <c r="I918" s="4">
        <v>26.885000000000002</v>
      </c>
      <c r="J918" s="4">
        <v>0</v>
      </c>
      <c r="K918" s="12">
        <v>21774.322199999999</v>
      </c>
      <c r="N918">
        <v>763</v>
      </c>
      <c r="O918">
        <v>29413.339542269201</v>
      </c>
      <c r="P918">
        <v>-10372.463542269201</v>
      </c>
    </row>
    <row r="919" spans="1:16" x14ac:dyDescent="0.25">
      <c r="A919" s="4" t="s">
        <v>10</v>
      </c>
      <c r="B919" s="4">
        <f>ROUND(Table13_1[[#This Row],[bmi]],1)</f>
        <v>22.9</v>
      </c>
      <c r="C919" s="4" t="str" cm="1">
        <f t="array" ref="C919">_xlfn.IFS(Table13_1[[#This Row],[Round BMI]]&lt;18.5,"Underweight",AND(Table13_1[[#This Row],[Round BMI]]&gt;=18.5,Table13_1[[#This Row],[Round BMI]] &lt;=24.9),"Healthy Weight",AND(Table13_1[[#This Row],[Round BMI]]&gt;=25,Table13_1[[#This Row],[Round BMI]]&lt;=29.9),"Overweight",Table13_1[[#This Row],[Round BMI]]&gt;=30,"Obese")</f>
        <v>Healthy Weight</v>
      </c>
      <c r="D919" s="4" t="s">
        <v>8</v>
      </c>
      <c r="E919" s="4" t="str">
        <f>IF(Table13_1[[#This Row],[smoker]]="yes","smoker","non-smoker")</f>
        <v>smoker</v>
      </c>
      <c r="F919" s="4" t="s">
        <v>14</v>
      </c>
      <c r="G919" s="5">
        <v>45</v>
      </c>
      <c r="H919" s="5">
        <f>IF(Table13_1[[#This Row],[smoker]]="yes",1,0)</f>
        <v>1</v>
      </c>
      <c r="I919" s="4">
        <v>22.895</v>
      </c>
      <c r="J919" s="4">
        <v>0</v>
      </c>
      <c r="K919" s="12">
        <v>35069.374499999998</v>
      </c>
      <c r="N919">
        <v>764</v>
      </c>
      <c r="O919">
        <v>3236.9593356856194</v>
      </c>
      <c r="P919">
        <v>-166.15063568561936</v>
      </c>
    </row>
    <row r="920" spans="1:16" x14ac:dyDescent="0.25">
      <c r="A920" s="4" t="s">
        <v>7</v>
      </c>
      <c r="B920" s="4">
        <f>ROUND(Table13_1[[#This Row],[bmi]],1)</f>
        <v>28.2</v>
      </c>
      <c r="C920" s="4" t="str" cm="1">
        <f t="array" ref="C920">_xlfn.IFS(Table13_1[[#This Row],[Round BMI]]&lt;18.5,"Underweight",AND(Table13_1[[#This Row],[Round BMI]]&gt;=18.5,Table13_1[[#This Row],[Round BMI]] &lt;=24.9),"Healthy Weight",AND(Table13_1[[#This Row],[Round BMI]]&gt;=25,Table13_1[[#This Row],[Round BMI]]&lt;=29.9),"Overweight",Table13_1[[#This Row],[Round BMI]]&gt;=30,"Obese")</f>
        <v>Overweight</v>
      </c>
      <c r="D920" s="4" t="s">
        <v>11</v>
      </c>
      <c r="E920" s="4" t="str">
        <f>IF(Table13_1[[#This Row],[smoker]]="yes","smoker","non-smoker")</f>
        <v>non-smoker</v>
      </c>
      <c r="F920" s="4" t="s">
        <v>9</v>
      </c>
      <c r="G920" s="5">
        <v>61</v>
      </c>
      <c r="H920" s="5">
        <f>IF(Table13_1[[#This Row],[smoker]]="yes",1,0)</f>
        <v>0</v>
      </c>
      <c r="I920" s="4">
        <v>28.2</v>
      </c>
      <c r="J920" s="4">
        <v>0</v>
      </c>
      <c r="K920" s="12">
        <v>13041.921</v>
      </c>
      <c r="N920">
        <v>765</v>
      </c>
      <c r="O920">
        <v>8550.0721492944376</v>
      </c>
      <c r="P920">
        <v>544.99605070556208</v>
      </c>
    </row>
    <row r="921" spans="1:16" x14ac:dyDescent="0.25">
      <c r="A921" s="4" t="s">
        <v>7</v>
      </c>
      <c r="B921" s="4">
        <f>ROUND(Table13_1[[#This Row],[bmi]],1)</f>
        <v>34.200000000000003</v>
      </c>
      <c r="C921" s="4" t="str" cm="1">
        <f t="array" ref="C921">_xlfn.IFS(Table13_1[[#This Row],[Round BMI]]&lt;18.5,"Underweight",AND(Table13_1[[#This Row],[Round BMI]]&gt;=18.5,Table13_1[[#This Row],[Round BMI]] &lt;=24.9),"Healthy Weight",AND(Table13_1[[#This Row],[Round BMI]]&gt;=25,Table13_1[[#This Row],[Round BMI]]&lt;=29.9),"Overweight",Table13_1[[#This Row],[Round BMI]]&gt;=30,"Obese")</f>
        <v>Obese</v>
      </c>
      <c r="D921" s="4" t="s">
        <v>11</v>
      </c>
      <c r="E921" s="4" t="str">
        <f>IF(Table13_1[[#This Row],[smoker]]="yes","smoker","non-smoker")</f>
        <v>non-smoker</v>
      </c>
      <c r="F921" s="4" t="s">
        <v>12</v>
      </c>
      <c r="G921" s="5">
        <v>35</v>
      </c>
      <c r="H921" s="5">
        <f>IF(Table13_1[[#This Row],[smoker]]="yes",1,0)</f>
        <v>0</v>
      </c>
      <c r="I921" s="4">
        <v>34.21</v>
      </c>
      <c r="J921" s="4">
        <v>1</v>
      </c>
      <c r="K921" s="12">
        <v>5245.2268999999997</v>
      </c>
      <c r="N921">
        <v>766</v>
      </c>
      <c r="O921">
        <v>12837.573435061124</v>
      </c>
      <c r="P921">
        <v>-994.94963506112435</v>
      </c>
    </row>
    <row r="922" spans="1:16" x14ac:dyDescent="0.25">
      <c r="A922" s="4" t="s">
        <v>7</v>
      </c>
      <c r="B922" s="4">
        <f>ROUND(Table13_1[[#This Row],[bmi]],1)</f>
        <v>25</v>
      </c>
      <c r="C922" s="4" t="str" cm="1">
        <f t="array" ref="C922">_xlfn.IFS(Table13_1[[#This Row],[Round BMI]]&lt;18.5,"Underweight",AND(Table13_1[[#This Row],[Round BMI]]&gt;=18.5,Table13_1[[#This Row],[Round BMI]] &lt;=24.9),"Healthy Weight",AND(Table13_1[[#This Row],[Round BMI]]&gt;=25,Table13_1[[#This Row],[Round BMI]]&lt;=29.9),"Overweight",Table13_1[[#This Row],[Round BMI]]&gt;=30,"Obese")</f>
        <v>Overweight</v>
      </c>
      <c r="D922" s="4" t="s">
        <v>11</v>
      </c>
      <c r="E922" s="4" t="str">
        <f>IF(Table13_1[[#This Row],[smoker]]="yes","smoker","non-smoker")</f>
        <v>non-smoker</v>
      </c>
      <c r="F922" s="4" t="s">
        <v>9</v>
      </c>
      <c r="G922" s="5">
        <v>62</v>
      </c>
      <c r="H922" s="5">
        <f>IF(Table13_1[[#This Row],[smoker]]="yes",1,0)</f>
        <v>0</v>
      </c>
      <c r="I922" s="4">
        <v>25</v>
      </c>
      <c r="J922" s="4">
        <v>0</v>
      </c>
      <c r="K922" s="12">
        <v>13451.121999999999</v>
      </c>
      <c r="N922">
        <v>767</v>
      </c>
      <c r="O922">
        <v>10885.460093652964</v>
      </c>
      <c r="P922">
        <v>-2822.696093652964</v>
      </c>
    </row>
    <row r="923" spans="1:16" x14ac:dyDescent="0.25">
      <c r="A923" s="4" t="s">
        <v>7</v>
      </c>
      <c r="B923" s="4">
        <f>ROUND(Table13_1[[#This Row],[bmi]],1)</f>
        <v>33.200000000000003</v>
      </c>
      <c r="C923" s="4" t="str" cm="1">
        <f t="array" ref="C923">_xlfn.IFS(Table13_1[[#This Row],[Round BMI]]&lt;18.5,"Underweight",AND(Table13_1[[#This Row],[Round BMI]]&gt;=18.5,Table13_1[[#This Row],[Round BMI]] &lt;=24.9),"Healthy Weight",AND(Table13_1[[#This Row],[Round BMI]]&gt;=25,Table13_1[[#This Row],[Round BMI]]&lt;=29.9),"Overweight",Table13_1[[#This Row],[Round BMI]]&gt;=30,"Obese")</f>
        <v>Obese</v>
      </c>
      <c r="D923" s="4" t="s">
        <v>11</v>
      </c>
      <c r="E923" s="4" t="str">
        <f>IF(Table13_1[[#This Row],[smoker]]="yes","smoker","non-smoker")</f>
        <v>non-smoker</v>
      </c>
      <c r="F923" s="4" t="s">
        <v>9</v>
      </c>
      <c r="G923" s="5">
        <v>62</v>
      </c>
      <c r="H923" s="5">
        <f>IF(Table13_1[[#This Row],[smoker]]="yes",1,0)</f>
        <v>0</v>
      </c>
      <c r="I923" s="4">
        <v>33.200000000000003</v>
      </c>
      <c r="J923" s="4">
        <v>0</v>
      </c>
      <c r="K923" s="12">
        <v>13462.52</v>
      </c>
      <c r="N923">
        <v>768</v>
      </c>
      <c r="O923">
        <v>8534.1029276251847</v>
      </c>
      <c r="P923">
        <v>-1483.4609276251849</v>
      </c>
    </row>
    <row r="924" spans="1:16" x14ac:dyDescent="0.25">
      <c r="A924" s="4" t="s">
        <v>10</v>
      </c>
      <c r="B924" s="4">
        <f>ROUND(Table13_1[[#This Row],[bmi]],1)</f>
        <v>31</v>
      </c>
      <c r="C924" s="4" t="str" cm="1">
        <f t="array" ref="C924">_xlfn.IFS(Table13_1[[#This Row],[Round BMI]]&lt;18.5,"Underweight",AND(Table13_1[[#This Row],[Round BMI]]&gt;=18.5,Table13_1[[#This Row],[Round BMI]] &lt;=24.9),"Healthy Weight",AND(Table13_1[[#This Row],[Round BMI]]&gt;=25,Table13_1[[#This Row],[Round BMI]]&lt;=29.9),"Overweight",Table13_1[[#This Row],[Round BMI]]&gt;=30,"Obese")</f>
        <v>Obese</v>
      </c>
      <c r="D924" s="4" t="s">
        <v>11</v>
      </c>
      <c r="E924" s="4" t="str">
        <f>IF(Table13_1[[#This Row],[smoker]]="yes","smoker","non-smoker")</f>
        <v>non-smoker</v>
      </c>
      <c r="F924" s="4" t="s">
        <v>9</v>
      </c>
      <c r="G924" s="5">
        <v>38</v>
      </c>
      <c r="H924" s="5">
        <f>IF(Table13_1[[#This Row],[smoker]]="yes",1,0)</f>
        <v>0</v>
      </c>
      <c r="I924" s="4">
        <v>31</v>
      </c>
      <c r="J924" s="4">
        <v>1</v>
      </c>
      <c r="K924" s="12">
        <v>5488.2619999999997</v>
      </c>
      <c r="N924">
        <v>769</v>
      </c>
      <c r="O924">
        <v>17177.099783748166</v>
      </c>
      <c r="P924">
        <v>-2858.0687837481655</v>
      </c>
    </row>
    <row r="925" spans="1:16" x14ac:dyDescent="0.25">
      <c r="A925" s="4" t="s">
        <v>10</v>
      </c>
      <c r="B925" s="4">
        <f>ROUND(Table13_1[[#This Row],[bmi]],1)</f>
        <v>35.799999999999997</v>
      </c>
      <c r="C925" s="4" t="str" cm="1">
        <f t="array" ref="C925">_xlfn.IFS(Table13_1[[#This Row],[Round BMI]]&lt;18.5,"Underweight",AND(Table13_1[[#This Row],[Round BMI]]&gt;=18.5,Table13_1[[#This Row],[Round BMI]] &lt;=24.9),"Healthy Weight",AND(Table13_1[[#This Row],[Round BMI]]&gt;=25,Table13_1[[#This Row],[Round BMI]]&lt;=29.9),"Overweight",Table13_1[[#This Row],[Round BMI]]&gt;=30,"Obese")</f>
        <v>Obese</v>
      </c>
      <c r="D925" s="4" t="s">
        <v>11</v>
      </c>
      <c r="E925" s="4" t="str">
        <f>IF(Table13_1[[#This Row],[smoker]]="yes","smoker","non-smoker")</f>
        <v>non-smoker</v>
      </c>
      <c r="F925" s="4" t="s">
        <v>13</v>
      </c>
      <c r="G925" s="5">
        <v>34</v>
      </c>
      <c r="H925" s="5">
        <f>IF(Table13_1[[#This Row],[smoker]]="yes",1,0)</f>
        <v>0</v>
      </c>
      <c r="I925" s="4">
        <v>35.814999999999998</v>
      </c>
      <c r="J925" s="4">
        <v>0</v>
      </c>
      <c r="K925" s="12">
        <v>4320.4107999999997</v>
      </c>
      <c r="N925">
        <v>770</v>
      </c>
      <c r="O925">
        <v>4910.5726017870347</v>
      </c>
      <c r="P925">
        <v>2022.669598212965</v>
      </c>
    </row>
    <row r="926" spans="1:16" x14ac:dyDescent="0.25">
      <c r="A926" s="4" t="s">
        <v>10</v>
      </c>
      <c r="B926" s="4">
        <f>ROUND(Table13_1[[#This Row],[bmi]],1)</f>
        <v>23.2</v>
      </c>
      <c r="C926" s="4" t="str" cm="1">
        <f t="array" ref="C926">_xlfn.IFS(Table13_1[[#This Row],[Round BMI]]&lt;18.5,"Underweight",AND(Table13_1[[#This Row],[Round BMI]]&gt;=18.5,Table13_1[[#This Row],[Round BMI]] &lt;=24.9),"Healthy Weight",AND(Table13_1[[#This Row],[Round BMI]]&gt;=25,Table13_1[[#This Row],[Round BMI]]&lt;=29.9),"Overweight",Table13_1[[#This Row],[Round BMI]]&gt;=30,"Obese")</f>
        <v>Healthy Weight</v>
      </c>
      <c r="D926" s="4" t="s">
        <v>11</v>
      </c>
      <c r="E926" s="4" t="str">
        <f>IF(Table13_1[[#This Row],[smoker]]="yes","smoker","non-smoker")</f>
        <v>non-smoker</v>
      </c>
      <c r="F926" s="4" t="s">
        <v>9</v>
      </c>
      <c r="G926" s="5">
        <v>43</v>
      </c>
      <c r="H926" s="5">
        <f>IF(Table13_1[[#This Row],[smoker]]="yes",1,0)</f>
        <v>0</v>
      </c>
      <c r="I926" s="4">
        <v>23.2</v>
      </c>
      <c r="J926" s="4">
        <v>0</v>
      </c>
      <c r="K926" s="12">
        <v>6250.4350000000004</v>
      </c>
      <c r="N926">
        <v>771</v>
      </c>
      <c r="O926">
        <v>16665.393158166204</v>
      </c>
      <c r="P926">
        <v>11275.894441833796</v>
      </c>
    </row>
    <row r="927" spans="1:16" x14ac:dyDescent="0.25">
      <c r="A927" s="4" t="s">
        <v>10</v>
      </c>
      <c r="B927" s="4">
        <f>ROUND(Table13_1[[#This Row],[bmi]],1)</f>
        <v>32.1</v>
      </c>
      <c r="C927" s="4" t="str" cm="1">
        <f t="array" ref="C927">_xlfn.IFS(Table13_1[[#This Row],[Round BMI]]&lt;18.5,"Underweight",AND(Table13_1[[#This Row],[Round BMI]]&gt;=18.5,Table13_1[[#This Row],[Round BMI]] &lt;=24.9),"Healthy Weight",AND(Table13_1[[#This Row],[Round BMI]]&gt;=25,Table13_1[[#This Row],[Round BMI]]&lt;=29.9),"Overweight",Table13_1[[#This Row],[Round BMI]]&gt;=30,"Obese")</f>
        <v>Obese</v>
      </c>
      <c r="D927" s="4" t="s">
        <v>11</v>
      </c>
      <c r="E927" s="4" t="str">
        <f>IF(Table13_1[[#This Row],[smoker]]="yes","smoker","non-smoker")</f>
        <v>non-smoker</v>
      </c>
      <c r="F927" s="4" t="s">
        <v>14</v>
      </c>
      <c r="G927" s="5">
        <v>50</v>
      </c>
      <c r="H927" s="5">
        <f>IF(Table13_1[[#This Row],[smoker]]="yes",1,0)</f>
        <v>0</v>
      </c>
      <c r="I927" s="4">
        <v>32.11</v>
      </c>
      <c r="J927" s="4">
        <v>2</v>
      </c>
      <c r="K927" s="12">
        <v>25333.3328</v>
      </c>
      <c r="N927">
        <v>772</v>
      </c>
      <c r="O927">
        <v>11103.691597270134</v>
      </c>
      <c r="P927">
        <v>47.088402729867084</v>
      </c>
    </row>
    <row r="928" spans="1:16" x14ac:dyDescent="0.25">
      <c r="A928" s="4" t="s">
        <v>7</v>
      </c>
      <c r="B928" s="4">
        <f>ROUND(Table13_1[[#This Row],[bmi]],1)</f>
        <v>23.4</v>
      </c>
      <c r="C928" s="4" t="str" cm="1">
        <f t="array" ref="C928">_xlfn.IFS(Table13_1[[#This Row],[Round BMI]]&lt;18.5,"Underweight",AND(Table13_1[[#This Row],[Round BMI]]&gt;=18.5,Table13_1[[#This Row],[Round BMI]] &lt;=24.9),"Healthy Weight",AND(Table13_1[[#This Row],[Round BMI]]&gt;=25,Table13_1[[#This Row],[Round BMI]]&lt;=29.9),"Overweight",Table13_1[[#This Row],[Round BMI]]&gt;=30,"Obese")</f>
        <v>Healthy Weight</v>
      </c>
      <c r="D928" s="4" t="s">
        <v>11</v>
      </c>
      <c r="E928" s="4" t="str">
        <f>IF(Table13_1[[#This Row],[smoker]]="yes","smoker","non-smoker")</f>
        <v>non-smoker</v>
      </c>
      <c r="F928" s="4" t="s">
        <v>9</v>
      </c>
      <c r="G928" s="5">
        <v>19</v>
      </c>
      <c r="H928" s="5">
        <f>IF(Table13_1[[#This Row],[smoker]]="yes",1,0)</f>
        <v>0</v>
      </c>
      <c r="I928" s="4">
        <v>23.4</v>
      </c>
      <c r="J928" s="4">
        <v>2</v>
      </c>
      <c r="K928" s="12">
        <v>2913.569</v>
      </c>
      <c r="N928">
        <v>773</v>
      </c>
      <c r="O928">
        <v>10983.74811999234</v>
      </c>
      <c r="P928">
        <v>1813.4614800076597</v>
      </c>
    </row>
    <row r="929" spans="1:16" x14ac:dyDescent="0.25">
      <c r="A929" s="4" t="s">
        <v>7</v>
      </c>
      <c r="B929" s="4">
        <f>ROUND(Table13_1[[#This Row],[bmi]],1)</f>
        <v>20.100000000000001</v>
      </c>
      <c r="C929" s="4" t="str" cm="1">
        <f t="array" ref="C929">_xlfn.IFS(Table13_1[[#This Row],[Round BMI]]&lt;18.5,"Underweight",AND(Table13_1[[#This Row],[Round BMI]]&gt;=18.5,Table13_1[[#This Row],[Round BMI]] &lt;=24.9),"Healthy Weight",AND(Table13_1[[#This Row],[Round BMI]]&gt;=25,Table13_1[[#This Row],[Round BMI]]&lt;=29.9),"Overweight",Table13_1[[#This Row],[Round BMI]]&gt;=30,"Obese")</f>
        <v>Healthy Weight</v>
      </c>
      <c r="D929" s="4" t="s">
        <v>11</v>
      </c>
      <c r="E929" s="4" t="str">
        <f>IF(Table13_1[[#This Row],[smoker]]="yes","smoker","non-smoker")</f>
        <v>non-smoker</v>
      </c>
      <c r="F929" s="4" t="s">
        <v>9</v>
      </c>
      <c r="G929" s="5">
        <v>57</v>
      </c>
      <c r="H929" s="5">
        <f>IF(Table13_1[[#This Row],[smoker]]="yes",1,0)</f>
        <v>0</v>
      </c>
      <c r="I929" s="4">
        <v>20.100000000000001</v>
      </c>
      <c r="J929" s="4">
        <v>1</v>
      </c>
      <c r="K929" s="12">
        <v>12032.325999999999</v>
      </c>
      <c r="N929">
        <v>774</v>
      </c>
      <c r="O929">
        <v>25902.839621155748</v>
      </c>
      <c r="P929">
        <v>-8154.3334211557485</v>
      </c>
    </row>
    <row r="930" spans="1:16" x14ac:dyDescent="0.25">
      <c r="A930" s="4" t="s">
        <v>7</v>
      </c>
      <c r="B930" s="4">
        <f>ROUND(Table13_1[[#This Row],[bmi]],1)</f>
        <v>39.200000000000003</v>
      </c>
      <c r="C930" s="4" t="str" cm="1">
        <f t="array" ref="C930">_xlfn.IFS(Table13_1[[#This Row],[Round BMI]]&lt;18.5,"Underweight",AND(Table13_1[[#This Row],[Round BMI]]&gt;=18.5,Table13_1[[#This Row],[Round BMI]] &lt;=24.9),"Healthy Weight",AND(Table13_1[[#This Row],[Round BMI]]&gt;=25,Table13_1[[#This Row],[Round BMI]]&lt;=29.9),"Overweight",Table13_1[[#This Row],[Round BMI]]&gt;=30,"Obese")</f>
        <v>Obese</v>
      </c>
      <c r="D930" s="4" t="s">
        <v>11</v>
      </c>
      <c r="E930" s="4" t="str">
        <f>IF(Table13_1[[#This Row],[smoker]]="yes","smoker","non-smoker")</f>
        <v>non-smoker</v>
      </c>
      <c r="F930" s="4" t="s">
        <v>12</v>
      </c>
      <c r="G930" s="5">
        <v>62</v>
      </c>
      <c r="H930" s="5">
        <f>IF(Table13_1[[#This Row],[smoker]]="yes",1,0)</f>
        <v>0</v>
      </c>
      <c r="I930" s="4">
        <v>39.159999999999997</v>
      </c>
      <c r="J930" s="4">
        <v>0</v>
      </c>
      <c r="K930" s="12">
        <v>13470.804400000001</v>
      </c>
      <c r="N930">
        <v>775</v>
      </c>
      <c r="O930">
        <v>10423.383030614956</v>
      </c>
      <c r="P930">
        <v>-3161.6420306149557</v>
      </c>
    </row>
    <row r="931" spans="1:16" x14ac:dyDescent="0.25">
      <c r="A931" s="4" t="s">
        <v>10</v>
      </c>
      <c r="B931" s="4">
        <f>ROUND(Table13_1[[#This Row],[bmi]],1)</f>
        <v>34.200000000000003</v>
      </c>
      <c r="C931" s="4" t="str" cm="1">
        <f t="array" ref="C931">_xlfn.IFS(Table13_1[[#This Row],[Round BMI]]&lt;18.5,"Underweight",AND(Table13_1[[#This Row],[Round BMI]]&gt;=18.5,Table13_1[[#This Row],[Round BMI]] &lt;=24.9),"Healthy Weight",AND(Table13_1[[#This Row],[Round BMI]]&gt;=25,Table13_1[[#This Row],[Round BMI]]&lt;=29.9),"Overweight",Table13_1[[#This Row],[Round BMI]]&gt;=30,"Obese")</f>
        <v>Obese</v>
      </c>
      <c r="D931" s="4" t="s">
        <v>11</v>
      </c>
      <c r="E931" s="4" t="str">
        <f>IF(Table13_1[[#This Row],[smoker]]="yes","smoker","non-smoker")</f>
        <v>non-smoker</v>
      </c>
      <c r="F931" s="4" t="s">
        <v>12</v>
      </c>
      <c r="G931" s="5">
        <v>41</v>
      </c>
      <c r="H931" s="5">
        <f>IF(Table13_1[[#This Row],[smoker]]="yes",1,0)</f>
        <v>0</v>
      </c>
      <c r="I931" s="4">
        <v>34.21</v>
      </c>
      <c r="J931" s="4">
        <v>1</v>
      </c>
      <c r="K931" s="12">
        <v>6289.7548999999999</v>
      </c>
      <c r="N931">
        <v>776</v>
      </c>
      <c r="O931">
        <v>13195.369698992483</v>
      </c>
      <c r="P931">
        <v>-2634.8779989924824</v>
      </c>
    </row>
    <row r="932" spans="1:16" x14ac:dyDescent="0.25">
      <c r="A932" s="4" t="s">
        <v>10</v>
      </c>
      <c r="B932" s="4">
        <f>ROUND(Table13_1[[#This Row],[bmi]],1)</f>
        <v>46.5</v>
      </c>
      <c r="C932" s="4" t="str" cm="1">
        <f t="array" ref="C932">_xlfn.IFS(Table13_1[[#This Row],[Round BMI]]&lt;18.5,"Underweight",AND(Table13_1[[#This Row],[Round BMI]]&gt;=18.5,Table13_1[[#This Row],[Round BMI]] &lt;=24.9),"Healthy Weight",AND(Table13_1[[#This Row],[Round BMI]]&gt;=25,Table13_1[[#This Row],[Round BMI]]&lt;=29.9),"Overweight",Table13_1[[#This Row],[Round BMI]]&gt;=30,"Obese")</f>
        <v>Obese</v>
      </c>
      <c r="D932" s="4" t="s">
        <v>11</v>
      </c>
      <c r="E932" s="4" t="str">
        <f>IF(Table13_1[[#This Row],[smoker]]="yes","smoker","non-smoker")</f>
        <v>non-smoker</v>
      </c>
      <c r="F932" s="4" t="s">
        <v>12</v>
      </c>
      <c r="G932" s="5">
        <v>26</v>
      </c>
      <c r="H932" s="5">
        <f>IF(Table13_1[[#This Row],[smoker]]="yes",1,0)</f>
        <v>0</v>
      </c>
      <c r="I932" s="4">
        <v>46.53</v>
      </c>
      <c r="J932" s="4">
        <v>1</v>
      </c>
      <c r="K932" s="12">
        <v>2927.0646999999999</v>
      </c>
      <c r="N932">
        <v>777</v>
      </c>
      <c r="O932">
        <v>9554.0158578862938</v>
      </c>
      <c r="P932">
        <v>-2567.3188578862937</v>
      </c>
    </row>
    <row r="933" spans="1:16" x14ac:dyDescent="0.25">
      <c r="A933" s="4" t="s">
        <v>7</v>
      </c>
      <c r="B933" s="4">
        <f>ROUND(Table13_1[[#This Row],[bmi]],1)</f>
        <v>32.5</v>
      </c>
      <c r="C933" s="4" t="str" cm="1">
        <f t="array" ref="C933">_xlfn.IFS(Table13_1[[#This Row],[Round BMI]]&lt;18.5,"Underweight",AND(Table13_1[[#This Row],[Round BMI]]&gt;=18.5,Table13_1[[#This Row],[Round BMI]] &lt;=24.9),"Healthy Weight",AND(Table13_1[[#This Row],[Round BMI]]&gt;=25,Table13_1[[#This Row],[Round BMI]]&lt;=29.9),"Overweight",Table13_1[[#This Row],[Round BMI]]&gt;=30,"Obese")</f>
        <v>Obese</v>
      </c>
      <c r="D933" s="4" t="s">
        <v>11</v>
      </c>
      <c r="E933" s="4" t="str">
        <f>IF(Table13_1[[#This Row],[smoker]]="yes","smoker","non-smoker")</f>
        <v>non-smoker</v>
      </c>
      <c r="F933" s="4" t="s">
        <v>9</v>
      </c>
      <c r="G933" s="5">
        <v>39</v>
      </c>
      <c r="H933" s="5">
        <f>IF(Table13_1[[#This Row],[smoker]]="yes",1,0)</f>
        <v>0</v>
      </c>
      <c r="I933" s="4">
        <v>32.5</v>
      </c>
      <c r="J933" s="4">
        <v>1</v>
      </c>
      <c r="K933" s="12">
        <v>6238.2979999999998</v>
      </c>
      <c r="N933">
        <v>778</v>
      </c>
      <c r="O933">
        <v>12311.753541769729</v>
      </c>
      <c r="P933">
        <v>-4863.3495417697286</v>
      </c>
    </row>
    <row r="934" spans="1:16" x14ac:dyDescent="0.25">
      <c r="A934" s="4" t="s">
        <v>10</v>
      </c>
      <c r="B934" s="4">
        <f>ROUND(Table13_1[[#This Row],[bmi]],1)</f>
        <v>25.8</v>
      </c>
      <c r="C934" s="4" t="str" cm="1">
        <f t="array" ref="C934">_xlfn.IFS(Table13_1[[#This Row],[Round BMI]]&lt;18.5,"Underweight",AND(Table13_1[[#This Row],[Round BMI]]&gt;=18.5,Table13_1[[#This Row],[Round BMI]] &lt;=24.9),"Healthy Weight",AND(Table13_1[[#This Row],[Round BMI]]&gt;=25,Table13_1[[#This Row],[Round BMI]]&lt;=29.9),"Overweight",Table13_1[[#This Row],[Round BMI]]&gt;=30,"Obese")</f>
        <v>Overweight</v>
      </c>
      <c r="D934" s="4" t="s">
        <v>11</v>
      </c>
      <c r="E934" s="4" t="str">
        <f>IF(Table13_1[[#This Row],[smoker]]="yes","smoker","non-smoker")</f>
        <v>non-smoker</v>
      </c>
      <c r="F934" s="4" t="s">
        <v>9</v>
      </c>
      <c r="G934" s="5">
        <v>46</v>
      </c>
      <c r="H934" s="5">
        <f>IF(Table13_1[[#This Row],[smoker]]="yes",1,0)</f>
        <v>0</v>
      </c>
      <c r="I934" s="4">
        <v>25.8</v>
      </c>
      <c r="J934" s="4">
        <v>5</v>
      </c>
      <c r="K934" s="12">
        <v>10096.969999999999</v>
      </c>
      <c r="N934">
        <v>779</v>
      </c>
      <c r="O934">
        <v>9388.4104705195896</v>
      </c>
      <c r="P934">
        <v>-3454.0306705195899</v>
      </c>
    </row>
    <row r="935" spans="1:16" x14ac:dyDescent="0.25">
      <c r="A935" s="4" t="s">
        <v>7</v>
      </c>
      <c r="B935" s="4">
        <f>ROUND(Table13_1[[#This Row],[bmi]],1)</f>
        <v>35.299999999999997</v>
      </c>
      <c r="C935" s="4" t="str" cm="1">
        <f t="array" ref="C935">_xlfn.IFS(Table13_1[[#This Row],[Round BMI]]&lt;18.5,"Underweight",AND(Table13_1[[#This Row],[Round BMI]]&gt;=18.5,Table13_1[[#This Row],[Round BMI]] &lt;=24.9),"Healthy Weight",AND(Table13_1[[#This Row],[Round BMI]]&gt;=25,Table13_1[[#This Row],[Round BMI]]&lt;=29.9),"Overweight",Table13_1[[#This Row],[Round BMI]]&gt;=30,"Obese")</f>
        <v>Obese</v>
      </c>
      <c r="D935" s="4" t="s">
        <v>11</v>
      </c>
      <c r="E935" s="4" t="str">
        <f>IF(Table13_1[[#This Row],[smoker]]="yes","smoker","non-smoker")</f>
        <v>non-smoker</v>
      </c>
      <c r="F935" s="4" t="s">
        <v>9</v>
      </c>
      <c r="G935" s="5">
        <v>45</v>
      </c>
      <c r="H935" s="5">
        <f>IF(Table13_1[[#This Row],[smoker]]="yes",1,0)</f>
        <v>0</v>
      </c>
      <c r="I935" s="4">
        <v>35.299999999999997</v>
      </c>
      <c r="J935" s="4">
        <v>0</v>
      </c>
      <c r="K935" s="12">
        <v>7348.1419999999998</v>
      </c>
      <c r="N935">
        <v>780</v>
      </c>
      <c r="O935">
        <v>10858.32302437233</v>
      </c>
      <c r="P935">
        <v>-988.51282437233021</v>
      </c>
    </row>
    <row r="936" spans="1:16" x14ac:dyDescent="0.25">
      <c r="A936" s="4" t="s">
        <v>10</v>
      </c>
      <c r="B936" s="4">
        <f>ROUND(Table13_1[[#This Row],[bmi]],1)</f>
        <v>37.200000000000003</v>
      </c>
      <c r="C936" s="4" t="str" cm="1">
        <f t="array" ref="C936">_xlfn.IFS(Table13_1[[#This Row],[Round BMI]]&lt;18.5,"Underweight",AND(Table13_1[[#This Row],[Round BMI]]&gt;=18.5,Table13_1[[#This Row],[Round BMI]] &lt;=24.9),"Healthy Weight",AND(Table13_1[[#This Row],[Round BMI]]&gt;=25,Table13_1[[#This Row],[Round BMI]]&lt;=29.9),"Overweight",Table13_1[[#This Row],[Round BMI]]&gt;=30,"Obese")</f>
        <v>Obese</v>
      </c>
      <c r="D936" s="4" t="s">
        <v>11</v>
      </c>
      <c r="E936" s="4" t="str">
        <f>IF(Table13_1[[#This Row],[smoker]]="yes","smoker","non-smoker")</f>
        <v>non-smoker</v>
      </c>
      <c r="F936" s="4" t="s">
        <v>12</v>
      </c>
      <c r="G936" s="5">
        <v>32</v>
      </c>
      <c r="H936" s="5">
        <f>IF(Table13_1[[#This Row],[smoker]]="yes",1,0)</f>
        <v>0</v>
      </c>
      <c r="I936" s="4">
        <v>37.18</v>
      </c>
      <c r="J936" s="4">
        <v>2</v>
      </c>
      <c r="K936" s="12">
        <v>4673.3922000000002</v>
      </c>
      <c r="N936">
        <v>781</v>
      </c>
      <c r="O936">
        <v>28717.796863698502</v>
      </c>
      <c r="P936">
        <v>-10458.580863698502</v>
      </c>
    </row>
    <row r="937" spans="1:16" x14ac:dyDescent="0.25">
      <c r="A937" s="4" t="s">
        <v>7</v>
      </c>
      <c r="B937" s="4">
        <f>ROUND(Table13_1[[#This Row],[bmi]],1)</f>
        <v>27.5</v>
      </c>
      <c r="C937" s="4" t="str" cm="1">
        <f t="array" ref="C937">_xlfn.IFS(Table13_1[[#This Row],[Round BMI]]&lt;18.5,"Underweight",AND(Table13_1[[#This Row],[Round BMI]]&gt;=18.5,Table13_1[[#This Row],[Round BMI]] &lt;=24.9),"Healthy Weight",AND(Table13_1[[#This Row],[Round BMI]]&gt;=25,Table13_1[[#This Row],[Round BMI]]&lt;=29.9),"Overweight",Table13_1[[#This Row],[Round BMI]]&gt;=30,"Obese")</f>
        <v>Overweight</v>
      </c>
      <c r="D937" s="4" t="s">
        <v>11</v>
      </c>
      <c r="E937" s="4" t="str">
        <f>IF(Table13_1[[#This Row],[smoker]]="yes","smoker","non-smoker")</f>
        <v>non-smoker</v>
      </c>
      <c r="F937" s="4" t="s">
        <v>9</v>
      </c>
      <c r="G937" s="5">
        <v>59</v>
      </c>
      <c r="H937" s="5">
        <f>IF(Table13_1[[#This Row],[smoker]]="yes",1,0)</f>
        <v>0</v>
      </c>
      <c r="I937" s="4">
        <v>27.5</v>
      </c>
      <c r="J937" s="4">
        <v>0</v>
      </c>
      <c r="K937" s="12">
        <v>12233.828</v>
      </c>
      <c r="N937">
        <v>782</v>
      </c>
      <c r="O937">
        <v>5779.4884666431371</v>
      </c>
      <c r="P937">
        <v>-4632.6918666431375</v>
      </c>
    </row>
    <row r="938" spans="1:16" x14ac:dyDescent="0.25">
      <c r="A938" s="4" t="s">
        <v>10</v>
      </c>
      <c r="B938" s="4">
        <f>ROUND(Table13_1[[#This Row],[bmi]],1)</f>
        <v>29.7</v>
      </c>
      <c r="C938" s="4" t="str" cm="1">
        <f t="array" ref="C938">_xlfn.IFS(Table13_1[[#This Row],[Round BMI]]&lt;18.5,"Underweight",AND(Table13_1[[#This Row],[Round BMI]]&gt;=18.5,Table13_1[[#This Row],[Round BMI]] &lt;=24.9),"Healthy Weight",AND(Table13_1[[#This Row],[Round BMI]]&gt;=25,Table13_1[[#This Row],[Round BMI]]&lt;=29.9),"Overweight",Table13_1[[#This Row],[Round BMI]]&gt;=30,"Obese")</f>
        <v>Overweight</v>
      </c>
      <c r="D938" s="4" t="s">
        <v>11</v>
      </c>
      <c r="E938" s="4" t="str">
        <f>IF(Table13_1[[#This Row],[smoker]]="yes","smoker","non-smoker")</f>
        <v>non-smoker</v>
      </c>
      <c r="F938" s="4" t="s">
        <v>14</v>
      </c>
      <c r="G938" s="5">
        <v>44</v>
      </c>
      <c r="H938" s="5">
        <f>IF(Table13_1[[#This Row],[smoker]]="yes",1,0)</f>
        <v>0</v>
      </c>
      <c r="I938" s="4">
        <v>29.734999999999999</v>
      </c>
      <c r="J938" s="4">
        <v>2</v>
      </c>
      <c r="K938" s="12">
        <v>32108.662799999998</v>
      </c>
      <c r="N938">
        <v>783</v>
      </c>
      <c r="O938">
        <v>13098.052771401637</v>
      </c>
      <c r="P938">
        <v>-3711.8914714016373</v>
      </c>
    </row>
    <row r="939" spans="1:16" x14ac:dyDescent="0.25">
      <c r="A939" s="4" t="s">
        <v>7</v>
      </c>
      <c r="B939" s="4">
        <f>ROUND(Table13_1[[#This Row],[bmi]],1)</f>
        <v>24.2</v>
      </c>
      <c r="C939" s="4" t="str" cm="1">
        <f t="array" ref="C939">_xlfn.IFS(Table13_1[[#This Row],[Round BMI]]&lt;18.5,"Underweight",AND(Table13_1[[#This Row],[Round BMI]]&gt;=18.5,Table13_1[[#This Row],[Round BMI]] &lt;=24.9),"Healthy Weight",AND(Table13_1[[#This Row],[Round BMI]]&gt;=25,Table13_1[[#This Row],[Round BMI]]&lt;=29.9),"Overweight",Table13_1[[#This Row],[Round BMI]]&gt;=30,"Obese")</f>
        <v>Healthy Weight</v>
      </c>
      <c r="D939" s="4" t="s">
        <v>11</v>
      </c>
      <c r="E939" s="4" t="str">
        <f>IF(Table13_1[[#This Row],[smoker]]="yes","smoker","non-smoker")</f>
        <v>non-smoker</v>
      </c>
      <c r="F939" s="4" t="s">
        <v>13</v>
      </c>
      <c r="G939" s="5">
        <v>39</v>
      </c>
      <c r="H939" s="5">
        <f>IF(Table13_1[[#This Row],[smoker]]="yes",1,0)</f>
        <v>0</v>
      </c>
      <c r="I939" s="4">
        <v>24.225000000000001</v>
      </c>
      <c r="J939" s="4">
        <v>5</v>
      </c>
      <c r="K939" s="12">
        <v>8965.7957999999999</v>
      </c>
      <c r="N939">
        <v>784</v>
      </c>
      <c r="O939">
        <v>33957.706868305861</v>
      </c>
      <c r="P939">
        <v>-9437.4428683058613</v>
      </c>
    </row>
    <row r="940" spans="1:16" x14ac:dyDescent="0.25">
      <c r="A940" s="4" t="s">
        <v>10</v>
      </c>
      <c r="B940" s="4">
        <f>ROUND(Table13_1[[#This Row],[bmi]],1)</f>
        <v>26.2</v>
      </c>
      <c r="C940" s="4" t="str" cm="1">
        <f t="array" ref="C940">_xlfn.IFS(Table13_1[[#This Row],[Round BMI]]&lt;18.5,"Underweight",AND(Table13_1[[#This Row],[Round BMI]]&gt;=18.5,Table13_1[[#This Row],[Round BMI]] &lt;=24.9),"Healthy Weight",AND(Table13_1[[#This Row],[Round BMI]]&gt;=25,Table13_1[[#This Row],[Round BMI]]&lt;=29.9),"Overweight",Table13_1[[#This Row],[Round BMI]]&gt;=30,"Obese")</f>
        <v>Overweight</v>
      </c>
      <c r="D940" s="4" t="s">
        <v>11</v>
      </c>
      <c r="E940" s="4" t="str">
        <f>IF(Table13_1[[#This Row],[smoker]]="yes","smoker","non-smoker")</f>
        <v>non-smoker</v>
      </c>
      <c r="F940" s="4" t="s">
        <v>12</v>
      </c>
      <c r="G940" s="5">
        <v>18</v>
      </c>
      <c r="H940" s="5">
        <f>IF(Table13_1[[#This Row],[smoker]]="yes",1,0)</f>
        <v>0</v>
      </c>
      <c r="I940" s="4">
        <v>26.18</v>
      </c>
      <c r="J940" s="4">
        <v>2</v>
      </c>
      <c r="K940" s="12">
        <v>2304.0021999999999</v>
      </c>
      <c r="N940">
        <v>785</v>
      </c>
      <c r="O940">
        <v>5781.4397117299832</v>
      </c>
      <c r="P940">
        <v>-1430.9253117299832</v>
      </c>
    </row>
    <row r="941" spans="1:16" x14ac:dyDescent="0.25">
      <c r="A941" s="4" t="s">
        <v>10</v>
      </c>
      <c r="B941" s="4">
        <f>ROUND(Table13_1[[#This Row],[bmi]],1)</f>
        <v>29.5</v>
      </c>
      <c r="C941" s="4" t="str" cm="1">
        <f t="array" ref="C941">_xlfn.IFS(Table13_1[[#This Row],[Round BMI]]&lt;18.5,"Underweight",AND(Table13_1[[#This Row],[Round BMI]]&gt;=18.5,Table13_1[[#This Row],[Round BMI]] &lt;=24.9),"Healthy Weight",AND(Table13_1[[#This Row],[Round BMI]]&gt;=25,Table13_1[[#This Row],[Round BMI]]&lt;=29.9),"Overweight",Table13_1[[#This Row],[Round BMI]]&gt;=30,"Obese")</f>
        <v>Overweight</v>
      </c>
      <c r="D941" s="4" t="s">
        <v>11</v>
      </c>
      <c r="E941" s="4" t="str">
        <f>IF(Table13_1[[#This Row],[smoker]]="yes","smoker","non-smoker")</f>
        <v>non-smoker</v>
      </c>
      <c r="F941" s="4" t="s">
        <v>12</v>
      </c>
      <c r="G941" s="5">
        <v>53</v>
      </c>
      <c r="H941" s="5">
        <f>IF(Table13_1[[#This Row],[smoker]]="yes",1,0)</f>
        <v>0</v>
      </c>
      <c r="I941" s="4">
        <v>29.48</v>
      </c>
      <c r="J941" s="4">
        <v>0</v>
      </c>
      <c r="K941" s="12">
        <v>9487.6442000000006</v>
      </c>
      <c r="N941">
        <v>786</v>
      </c>
      <c r="O941">
        <v>7257.7541837107619</v>
      </c>
      <c r="P941">
        <v>-843.57618371076205</v>
      </c>
    </row>
    <row r="942" spans="1:16" x14ac:dyDescent="0.25">
      <c r="A942" s="4" t="s">
        <v>10</v>
      </c>
      <c r="B942" s="4">
        <f>ROUND(Table13_1[[#This Row],[bmi]],1)</f>
        <v>23.2</v>
      </c>
      <c r="C942" s="4" t="str" cm="1">
        <f t="array" ref="C942">_xlfn.IFS(Table13_1[[#This Row],[Round BMI]]&lt;18.5,"Underweight",AND(Table13_1[[#This Row],[Round BMI]]&gt;=18.5,Table13_1[[#This Row],[Round BMI]] &lt;=24.9),"Healthy Weight",AND(Table13_1[[#This Row],[Round BMI]]&gt;=25,Table13_1[[#This Row],[Round BMI]]&lt;=29.9),"Overweight",Table13_1[[#This Row],[Round BMI]]&gt;=30,"Obese")</f>
        <v>Healthy Weight</v>
      </c>
      <c r="D942" s="4" t="s">
        <v>11</v>
      </c>
      <c r="E942" s="4" t="str">
        <f>IF(Table13_1[[#This Row],[smoker]]="yes","smoker","non-smoker")</f>
        <v>non-smoker</v>
      </c>
      <c r="F942" s="4" t="s">
        <v>12</v>
      </c>
      <c r="G942" s="5">
        <v>18</v>
      </c>
      <c r="H942" s="5">
        <f>IF(Table13_1[[#This Row],[smoker]]="yes",1,0)</f>
        <v>0</v>
      </c>
      <c r="I942" s="4">
        <v>23.21</v>
      </c>
      <c r="J942" s="4">
        <v>0</v>
      </c>
      <c r="K942" s="12">
        <v>1121.8739</v>
      </c>
      <c r="N942">
        <v>787</v>
      </c>
      <c r="O942">
        <v>15262.219653627611</v>
      </c>
      <c r="P942">
        <v>-2521.0522536276112</v>
      </c>
    </row>
    <row r="943" spans="1:16" x14ac:dyDescent="0.25">
      <c r="A943" s="4" t="s">
        <v>7</v>
      </c>
      <c r="B943" s="4">
        <f>ROUND(Table13_1[[#This Row],[bmi]],1)</f>
        <v>46.1</v>
      </c>
      <c r="C943" s="4" t="str" cm="1">
        <f t="array" ref="C943">_xlfn.IFS(Table13_1[[#This Row],[Round BMI]]&lt;18.5,"Underweight",AND(Table13_1[[#This Row],[Round BMI]]&gt;=18.5,Table13_1[[#This Row],[Round BMI]] &lt;=24.9),"Healthy Weight",AND(Table13_1[[#This Row],[Round BMI]]&gt;=25,Table13_1[[#This Row],[Round BMI]]&lt;=29.9),"Overweight",Table13_1[[#This Row],[Round BMI]]&gt;=30,"Obese")</f>
        <v>Obese</v>
      </c>
      <c r="D943" s="4" t="s">
        <v>11</v>
      </c>
      <c r="E943" s="4" t="str">
        <f>IF(Table13_1[[#This Row],[smoker]]="yes","smoker","non-smoker")</f>
        <v>non-smoker</v>
      </c>
      <c r="F943" s="4" t="s">
        <v>12</v>
      </c>
      <c r="G943" s="5">
        <v>50</v>
      </c>
      <c r="H943" s="5">
        <f>IF(Table13_1[[#This Row],[smoker]]="yes",1,0)</f>
        <v>0</v>
      </c>
      <c r="I943" s="4">
        <v>46.09</v>
      </c>
      <c r="J943" s="4">
        <v>1</v>
      </c>
      <c r="K943" s="12">
        <v>9549.5650999999998</v>
      </c>
      <c r="N943">
        <v>788</v>
      </c>
      <c r="O943">
        <v>5175.5129844738149</v>
      </c>
      <c r="P943">
        <v>-3258.1945844738148</v>
      </c>
    </row>
    <row r="944" spans="1:16" x14ac:dyDescent="0.25">
      <c r="A944" s="4" t="s">
        <v>7</v>
      </c>
      <c r="B944" s="4">
        <f>ROUND(Table13_1[[#This Row],[bmi]],1)</f>
        <v>40.200000000000003</v>
      </c>
      <c r="C944" s="4" t="str" cm="1">
        <f t="array" ref="C944">_xlfn.IFS(Table13_1[[#This Row],[Round BMI]]&lt;18.5,"Underweight",AND(Table13_1[[#This Row],[Round BMI]]&gt;=18.5,Table13_1[[#This Row],[Round BMI]] &lt;=24.9),"Healthy Weight",AND(Table13_1[[#This Row],[Round BMI]]&gt;=25,Table13_1[[#This Row],[Round BMI]]&lt;=29.9),"Overweight",Table13_1[[#This Row],[Round BMI]]&gt;=30,"Obese")</f>
        <v>Obese</v>
      </c>
      <c r="D944" s="4" t="s">
        <v>11</v>
      </c>
      <c r="E944" s="4" t="str">
        <f>IF(Table13_1[[#This Row],[smoker]]="yes","smoker","non-smoker")</f>
        <v>non-smoker</v>
      </c>
      <c r="F944" s="4" t="s">
        <v>14</v>
      </c>
      <c r="G944" s="5">
        <v>18</v>
      </c>
      <c r="H944" s="5">
        <f>IF(Table13_1[[#This Row],[smoker]]="yes",1,0)</f>
        <v>0</v>
      </c>
      <c r="I944" s="4">
        <v>40.185000000000002</v>
      </c>
      <c r="J944" s="4">
        <v>0</v>
      </c>
      <c r="K944" s="12">
        <v>2217.4692</v>
      </c>
      <c r="N944">
        <v>789</v>
      </c>
      <c r="O944">
        <v>4041.8576159969398</v>
      </c>
      <c r="P944">
        <v>1167.7211840030604</v>
      </c>
    </row>
    <row r="945" spans="1:16" x14ac:dyDescent="0.25">
      <c r="A945" s="4" t="s">
        <v>10</v>
      </c>
      <c r="B945" s="4">
        <f>ROUND(Table13_1[[#This Row],[bmi]],1)</f>
        <v>22.6</v>
      </c>
      <c r="C945" s="4" t="str" cm="1">
        <f t="array" ref="C945">_xlfn.IFS(Table13_1[[#This Row],[Round BMI]]&lt;18.5,"Underweight",AND(Table13_1[[#This Row],[Round BMI]]&gt;=18.5,Table13_1[[#This Row],[Round BMI]] &lt;=24.9),"Healthy Weight",AND(Table13_1[[#This Row],[Round BMI]]&gt;=25,Table13_1[[#This Row],[Round BMI]]&lt;=29.9),"Overweight",Table13_1[[#This Row],[Round BMI]]&gt;=30,"Obese")</f>
        <v>Healthy Weight</v>
      </c>
      <c r="D945" s="4" t="s">
        <v>11</v>
      </c>
      <c r="E945" s="4" t="str">
        <f>IF(Table13_1[[#This Row],[smoker]]="yes","smoker","non-smoker")</f>
        <v>non-smoker</v>
      </c>
      <c r="F945" s="4" t="s">
        <v>13</v>
      </c>
      <c r="G945" s="5">
        <v>19</v>
      </c>
      <c r="H945" s="5">
        <f>IF(Table13_1[[#This Row],[smoker]]="yes",1,0)</f>
        <v>0</v>
      </c>
      <c r="I945" s="4">
        <v>22.61</v>
      </c>
      <c r="J945" s="4">
        <v>0</v>
      </c>
      <c r="K945" s="12">
        <v>1628.4709</v>
      </c>
      <c r="N945">
        <v>790</v>
      </c>
      <c r="O945">
        <v>13513.694049300395</v>
      </c>
      <c r="P945">
        <v>-55.733249300394164</v>
      </c>
    </row>
    <row r="946" spans="1:16" x14ac:dyDescent="0.25">
      <c r="A946" s="4" t="s">
        <v>10</v>
      </c>
      <c r="B946" s="4">
        <f>ROUND(Table13_1[[#This Row],[bmi]],1)</f>
        <v>39.9</v>
      </c>
      <c r="C946" s="4" t="str" cm="1">
        <f t="array" ref="C946">_xlfn.IFS(Table13_1[[#This Row],[Round BMI]]&lt;18.5,"Underweight",AND(Table13_1[[#This Row],[Round BMI]]&gt;=18.5,Table13_1[[#This Row],[Round BMI]] &lt;=24.9),"Healthy Weight",AND(Table13_1[[#This Row],[Round BMI]]&gt;=25,Table13_1[[#This Row],[Round BMI]]&lt;=29.9),"Overweight",Table13_1[[#This Row],[Round BMI]]&gt;=30,"Obese")</f>
        <v>Obese</v>
      </c>
      <c r="D946" s="4" t="s">
        <v>11</v>
      </c>
      <c r="E946" s="4" t="str">
        <f>IF(Table13_1[[#This Row],[smoker]]="yes","smoker","non-smoker")</f>
        <v>non-smoker</v>
      </c>
      <c r="F946" s="4" t="s">
        <v>12</v>
      </c>
      <c r="G946" s="5">
        <v>62</v>
      </c>
      <c r="H946" s="5">
        <f>IF(Table13_1[[#This Row],[smoker]]="yes",1,0)</f>
        <v>0</v>
      </c>
      <c r="I946" s="4">
        <v>39.93</v>
      </c>
      <c r="J946" s="4">
        <v>0</v>
      </c>
      <c r="K946" s="12">
        <v>12982.8747</v>
      </c>
      <c r="N946">
        <v>791</v>
      </c>
      <c r="O946">
        <v>11406.750046455812</v>
      </c>
      <c r="P946">
        <v>-5744.5250464558121</v>
      </c>
    </row>
    <row r="947" spans="1:16" x14ac:dyDescent="0.25">
      <c r="A947" s="4" t="s">
        <v>7</v>
      </c>
      <c r="B947" s="4">
        <f>ROUND(Table13_1[[#This Row],[bmi]],1)</f>
        <v>35.799999999999997</v>
      </c>
      <c r="C947" s="4" t="str" cm="1">
        <f t="array" ref="C947">_xlfn.IFS(Table13_1[[#This Row],[Round BMI]]&lt;18.5,"Underweight",AND(Table13_1[[#This Row],[Round BMI]]&gt;=18.5,Table13_1[[#This Row],[Round BMI]] &lt;=24.9),"Healthy Weight",AND(Table13_1[[#This Row],[Round BMI]]&gt;=25,Table13_1[[#This Row],[Round BMI]]&lt;=29.9),"Overweight",Table13_1[[#This Row],[Round BMI]]&gt;=30,"Obese")</f>
        <v>Obese</v>
      </c>
      <c r="D947" s="4" t="s">
        <v>11</v>
      </c>
      <c r="E947" s="4" t="str">
        <f>IF(Table13_1[[#This Row],[smoker]]="yes","smoker","non-smoker")</f>
        <v>non-smoker</v>
      </c>
      <c r="F947" s="4" t="s">
        <v>9</v>
      </c>
      <c r="G947" s="5">
        <v>56</v>
      </c>
      <c r="H947" s="5">
        <f>IF(Table13_1[[#This Row],[smoker]]="yes",1,0)</f>
        <v>0</v>
      </c>
      <c r="I947" s="4">
        <v>35.799999999999997</v>
      </c>
      <c r="J947" s="4">
        <v>1</v>
      </c>
      <c r="K947" s="12">
        <v>11674.13</v>
      </c>
      <c r="N947">
        <v>792</v>
      </c>
      <c r="O947">
        <v>1679.4699795034767</v>
      </c>
      <c r="P947">
        <v>-427.06297950347675</v>
      </c>
    </row>
    <row r="948" spans="1:16" x14ac:dyDescent="0.25">
      <c r="A948" s="4" t="s">
        <v>10</v>
      </c>
      <c r="B948" s="4">
        <f>ROUND(Table13_1[[#This Row],[bmi]],1)</f>
        <v>35.799999999999997</v>
      </c>
      <c r="C948" s="4" t="str" cm="1">
        <f t="array" ref="C948">_xlfn.IFS(Table13_1[[#This Row],[Round BMI]]&lt;18.5,"Underweight",AND(Table13_1[[#This Row],[Round BMI]]&gt;=18.5,Table13_1[[#This Row],[Round BMI]] &lt;=24.9),"Healthy Weight",AND(Table13_1[[#This Row],[Round BMI]]&gt;=25,Table13_1[[#This Row],[Round BMI]]&lt;=29.9),"Overweight",Table13_1[[#This Row],[Round BMI]]&gt;=30,"Obese")</f>
        <v>Obese</v>
      </c>
      <c r="D948" s="4" t="s">
        <v>11</v>
      </c>
      <c r="E948" s="4" t="str">
        <f>IF(Table13_1[[#This Row],[smoker]]="yes","smoker","non-smoker")</f>
        <v>non-smoker</v>
      </c>
      <c r="F948" s="4" t="s">
        <v>9</v>
      </c>
      <c r="G948" s="5">
        <v>42</v>
      </c>
      <c r="H948" s="5">
        <f>IF(Table13_1[[#This Row],[smoker]]="yes",1,0)</f>
        <v>0</v>
      </c>
      <c r="I948" s="4">
        <v>35.799999999999997</v>
      </c>
      <c r="J948" s="4">
        <v>2</v>
      </c>
      <c r="K948" s="12">
        <v>7160.0940000000001</v>
      </c>
      <c r="N948">
        <v>793</v>
      </c>
      <c r="O948">
        <v>1030.435300936384</v>
      </c>
      <c r="P948">
        <v>1701.4768990636162</v>
      </c>
    </row>
    <row r="949" spans="1:16" x14ac:dyDescent="0.25">
      <c r="A949" s="4" t="s">
        <v>10</v>
      </c>
      <c r="B949" s="4">
        <f>ROUND(Table13_1[[#This Row],[bmi]],1)</f>
        <v>34.200000000000003</v>
      </c>
      <c r="C949" s="4" t="str" cm="1">
        <f t="array" ref="C949">_xlfn.IFS(Table13_1[[#This Row],[Round BMI]]&lt;18.5,"Underweight",AND(Table13_1[[#This Row],[Round BMI]]&gt;=18.5,Table13_1[[#This Row],[Round BMI]] &lt;=24.9),"Healthy Weight",AND(Table13_1[[#This Row],[Round BMI]]&gt;=25,Table13_1[[#This Row],[Round BMI]]&lt;=29.9),"Overweight",Table13_1[[#This Row],[Round BMI]]&gt;=30,"Obese")</f>
        <v>Obese</v>
      </c>
      <c r="D949" s="4" t="s">
        <v>8</v>
      </c>
      <c r="E949" s="4" t="str">
        <f>IF(Table13_1[[#This Row],[smoker]]="yes","smoker","non-smoker")</f>
        <v>smoker</v>
      </c>
      <c r="F949" s="4" t="s">
        <v>14</v>
      </c>
      <c r="G949" s="5">
        <v>37</v>
      </c>
      <c r="H949" s="5">
        <f>IF(Table13_1[[#This Row],[smoker]]="yes",1,0)</f>
        <v>1</v>
      </c>
      <c r="I949" s="4">
        <v>34.200000000000003</v>
      </c>
      <c r="J949" s="4">
        <v>1</v>
      </c>
      <c r="K949" s="12">
        <v>39047.285000000003</v>
      </c>
      <c r="N949">
        <v>794</v>
      </c>
      <c r="O949">
        <v>32101.34867571498</v>
      </c>
      <c r="P949">
        <v>-10905.530675714981</v>
      </c>
    </row>
    <row r="950" spans="1:16" x14ac:dyDescent="0.25">
      <c r="A950" s="4" t="s">
        <v>10</v>
      </c>
      <c r="B950" s="4">
        <f>ROUND(Table13_1[[#This Row],[bmi]],1)</f>
        <v>31.3</v>
      </c>
      <c r="C950" s="4" t="str" cm="1">
        <f t="array" ref="C950">_xlfn.IFS(Table13_1[[#This Row],[Round BMI]]&lt;18.5,"Underweight",AND(Table13_1[[#This Row],[Round BMI]]&gt;=18.5,Table13_1[[#This Row],[Round BMI]] &lt;=24.9),"Healthy Weight",AND(Table13_1[[#This Row],[Round BMI]]&gt;=25,Table13_1[[#This Row],[Round BMI]]&lt;=29.9),"Overweight",Table13_1[[#This Row],[Round BMI]]&gt;=30,"Obese")</f>
        <v>Obese</v>
      </c>
      <c r="D950" s="4" t="s">
        <v>11</v>
      </c>
      <c r="E950" s="4" t="str">
        <f>IF(Table13_1[[#This Row],[smoker]]="yes","smoker","non-smoker")</f>
        <v>non-smoker</v>
      </c>
      <c r="F950" s="4" t="s">
        <v>13</v>
      </c>
      <c r="G950" s="5">
        <v>42</v>
      </c>
      <c r="H950" s="5">
        <f>IF(Table13_1[[#This Row],[smoker]]="yes",1,0)</f>
        <v>0</v>
      </c>
      <c r="I950" s="4">
        <v>31.254999999999999</v>
      </c>
      <c r="J950" s="4">
        <v>0</v>
      </c>
      <c r="K950" s="12">
        <v>6358.7763999999997</v>
      </c>
      <c r="N950">
        <v>795</v>
      </c>
      <c r="O950">
        <v>9173.8628174762798</v>
      </c>
      <c r="P950">
        <v>-1964.37101747628</v>
      </c>
    </row>
    <row r="951" spans="1:16" x14ac:dyDescent="0.25">
      <c r="A951" s="4" t="s">
        <v>10</v>
      </c>
      <c r="B951" s="4">
        <f>ROUND(Table13_1[[#This Row],[bmi]],1)</f>
        <v>29.7</v>
      </c>
      <c r="C951" s="4" t="str" cm="1">
        <f t="array" ref="C951">_xlfn.IFS(Table13_1[[#This Row],[Round BMI]]&lt;18.5,"Underweight",AND(Table13_1[[#This Row],[Round BMI]]&gt;=18.5,Table13_1[[#This Row],[Round BMI]] &lt;=24.9),"Healthy Weight",AND(Table13_1[[#This Row],[Round BMI]]&gt;=25,Table13_1[[#This Row],[Round BMI]]&lt;=29.9),"Overweight",Table13_1[[#This Row],[Round BMI]]&gt;=30,"Obese")</f>
        <v>Overweight</v>
      </c>
      <c r="D951" s="4" t="s">
        <v>8</v>
      </c>
      <c r="E951" s="4" t="str">
        <f>IF(Table13_1[[#This Row],[smoker]]="yes","smoker","non-smoker")</f>
        <v>smoker</v>
      </c>
      <c r="F951" s="4" t="s">
        <v>9</v>
      </c>
      <c r="G951" s="5">
        <v>25</v>
      </c>
      <c r="H951" s="5">
        <f>IF(Table13_1[[#This Row],[smoker]]="yes",1,0)</f>
        <v>1</v>
      </c>
      <c r="I951" s="4">
        <v>29.7</v>
      </c>
      <c r="J951" s="4">
        <v>3</v>
      </c>
      <c r="K951" s="12">
        <v>19933.457999999999</v>
      </c>
      <c r="N951">
        <v>796</v>
      </c>
      <c r="O951">
        <v>27843.332146718938</v>
      </c>
      <c r="P951">
        <v>-9532.5901467189396</v>
      </c>
    </row>
    <row r="952" spans="1:16" x14ac:dyDescent="0.25">
      <c r="A952" s="4" t="s">
        <v>10</v>
      </c>
      <c r="B952" s="4">
        <f>ROUND(Table13_1[[#This Row],[bmi]],1)</f>
        <v>18.3</v>
      </c>
      <c r="C952" s="4" t="str" cm="1">
        <f t="array" ref="C952">_xlfn.IFS(Table13_1[[#This Row],[Round BMI]]&lt;18.5,"Underweight",AND(Table13_1[[#This Row],[Round BMI]]&gt;=18.5,Table13_1[[#This Row],[Round BMI]] &lt;=24.9),"Healthy Weight",AND(Table13_1[[#This Row],[Round BMI]]&gt;=25,Table13_1[[#This Row],[Round BMI]]&lt;=29.9),"Overweight",Table13_1[[#This Row],[Round BMI]]&gt;=30,"Obese")</f>
        <v>Underweight</v>
      </c>
      <c r="D952" s="4" t="s">
        <v>11</v>
      </c>
      <c r="E952" s="4" t="str">
        <f>IF(Table13_1[[#This Row],[smoker]]="yes","smoker","non-smoker")</f>
        <v>non-smoker</v>
      </c>
      <c r="F952" s="4" t="s">
        <v>14</v>
      </c>
      <c r="G952" s="5">
        <v>57</v>
      </c>
      <c r="H952" s="5">
        <f>IF(Table13_1[[#This Row],[smoker]]="yes",1,0)</f>
        <v>0</v>
      </c>
      <c r="I952" s="4">
        <v>18.335000000000001</v>
      </c>
      <c r="J952" s="4">
        <v>0</v>
      </c>
      <c r="K952" s="12">
        <v>11534.872600000001</v>
      </c>
      <c r="N952">
        <v>797</v>
      </c>
      <c r="O952">
        <v>10811.989506449989</v>
      </c>
      <c r="P952">
        <v>-6545.823706449989</v>
      </c>
    </row>
    <row r="953" spans="1:16" x14ac:dyDescent="0.25">
      <c r="A953" s="4" t="s">
        <v>10</v>
      </c>
      <c r="B953" s="4">
        <f>ROUND(Table13_1[[#This Row],[bmi]],1)</f>
        <v>42.9</v>
      </c>
      <c r="C953" s="4" t="str" cm="1">
        <f t="array" ref="C953">_xlfn.IFS(Table13_1[[#This Row],[Round BMI]]&lt;18.5,"Underweight",AND(Table13_1[[#This Row],[Round BMI]]&gt;=18.5,Table13_1[[#This Row],[Round BMI]] &lt;=24.9),"Healthy Weight",AND(Table13_1[[#This Row],[Round BMI]]&gt;=25,Table13_1[[#This Row],[Round BMI]]&lt;=29.9),"Overweight",Table13_1[[#This Row],[Round BMI]]&gt;=30,"Obese")</f>
        <v>Obese</v>
      </c>
      <c r="D953" s="4" t="s">
        <v>8</v>
      </c>
      <c r="E953" s="4" t="str">
        <f>IF(Table13_1[[#This Row],[smoker]]="yes","smoker","non-smoker")</f>
        <v>smoker</v>
      </c>
      <c r="F953" s="4" t="s">
        <v>12</v>
      </c>
      <c r="G953" s="5">
        <v>51</v>
      </c>
      <c r="H953" s="5">
        <f>IF(Table13_1[[#This Row],[smoker]]="yes",1,0)</f>
        <v>1</v>
      </c>
      <c r="I953" s="4">
        <v>42.9</v>
      </c>
      <c r="J953" s="4">
        <v>2</v>
      </c>
      <c r="K953" s="12">
        <v>47462.894</v>
      </c>
      <c r="N953">
        <v>798</v>
      </c>
      <c r="O953">
        <v>3475.0060253153092</v>
      </c>
      <c r="P953">
        <v>1244.5179746846911</v>
      </c>
    </row>
    <row r="954" spans="1:16" x14ac:dyDescent="0.25">
      <c r="A954" s="4" t="s">
        <v>7</v>
      </c>
      <c r="B954" s="4">
        <f>ROUND(Table13_1[[#This Row],[bmi]],1)</f>
        <v>28.4</v>
      </c>
      <c r="C954" s="4" t="str" cm="1">
        <f t="array" ref="C954">_xlfn.IFS(Table13_1[[#This Row],[Round BMI]]&lt;18.5,"Underweight",AND(Table13_1[[#This Row],[Round BMI]]&gt;=18.5,Table13_1[[#This Row],[Round BMI]] &lt;=24.9),"Healthy Weight",AND(Table13_1[[#This Row],[Round BMI]]&gt;=25,Table13_1[[#This Row],[Round BMI]]&lt;=29.9),"Overweight",Table13_1[[#This Row],[Round BMI]]&gt;=30,"Obese")</f>
        <v>Overweight</v>
      </c>
      <c r="D954" s="4" t="s">
        <v>11</v>
      </c>
      <c r="E954" s="4" t="str">
        <f>IF(Table13_1[[#This Row],[smoker]]="yes","smoker","non-smoker")</f>
        <v>non-smoker</v>
      </c>
      <c r="F954" s="4" t="s">
        <v>13</v>
      </c>
      <c r="G954" s="5">
        <v>30</v>
      </c>
      <c r="H954" s="5">
        <f>IF(Table13_1[[#This Row],[smoker]]="yes",1,0)</f>
        <v>0</v>
      </c>
      <c r="I954" s="4">
        <v>28.405000000000001</v>
      </c>
      <c r="J954" s="4">
        <v>1</v>
      </c>
      <c r="K954" s="12">
        <v>4527.183</v>
      </c>
      <c r="N954">
        <v>799</v>
      </c>
      <c r="O954">
        <v>13505.783481014027</v>
      </c>
      <c r="P954">
        <v>-1657.642481014027</v>
      </c>
    </row>
    <row r="955" spans="1:16" x14ac:dyDescent="0.25">
      <c r="A955" s="4" t="s">
        <v>10</v>
      </c>
      <c r="B955" s="4">
        <f>ROUND(Table13_1[[#This Row],[bmi]],1)</f>
        <v>30.2</v>
      </c>
      <c r="C955" s="4" t="str" cm="1">
        <f t="array" ref="C955">_xlfn.IFS(Table13_1[[#This Row],[Round BMI]]&lt;18.5,"Underweight",AND(Table13_1[[#This Row],[Round BMI]]&gt;=18.5,Table13_1[[#This Row],[Round BMI]] &lt;=24.9),"Healthy Weight",AND(Table13_1[[#This Row],[Round BMI]]&gt;=25,Table13_1[[#This Row],[Round BMI]]&lt;=29.9),"Overweight",Table13_1[[#This Row],[Round BMI]]&gt;=30,"Obese")</f>
        <v>Obese</v>
      </c>
      <c r="D955" s="4" t="s">
        <v>8</v>
      </c>
      <c r="E955" s="4" t="str">
        <f>IF(Table13_1[[#This Row],[smoker]]="yes","smoker","non-smoker")</f>
        <v>smoker</v>
      </c>
      <c r="F955" s="4" t="s">
        <v>9</v>
      </c>
      <c r="G955" s="5">
        <v>44</v>
      </c>
      <c r="H955" s="5">
        <f>IF(Table13_1[[#This Row],[smoker]]="yes",1,0)</f>
        <v>1</v>
      </c>
      <c r="I955" s="4">
        <v>30.2</v>
      </c>
      <c r="J955" s="4">
        <v>2</v>
      </c>
      <c r="K955" s="12">
        <v>38998.546000000002</v>
      </c>
      <c r="N955">
        <v>800</v>
      </c>
      <c r="O955">
        <v>28197.969743174384</v>
      </c>
      <c r="P955">
        <v>-10293.442743174386</v>
      </c>
    </row>
    <row r="956" spans="1:16" x14ac:dyDescent="0.25">
      <c r="A956" s="4" t="s">
        <v>10</v>
      </c>
      <c r="B956" s="4">
        <f>ROUND(Table13_1[[#This Row],[bmi]],1)</f>
        <v>27.8</v>
      </c>
      <c r="C956" s="4" t="str" cm="1">
        <f t="array" ref="C956">_xlfn.IFS(Table13_1[[#This Row],[Round BMI]]&lt;18.5,"Underweight",AND(Table13_1[[#This Row],[Round BMI]]&gt;=18.5,Table13_1[[#This Row],[Round BMI]] &lt;=24.9),"Healthy Weight",AND(Table13_1[[#This Row],[Round BMI]]&gt;=25,Table13_1[[#This Row],[Round BMI]]&lt;=29.9),"Overweight",Table13_1[[#This Row],[Round BMI]]&gt;=30,"Obese")</f>
        <v>Overweight</v>
      </c>
      <c r="D956" s="4" t="s">
        <v>8</v>
      </c>
      <c r="E956" s="4" t="str">
        <f>IF(Table13_1[[#This Row],[smoker]]="yes","smoker","non-smoker")</f>
        <v>smoker</v>
      </c>
      <c r="F956" s="4" t="s">
        <v>13</v>
      </c>
      <c r="G956" s="5">
        <v>34</v>
      </c>
      <c r="H956" s="5">
        <f>IF(Table13_1[[#This Row],[smoker]]="yes",1,0)</f>
        <v>1</v>
      </c>
      <c r="I956" s="4">
        <v>27.835000000000001</v>
      </c>
      <c r="J956" s="4">
        <v>1</v>
      </c>
      <c r="K956" s="12">
        <v>20009.633600000001</v>
      </c>
      <c r="N956">
        <v>801</v>
      </c>
      <c r="O956">
        <v>7626.481971612965</v>
      </c>
      <c r="P956">
        <v>-579.75977161296487</v>
      </c>
    </row>
    <row r="957" spans="1:16" x14ac:dyDescent="0.25">
      <c r="A957" s="4" t="s">
        <v>10</v>
      </c>
      <c r="B957" s="4">
        <f>ROUND(Table13_1[[#This Row],[bmi]],1)</f>
        <v>39.5</v>
      </c>
      <c r="C957" s="4" t="str" cm="1">
        <f t="array" ref="C957">_xlfn.IFS(Table13_1[[#This Row],[Round BMI]]&lt;18.5,"Underweight",AND(Table13_1[[#This Row],[Round BMI]]&gt;=18.5,Table13_1[[#This Row],[Round BMI]] &lt;=24.9),"Healthy Weight",AND(Table13_1[[#This Row],[Round BMI]]&gt;=25,Table13_1[[#This Row],[Round BMI]]&lt;=29.9),"Overweight",Table13_1[[#This Row],[Round BMI]]&gt;=30,"Obese")</f>
        <v>Obese</v>
      </c>
      <c r="D957" s="4" t="s">
        <v>11</v>
      </c>
      <c r="E957" s="4" t="str">
        <f>IF(Table13_1[[#This Row],[smoker]]="yes","smoker","non-smoker")</f>
        <v>non-smoker</v>
      </c>
      <c r="F957" s="4" t="s">
        <v>12</v>
      </c>
      <c r="G957" s="5">
        <v>31</v>
      </c>
      <c r="H957" s="5">
        <f>IF(Table13_1[[#This Row],[smoker]]="yes",1,0)</f>
        <v>0</v>
      </c>
      <c r="I957" s="4">
        <v>39.49</v>
      </c>
      <c r="J957" s="4">
        <v>1</v>
      </c>
      <c r="K957" s="12">
        <v>3875.7341000000001</v>
      </c>
      <c r="N957">
        <v>802</v>
      </c>
      <c r="O957">
        <v>15976.594051150441</v>
      </c>
      <c r="P957">
        <v>-1662.7477511504421</v>
      </c>
    </row>
    <row r="958" spans="1:16" x14ac:dyDescent="0.25">
      <c r="A958" s="4" t="s">
        <v>10</v>
      </c>
      <c r="B958" s="4">
        <f>ROUND(Table13_1[[#This Row],[bmi]],1)</f>
        <v>30.8</v>
      </c>
      <c r="C958" s="4" t="str" cm="1">
        <f t="array" ref="C958">_xlfn.IFS(Table13_1[[#This Row],[Round BMI]]&lt;18.5,"Underweight",AND(Table13_1[[#This Row],[Round BMI]]&gt;=18.5,Table13_1[[#This Row],[Round BMI]] &lt;=24.9),"Healthy Weight",AND(Table13_1[[#This Row],[Round BMI]]&gt;=25,Table13_1[[#This Row],[Round BMI]]&lt;=29.9),"Overweight",Table13_1[[#This Row],[Round BMI]]&gt;=30,"Obese")</f>
        <v>Obese</v>
      </c>
      <c r="D958" s="4" t="s">
        <v>8</v>
      </c>
      <c r="E958" s="4" t="str">
        <f>IF(Table13_1[[#This Row],[smoker]]="yes","smoker","non-smoker")</f>
        <v>smoker</v>
      </c>
      <c r="F958" s="4" t="s">
        <v>12</v>
      </c>
      <c r="G958" s="5">
        <v>54</v>
      </c>
      <c r="H958" s="5">
        <f>IF(Table13_1[[#This Row],[smoker]]="yes",1,0)</f>
        <v>1</v>
      </c>
      <c r="I958" s="4">
        <v>30.8</v>
      </c>
      <c r="J958" s="4">
        <v>1</v>
      </c>
      <c r="K958" s="12">
        <v>41999.519999999997</v>
      </c>
      <c r="N958">
        <v>803</v>
      </c>
      <c r="O958">
        <v>962.85887465158555</v>
      </c>
      <c r="P958">
        <v>1140.2211253484143</v>
      </c>
    </row>
    <row r="959" spans="1:16" x14ac:dyDescent="0.25">
      <c r="A959" s="4" t="s">
        <v>10</v>
      </c>
      <c r="B959" s="4">
        <f>ROUND(Table13_1[[#This Row],[bmi]],1)</f>
        <v>26.8</v>
      </c>
      <c r="C959" s="4" t="str" cm="1">
        <f t="array" ref="C959">_xlfn.IFS(Table13_1[[#This Row],[Round BMI]]&lt;18.5,"Underweight",AND(Table13_1[[#This Row],[Round BMI]]&gt;=18.5,Table13_1[[#This Row],[Round BMI]] &lt;=24.9),"Healthy Weight",AND(Table13_1[[#This Row],[Round BMI]]&gt;=25,Table13_1[[#This Row],[Round BMI]]&lt;=29.9),"Overweight",Table13_1[[#This Row],[Round BMI]]&gt;=30,"Obese")</f>
        <v>Overweight</v>
      </c>
      <c r="D959" s="4" t="s">
        <v>11</v>
      </c>
      <c r="E959" s="4" t="str">
        <f>IF(Table13_1[[#This Row],[smoker]]="yes","smoker","non-smoker")</f>
        <v>non-smoker</v>
      </c>
      <c r="F959" s="4" t="s">
        <v>13</v>
      </c>
      <c r="G959" s="5">
        <v>24</v>
      </c>
      <c r="H959" s="5">
        <f>IF(Table13_1[[#This Row],[smoker]]="yes",1,0)</f>
        <v>0</v>
      </c>
      <c r="I959" s="4">
        <v>26.79</v>
      </c>
      <c r="J959" s="4">
        <v>1</v>
      </c>
      <c r="K959" s="12">
        <v>12609.887000000001</v>
      </c>
      <c r="N959">
        <v>804</v>
      </c>
      <c r="O959">
        <v>29944.924855783996</v>
      </c>
      <c r="P959">
        <v>8847.7607442160006</v>
      </c>
    </row>
    <row r="960" spans="1:16" x14ac:dyDescent="0.25">
      <c r="A960" s="4" t="s">
        <v>10</v>
      </c>
      <c r="B960" s="4">
        <f>ROUND(Table13_1[[#This Row],[bmi]],1)</f>
        <v>35</v>
      </c>
      <c r="C960" s="4" t="str" cm="1">
        <f t="array" ref="C960">_xlfn.IFS(Table13_1[[#This Row],[Round BMI]]&lt;18.5,"Underweight",AND(Table13_1[[#This Row],[Round BMI]]&gt;=18.5,Table13_1[[#This Row],[Round BMI]] &lt;=24.9),"Healthy Weight",AND(Table13_1[[#This Row],[Round BMI]]&gt;=25,Table13_1[[#This Row],[Round BMI]]&lt;=29.9),"Overweight",Table13_1[[#This Row],[Round BMI]]&gt;=30,"Obese")</f>
        <v>Obese</v>
      </c>
      <c r="D960" s="4" t="s">
        <v>8</v>
      </c>
      <c r="E960" s="4" t="str">
        <f>IF(Table13_1[[#This Row],[smoker]]="yes","smoker","non-smoker")</f>
        <v>smoker</v>
      </c>
      <c r="F960" s="4" t="s">
        <v>14</v>
      </c>
      <c r="G960" s="5">
        <v>43</v>
      </c>
      <c r="H960" s="5">
        <f>IF(Table13_1[[#This Row],[smoker]]="yes",1,0)</f>
        <v>1</v>
      </c>
      <c r="I960" s="4">
        <v>34.96</v>
      </c>
      <c r="J960" s="4">
        <v>1</v>
      </c>
      <c r="K960" s="12">
        <v>41034.221400000002</v>
      </c>
      <c r="N960">
        <v>805</v>
      </c>
      <c r="O960">
        <v>2360.049979727979</v>
      </c>
      <c r="P960">
        <v>-544.17407972797901</v>
      </c>
    </row>
    <row r="961" spans="1:16" x14ac:dyDescent="0.25">
      <c r="A961" s="4" t="s">
        <v>10</v>
      </c>
      <c r="B961" s="4">
        <f>ROUND(Table13_1[[#This Row],[bmi]],1)</f>
        <v>36.700000000000003</v>
      </c>
      <c r="C961" s="4" t="str" cm="1">
        <f t="array" ref="C961">_xlfn.IFS(Table13_1[[#This Row],[Round BMI]]&lt;18.5,"Underweight",AND(Table13_1[[#This Row],[Round BMI]]&gt;=18.5,Table13_1[[#This Row],[Round BMI]] &lt;=24.9),"Healthy Weight",AND(Table13_1[[#This Row],[Round BMI]]&gt;=25,Table13_1[[#This Row],[Round BMI]]&lt;=29.9),"Overweight",Table13_1[[#This Row],[Round BMI]]&gt;=30,"Obese")</f>
        <v>Obese</v>
      </c>
      <c r="D961" s="4" t="s">
        <v>11</v>
      </c>
      <c r="E961" s="4" t="str">
        <f>IF(Table13_1[[#This Row],[smoker]]="yes","smoker","non-smoker")</f>
        <v>non-smoker</v>
      </c>
      <c r="F961" s="4" t="s">
        <v>13</v>
      </c>
      <c r="G961" s="5">
        <v>48</v>
      </c>
      <c r="H961" s="5">
        <f>IF(Table13_1[[#This Row],[smoker]]="yes",1,0)</f>
        <v>0</v>
      </c>
      <c r="I961" s="4">
        <v>36.67</v>
      </c>
      <c r="J961" s="4">
        <v>1</v>
      </c>
      <c r="K961" s="12">
        <v>28468.919000000002</v>
      </c>
      <c r="N961">
        <v>806</v>
      </c>
      <c r="O961">
        <v>11027.566444433291</v>
      </c>
      <c r="P961">
        <v>-3295.7086444332908</v>
      </c>
    </row>
    <row r="962" spans="1:16" x14ac:dyDescent="0.25">
      <c r="A962" s="4" t="s">
        <v>7</v>
      </c>
      <c r="B962" s="4">
        <f>ROUND(Table13_1[[#This Row],[bmi]],1)</f>
        <v>39.6</v>
      </c>
      <c r="C962" s="4" t="str" cm="1">
        <f t="array" ref="C962">_xlfn.IFS(Table13_1[[#This Row],[Round BMI]]&lt;18.5,"Underweight",AND(Table13_1[[#This Row],[Round BMI]]&gt;=18.5,Table13_1[[#This Row],[Round BMI]] &lt;=24.9),"Healthy Weight",AND(Table13_1[[#This Row],[Round BMI]]&gt;=25,Table13_1[[#This Row],[Round BMI]]&lt;=29.9),"Overweight",Table13_1[[#This Row],[Round BMI]]&gt;=30,"Obese")</f>
        <v>Obese</v>
      </c>
      <c r="D962" s="4" t="s">
        <v>11</v>
      </c>
      <c r="E962" s="4" t="str">
        <f>IF(Table13_1[[#This Row],[smoker]]="yes","smoker","non-smoker")</f>
        <v>non-smoker</v>
      </c>
      <c r="F962" s="4" t="s">
        <v>13</v>
      </c>
      <c r="G962" s="5">
        <v>19</v>
      </c>
      <c r="H962" s="5">
        <f>IF(Table13_1[[#This Row],[smoker]]="yes",1,0)</f>
        <v>0</v>
      </c>
      <c r="I962" s="4">
        <v>39.615000000000002</v>
      </c>
      <c r="J962" s="4">
        <v>1</v>
      </c>
      <c r="K962" s="12">
        <v>2730.1078000000002</v>
      </c>
      <c r="N962">
        <v>807</v>
      </c>
      <c r="O962">
        <v>12015.798336252332</v>
      </c>
      <c r="P962">
        <v>16460.936663747671</v>
      </c>
    </row>
    <row r="963" spans="1:16" x14ac:dyDescent="0.25">
      <c r="A963" s="4" t="s">
        <v>7</v>
      </c>
      <c r="B963" s="4">
        <f>ROUND(Table13_1[[#This Row],[bmi]],1)</f>
        <v>25.9</v>
      </c>
      <c r="C963" s="4" t="str" cm="1">
        <f t="array" ref="C963">_xlfn.IFS(Table13_1[[#This Row],[Round BMI]]&lt;18.5,"Underweight",AND(Table13_1[[#This Row],[Round BMI]]&gt;=18.5,Table13_1[[#This Row],[Round BMI]] &lt;=24.9),"Healthy Weight",AND(Table13_1[[#This Row],[Round BMI]]&gt;=25,Table13_1[[#This Row],[Round BMI]]&lt;=29.9),"Overweight",Table13_1[[#This Row],[Round BMI]]&gt;=30,"Obese")</f>
        <v>Overweight</v>
      </c>
      <c r="D963" s="4" t="s">
        <v>11</v>
      </c>
      <c r="E963" s="4" t="str">
        <f>IF(Table13_1[[#This Row],[smoker]]="yes","smoker","non-smoker")</f>
        <v>non-smoker</v>
      </c>
      <c r="F963" s="4" t="s">
        <v>9</v>
      </c>
      <c r="G963" s="5">
        <v>29</v>
      </c>
      <c r="H963" s="5">
        <f>IF(Table13_1[[#This Row],[smoker]]="yes",1,0)</f>
        <v>0</v>
      </c>
      <c r="I963" s="4">
        <v>25.9</v>
      </c>
      <c r="J963" s="4">
        <v>0</v>
      </c>
      <c r="K963" s="12">
        <v>3353.2840000000001</v>
      </c>
      <c r="N963">
        <v>808</v>
      </c>
      <c r="O963">
        <v>4568.0863200033591</v>
      </c>
      <c r="P963">
        <v>-2431.2041200033591</v>
      </c>
    </row>
    <row r="964" spans="1:16" x14ac:dyDescent="0.25">
      <c r="A964" s="4" t="s">
        <v>7</v>
      </c>
      <c r="B964" s="4">
        <f>ROUND(Table13_1[[#This Row],[bmi]],1)</f>
        <v>35.200000000000003</v>
      </c>
      <c r="C964" s="4" t="str" cm="1">
        <f t="array" ref="C964">_xlfn.IFS(Table13_1[[#This Row],[Round BMI]]&lt;18.5,"Underweight",AND(Table13_1[[#This Row],[Round BMI]]&gt;=18.5,Table13_1[[#This Row],[Round BMI]] &lt;=24.9),"Healthy Weight",AND(Table13_1[[#This Row],[Round BMI]]&gt;=25,Table13_1[[#This Row],[Round BMI]]&lt;=29.9),"Overweight",Table13_1[[#This Row],[Round BMI]]&gt;=30,"Obese")</f>
        <v>Obese</v>
      </c>
      <c r="D964" s="4" t="s">
        <v>11</v>
      </c>
      <c r="E964" s="4" t="str">
        <f>IF(Table13_1[[#This Row],[smoker]]="yes","smoker","non-smoker")</f>
        <v>non-smoker</v>
      </c>
      <c r="F964" s="4" t="s">
        <v>12</v>
      </c>
      <c r="G964" s="5">
        <v>63</v>
      </c>
      <c r="H964" s="5">
        <f>IF(Table13_1[[#This Row],[smoker]]="yes",1,0)</f>
        <v>0</v>
      </c>
      <c r="I964" s="4">
        <v>35.200000000000003</v>
      </c>
      <c r="J964" s="4">
        <v>1</v>
      </c>
      <c r="K964" s="12">
        <v>14474.674999999999</v>
      </c>
      <c r="N964">
        <v>809</v>
      </c>
      <c r="O964">
        <v>2239.1230353898009</v>
      </c>
      <c r="P964">
        <v>-1107.6164353898009</v>
      </c>
    </row>
    <row r="965" spans="1:16" x14ac:dyDescent="0.25">
      <c r="A965" s="4" t="s">
        <v>10</v>
      </c>
      <c r="B965" s="4">
        <f>ROUND(Table13_1[[#This Row],[bmi]],1)</f>
        <v>24.8</v>
      </c>
      <c r="C965" s="4" t="str" cm="1">
        <f t="array" ref="C965">_xlfn.IFS(Table13_1[[#This Row],[Round BMI]]&lt;18.5,"Underweight",AND(Table13_1[[#This Row],[Round BMI]]&gt;=18.5,Table13_1[[#This Row],[Round BMI]] &lt;=24.9),"Healthy Weight",AND(Table13_1[[#This Row],[Round BMI]]&gt;=25,Table13_1[[#This Row],[Round BMI]]&lt;=29.9),"Overweight",Table13_1[[#This Row],[Round BMI]]&gt;=30,"Obese")</f>
        <v>Healthy Weight</v>
      </c>
      <c r="D965" s="4" t="s">
        <v>11</v>
      </c>
      <c r="E965" s="4" t="str">
        <f>IF(Table13_1[[#This Row],[smoker]]="yes","smoker","non-smoker")</f>
        <v>non-smoker</v>
      </c>
      <c r="F965" s="4" t="s">
        <v>14</v>
      </c>
      <c r="G965" s="5">
        <v>46</v>
      </c>
      <c r="H965" s="5">
        <f>IF(Table13_1[[#This Row],[smoker]]="yes",1,0)</f>
        <v>0</v>
      </c>
      <c r="I965" s="4">
        <v>24.795000000000002</v>
      </c>
      <c r="J965" s="4">
        <v>3</v>
      </c>
      <c r="K965" s="12">
        <v>9500.5730000000003</v>
      </c>
      <c r="N965">
        <v>810</v>
      </c>
      <c r="O965">
        <v>3133.6108700309001</v>
      </c>
      <c r="P965">
        <v>176.18172996910016</v>
      </c>
    </row>
    <row r="966" spans="1:16" x14ac:dyDescent="0.25">
      <c r="A966" s="4" t="s">
        <v>10</v>
      </c>
      <c r="B966" s="4">
        <f>ROUND(Table13_1[[#This Row],[bmi]],1)</f>
        <v>36.799999999999997</v>
      </c>
      <c r="C966" s="4" t="str" cm="1">
        <f t="array" ref="C966">_xlfn.IFS(Table13_1[[#This Row],[Round BMI]]&lt;18.5,"Underweight",AND(Table13_1[[#This Row],[Round BMI]]&gt;=18.5,Table13_1[[#This Row],[Round BMI]] &lt;=24.9),"Healthy Weight",AND(Table13_1[[#This Row],[Round BMI]]&gt;=25,Table13_1[[#This Row],[Round BMI]]&lt;=29.9),"Overweight",Table13_1[[#This Row],[Round BMI]]&gt;=30,"Obese")</f>
        <v>Obese</v>
      </c>
      <c r="D966" s="4" t="s">
        <v>11</v>
      </c>
      <c r="E966" s="4" t="str">
        <f>IF(Table13_1[[#This Row],[smoker]]="yes","smoker","non-smoker")</f>
        <v>non-smoker</v>
      </c>
      <c r="F966" s="4" t="s">
        <v>13</v>
      </c>
      <c r="G966" s="5">
        <v>52</v>
      </c>
      <c r="H966" s="5">
        <f>IF(Table13_1[[#This Row],[smoker]]="yes",1,0)</f>
        <v>0</v>
      </c>
      <c r="I966" s="4">
        <v>36.765000000000001</v>
      </c>
      <c r="J966" s="4">
        <v>2</v>
      </c>
      <c r="K966" s="12">
        <v>26467.097399999999</v>
      </c>
      <c r="N966">
        <v>811</v>
      </c>
      <c r="O966">
        <v>11091.838113152437</v>
      </c>
      <c r="P966">
        <v>-1676.9181131524365</v>
      </c>
    </row>
    <row r="967" spans="1:16" x14ac:dyDescent="0.25">
      <c r="A967" s="4" t="s">
        <v>10</v>
      </c>
      <c r="B967" s="4">
        <f>ROUND(Table13_1[[#This Row],[bmi]],1)</f>
        <v>27.1</v>
      </c>
      <c r="C967" s="4" t="str" cm="1">
        <f t="array" ref="C967">_xlfn.IFS(Table13_1[[#This Row],[Round BMI]]&lt;18.5,"Underweight",AND(Table13_1[[#This Row],[Round BMI]]&gt;=18.5,Table13_1[[#This Row],[Round BMI]] &lt;=24.9),"Healthy Weight",AND(Table13_1[[#This Row],[Round BMI]]&gt;=25,Table13_1[[#This Row],[Round BMI]]&lt;=29.9),"Overweight",Table13_1[[#This Row],[Round BMI]]&gt;=30,"Obese")</f>
        <v>Overweight</v>
      </c>
      <c r="D967" s="4" t="s">
        <v>11</v>
      </c>
      <c r="E967" s="4" t="str">
        <f>IF(Table13_1[[#This Row],[smoker]]="yes","smoker","non-smoker")</f>
        <v>non-smoker</v>
      </c>
      <c r="F967" s="4" t="s">
        <v>9</v>
      </c>
      <c r="G967" s="5">
        <v>35</v>
      </c>
      <c r="H967" s="5">
        <f>IF(Table13_1[[#This Row],[smoker]]="yes",1,0)</f>
        <v>0</v>
      </c>
      <c r="I967" s="4">
        <v>27.1</v>
      </c>
      <c r="J967" s="4">
        <v>1</v>
      </c>
      <c r="K967" s="12">
        <v>4746.3440000000001</v>
      </c>
      <c r="N967">
        <v>812</v>
      </c>
      <c r="O967">
        <v>11647.070548350128</v>
      </c>
      <c r="P967">
        <v>-5286.0769483501281</v>
      </c>
    </row>
    <row r="968" spans="1:16" x14ac:dyDescent="0.25">
      <c r="A968" s="4" t="s">
        <v>10</v>
      </c>
      <c r="B968" s="4">
        <f>ROUND(Table13_1[[#This Row],[bmi]],1)</f>
        <v>24.8</v>
      </c>
      <c r="C968" s="4" t="str" cm="1">
        <f t="array" ref="C968">_xlfn.IFS(Table13_1[[#This Row],[Round BMI]]&lt;18.5,"Underweight",AND(Table13_1[[#This Row],[Round BMI]]&gt;=18.5,Table13_1[[#This Row],[Round BMI]] &lt;=24.9),"Healthy Weight",AND(Table13_1[[#This Row],[Round BMI]]&gt;=25,Table13_1[[#This Row],[Round BMI]]&lt;=29.9),"Overweight",Table13_1[[#This Row],[Round BMI]]&gt;=30,"Obese")</f>
        <v>Healthy Weight</v>
      </c>
      <c r="D968" s="4" t="s">
        <v>8</v>
      </c>
      <c r="E968" s="4" t="str">
        <f>IF(Table13_1[[#This Row],[smoker]]="yes","smoker","non-smoker")</f>
        <v>smoker</v>
      </c>
      <c r="F968" s="4" t="s">
        <v>13</v>
      </c>
      <c r="G968" s="5">
        <v>51</v>
      </c>
      <c r="H968" s="5">
        <f>IF(Table13_1[[#This Row],[smoker]]="yes",1,0)</f>
        <v>1</v>
      </c>
      <c r="I968" s="4">
        <v>24.795000000000002</v>
      </c>
      <c r="J968" s="4">
        <v>2</v>
      </c>
      <c r="K968" s="12">
        <v>23967.383000000002</v>
      </c>
      <c r="N968">
        <v>813</v>
      </c>
      <c r="O968">
        <v>9530.2066224339887</v>
      </c>
      <c r="P968">
        <v>1483.5052775660115</v>
      </c>
    </row>
    <row r="969" spans="1:16" x14ac:dyDescent="0.25">
      <c r="A969" s="4" t="s">
        <v>10</v>
      </c>
      <c r="B969" s="4">
        <f>ROUND(Table13_1[[#This Row],[bmi]],1)</f>
        <v>25.4</v>
      </c>
      <c r="C969" s="4" t="str" cm="1">
        <f t="array" ref="C969">_xlfn.IFS(Table13_1[[#This Row],[Round BMI]]&lt;18.5,"Underweight",AND(Table13_1[[#This Row],[Round BMI]]&gt;=18.5,Table13_1[[#This Row],[Round BMI]] &lt;=24.9),"Healthy Weight",AND(Table13_1[[#This Row],[Round BMI]]&gt;=25,Table13_1[[#This Row],[Round BMI]]&lt;=29.9),"Overweight",Table13_1[[#This Row],[Round BMI]]&gt;=30,"Obese")</f>
        <v>Overweight</v>
      </c>
      <c r="D969" s="4" t="s">
        <v>11</v>
      </c>
      <c r="E969" s="4" t="str">
        <f>IF(Table13_1[[#This Row],[smoker]]="yes","smoker","non-smoker")</f>
        <v>non-smoker</v>
      </c>
      <c r="F969" s="4" t="s">
        <v>13</v>
      </c>
      <c r="G969" s="5">
        <v>44</v>
      </c>
      <c r="H969" s="5">
        <f>IF(Table13_1[[#This Row],[smoker]]="yes",1,0)</f>
        <v>0</v>
      </c>
      <c r="I969" s="4">
        <v>25.364999999999998</v>
      </c>
      <c r="J969" s="4">
        <v>1</v>
      </c>
      <c r="K969" s="12">
        <v>7518.0254000000004</v>
      </c>
      <c r="N969">
        <v>814</v>
      </c>
      <c r="O969">
        <v>3310.5057931207612</v>
      </c>
      <c r="P969">
        <v>1118.3820068792393</v>
      </c>
    </row>
    <row r="970" spans="1:16" x14ac:dyDescent="0.25">
      <c r="A970" s="4" t="s">
        <v>10</v>
      </c>
      <c r="B970" s="4">
        <f>ROUND(Table13_1[[#This Row],[bmi]],1)</f>
        <v>25.7</v>
      </c>
      <c r="C970" s="4" t="str" cm="1">
        <f t="array" ref="C970">_xlfn.IFS(Table13_1[[#This Row],[Round BMI]]&lt;18.5,"Underweight",AND(Table13_1[[#This Row],[Round BMI]]&gt;=18.5,Table13_1[[#This Row],[Round BMI]] &lt;=24.9),"Healthy Weight",AND(Table13_1[[#This Row],[Round BMI]]&gt;=25,Table13_1[[#This Row],[Round BMI]]&lt;=29.9),"Overweight",Table13_1[[#This Row],[Round BMI]]&gt;=30,"Obese")</f>
        <v>Overweight</v>
      </c>
      <c r="D970" s="4" t="s">
        <v>11</v>
      </c>
      <c r="E970" s="4" t="str">
        <f>IF(Table13_1[[#This Row],[smoker]]="yes","smoker","non-smoker")</f>
        <v>non-smoker</v>
      </c>
      <c r="F970" s="4" t="s">
        <v>14</v>
      </c>
      <c r="G970" s="5">
        <v>21</v>
      </c>
      <c r="H970" s="5">
        <f>IF(Table13_1[[#This Row],[smoker]]="yes",1,0)</f>
        <v>0</v>
      </c>
      <c r="I970" s="4">
        <v>25.745000000000001</v>
      </c>
      <c r="J970" s="4">
        <v>2</v>
      </c>
      <c r="K970" s="12">
        <v>3279.8685999999998</v>
      </c>
      <c r="N970">
        <v>815</v>
      </c>
      <c r="O970">
        <v>9208.1613166166553</v>
      </c>
      <c r="P970">
        <v>-3623.8556166166554</v>
      </c>
    </row>
    <row r="971" spans="1:16" x14ac:dyDescent="0.25">
      <c r="A971" s="4" t="s">
        <v>7</v>
      </c>
      <c r="B971" s="4">
        <f>ROUND(Table13_1[[#This Row],[bmi]],1)</f>
        <v>34.299999999999997</v>
      </c>
      <c r="C971" s="4" t="str" cm="1">
        <f t="array" ref="C971">_xlfn.IFS(Table13_1[[#This Row],[Round BMI]]&lt;18.5,"Underweight",AND(Table13_1[[#This Row],[Round BMI]]&gt;=18.5,Table13_1[[#This Row],[Round BMI]] &lt;=24.9),"Healthy Weight",AND(Table13_1[[#This Row],[Round BMI]]&gt;=25,Table13_1[[#This Row],[Round BMI]]&lt;=29.9),"Overweight",Table13_1[[#This Row],[Round BMI]]&gt;=30,"Obese")</f>
        <v>Obese</v>
      </c>
      <c r="D971" s="4" t="s">
        <v>11</v>
      </c>
      <c r="E971" s="4" t="str">
        <f>IF(Table13_1[[#This Row],[smoker]]="yes","smoker","non-smoker")</f>
        <v>non-smoker</v>
      </c>
      <c r="F971" s="4" t="s">
        <v>12</v>
      </c>
      <c r="G971" s="5">
        <v>39</v>
      </c>
      <c r="H971" s="5">
        <f>IF(Table13_1[[#This Row],[smoker]]="yes",1,0)</f>
        <v>0</v>
      </c>
      <c r="I971" s="4">
        <v>34.32</v>
      </c>
      <c r="J971" s="4">
        <v>5</v>
      </c>
      <c r="K971" s="12">
        <v>8596.8277999999991</v>
      </c>
      <c r="N971">
        <v>816</v>
      </c>
      <c r="O971">
        <v>3179.6659018009123</v>
      </c>
      <c r="P971">
        <v>-1301.7365018009123</v>
      </c>
    </row>
    <row r="972" spans="1:16" x14ac:dyDescent="0.25">
      <c r="A972" s="4" t="s">
        <v>7</v>
      </c>
      <c r="B972" s="4">
        <f>ROUND(Table13_1[[#This Row],[bmi]],1)</f>
        <v>28.2</v>
      </c>
      <c r="C972" s="4" t="str" cm="1">
        <f t="array" ref="C972">_xlfn.IFS(Table13_1[[#This Row],[Round BMI]]&lt;18.5,"Underweight",AND(Table13_1[[#This Row],[Round BMI]]&gt;=18.5,Table13_1[[#This Row],[Round BMI]] &lt;=24.9),"Healthy Weight",AND(Table13_1[[#This Row],[Round BMI]]&gt;=25,Table13_1[[#This Row],[Round BMI]]&lt;=29.9),"Overweight",Table13_1[[#This Row],[Round BMI]]&gt;=30,"Obese")</f>
        <v>Overweight</v>
      </c>
      <c r="D972" s="4" t="s">
        <v>11</v>
      </c>
      <c r="E972" s="4" t="str">
        <f>IF(Table13_1[[#This Row],[smoker]]="yes","smoker","non-smoker")</f>
        <v>non-smoker</v>
      </c>
      <c r="F972" s="4" t="s">
        <v>12</v>
      </c>
      <c r="G972" s="5">
        <v>50</v>
      </c>
      <c r="H972" s="5">
        <f>IF(Table13_1[[#This Row],[smoker]]="yes",1,0)</f>
        <v>0</v>
      </c>
      <c r="I972" s="4">
        <v>28.16</v>
      </c>
      <c r="J972" s="4">
        <v>3</v>
      </c>
      <c r="K972" s="12">
        <v>10702.642400000001</v>
      </c>
      <c r="N972">
        <v>817</v>
      </c>
      <c r="O972">
        <v>1882.4690315661637</v>
      </c>
      <c r="P972">
        <v>960.2917684338363</v>
      </c>
    </row>
    <row r="973" spans="1:16" x14ac:dyDescent="0.25">
      <c r="A973" s="4" t="s">
        <v>7</v>
      </c>
      <c r="B973" s="4">
        <f>ROUND(Table13_1[[#This Row],[bmi]],1)</f>
        <v>23.6</v>
      </c>
      <c r="C973" s="4" t="str" cm="1">
        <f t="array" ref="C973">_xlfn.IFS(Table13_1[[#This Row],[Round BMI]]&lt;18.5,"Underweight",AND(Table13_1[[#This Row],[Round BMI]]&gt;=18.5,Table13_1[[#This Row],[Round BMI]] &lt;=24.9),"Healthy Weight",AND(Table13_1[[#This Row],[Round BMI]]&gt;=25,Table13_1[[#This Row],[Round BMI]]&lt;=29.9),"Overweight",Table13_1[[#This Row],[Round BMI]]&gt;=30,"Obese")</f>
        <v>Healthy Weight</v>
      </c>
      <c r="D973" s="4" t="s">
        <v>11</v>
      </c>
      <c r="E973" s="4" t="str">
        <f>IF(Table13_1[[#This Row],[smoker]]="yes","smoker","non-smoker")</f>
        <v>non-smoker</v>
      </c>
      <c r="F973" s="4" t="s">
        <v>14</v>
      </c>
      <c r="G973" s="5">
        <v>34</v>
      </c>
      <c r="H973" s="5">
        <f>IF(Table13_1[[#This Row],[smoker]]="yes",1,0)</f>
        <v>0</v>
      </c>
      <c r="I973" s="4">
        <v>23.56</v>
      </c>
      <c r="J973" s="4">
        <v>0</v>
      </c>
      <c r="K973" s="12">
        <v>4992.3764000000001</v>
      </c>
      <c r="N973">
        <v>818</v>
      </c>
      <c r="O973">
        <v>7188.9632824538894</v>
      </c>
      <c r="P973">
        <v>-3591.3672824538894</v>
      </c>
    </row>
    <row r="974" spans="1:16" x14ac:dyDescent="0.25">
      <c r="A974" s="4" t="s">
        <v>7</v>
      </c>
      <c r="B974" s="4">
        <f>ROUND(Table13_1[[#This Row],[bmi]],1)</f>
        <v>20.2</v>
      </c>
      <c r="C974" s="4" t="str" cm="1">
        <f t="array" ref="C974">_xlfn.IFS(Table13_1[[#This Row],[Round BMI]]&lt;18.5,"Underweight",AND(Table13_1[[#This Row],[Round BMI]]&gt;=18.5,Table13_1[[#This Row],[Round BMI]] &lt;=24.9),"Healthy Weight",AND(Table13_1[[#This Row],[Round BMI]]&gt;=25,Table13_1[[#This Row],[Round BMI]]&lt;=29.9),"Overweight",Table13_1[[#This Row],[Round BMI]]&gt;=30,"Obese")</f>
        <v>Healthy Weight</v>
      </c>
      <c r="D974" s="4" t="s">
        <v>11</v>
      </c>
      <c r="E974" s="4" t="str">
        <f>IF(Table13_1[[#This Row],[smoker]]="yes","smoker","non-smoker")</f>
        <v>non-smoker</v>
      </c>
      <c r="F974" s="4" t="s">
        <v>13</v>
      </c>
      <c r="G974" s="5">
        <v>22</v>
      </c>
      <c r="H974" s="5">
        <f>IF(Table13_1[[#This Row],[smoker]]="yes",1,0)</f>
        <v>0</v>
      </c>
      <c r="I974" s="4">
        <v>20.234999999999999</v>
      </c>
      <c r="J974" s="4">
        <v>0</v>
      </c>
      <c r="K974" s="12">
        <v>2527.8186000000001</v>
      </c>
      <c r="N974">
        <v>819</v>
      </c>
      <c r="O974">
        <v>32709.427527124</v>
      </c>
      <c r="P974">
        <v>-9308.1217271240021</v>
      </c>
    </row>
    <row r="975" spans="1:16" x14ac:dyDescent="0.25">
      <c r="A975" s="4" t="s">
        <v>7</v>
      </c>
      <c r="B975" s="4">
        <f>ROUND(Table13_1[[#This Row],[bmi]],1)</f>
        <v>40.5</v>
      </c>
      <c r="C975" s="4" t="str" cm="1">
        <f t="array" ref="C975">_xlfn.IFS(Table13_1[[#This Row],[Round BMI]]&lt;18.5,"Underweight",AND(Table13_1[[#This Row],[Round BMI]]&gt;=18.5,Table13_1[[#This Row],[Round BMI]] &lt;=24.9),"Healthy Weight",AND(Table13_1[[#This Row],[Round BMI]]&gt;=25,Table13_1[[#This Row],[Round BMI]]&lt;=29.9),"Overweight",Table13_1[[#This Row],[Round BMI]]&gt;=30,"Obese")</f>
        <v>Obese</v>
      </c>
      <c r="D975" s="4" t="s">
        <v>11</v>
      </c>
      <c r="E975" s="4" t="str">
        <f>IF(Table13_1[[#This Row],[smoker]]="yes","smoker","non-smoker")</f>
        <v>non-smoker</v>
      </c>
      <c r="F975" s="4" t="s">
        <v>9</v>
      </c>
      <c r="G975" s="5">
        <v>19</v>
      </c>
      <c r="H975" s="5">
        <f>IF(Table13_1[[#This Row],[smoker]]="yes",1,0)</f>
        <v>0</v>
      </c>
      <c r="I975" s="4">
        <v>40.5</v>
      </c>
      <c r="J975" s="4">
        <v>0</v>
      </c>
      <c r="K975" s="12">
        <v>1759.338</v>
      </c>
      <c r="N975">
        <v>820</v>
      </c>
      <c r="O975">
        <v>31653.044552674801</v>
      </c>
      <c r="P975">
        <v>23482.357547325199</v>
      </c>
    </row>
    <row r="976" spans="1:16" x14ac:dyDescent="0.25">
      <c r="A976" s="4" t="s">
        <v>10</v>
      </c>
      <c r="B976" s="4">
        <f>ROUND(Table13_1[[#This Row],[bmi]],1)</f>
        <v>35.4</v>
      </c>
      <c r="C976" s="4" t="str" cm="1">
        <f t="array" ref="C976">_xlfn.IFS(Table13_1[[#This Row],[Round BMI]]&lt;18.5,"Underweight",AND(Table13_1[[#This Row],[Round BMI]]&gt;=18.5,Table13_1[[#This Row],[Round BMI]] &lt;=24.9),"Healthy Weight",AND(Table13_1[[#This Row],[Round BMI]]&gt;=25,Table13_1[[#This Row],[Round BMI]]&lt;=29.9),"Overweight",Table13_1[[#This Row],[Round BMI]]&gt;=30,"Obese")</f>
        <v>Obese</v>
      </c>
      <c r="D976" s="4" t="s">
        <v>11</v>
      </c>
      <c r="E976" s="4" t="str">
        <f>IF(Table13_1[[#This Row],[smoker]]="yes","smoker","non-smoker")</f>
        <v>non-smoker</v>
      </c>
      <c r="F976" s="4" t="s">
        <v>12</v>
      </c>
      <c r="G976" s="5">
        <v>26</v>
      </c>
      <c r="H976" s="5">
        <f>IF(Table13_1[[#This Row],[smoker]]="yes",1,0)</f>
        <v>0</v>
      </c>
      <c r="I976" s="4">
        <v>35.42</v>
      </c>
      <c r="J976" s="4">
        <v>0</v>
      </c>
      <c r="K976" s="12">
        <v>2322.6217999999999</v>
      </c>
      <c r="N976">
        <v>821</v>
      </c>
      <c r="O976">
        <v>10820.353042969953</v>
      </c>
      <c r="P976">
        <v>-3374.4350429699534</v>
      </c>
    </row>
    <row r="977" spans="1:16" x14ac:dyDescent="0.25">
      <c r="A977" s="4" t="s">
        <v>10</v>
      </c>
      <c r="B977" s="4">
        <f>ROUND(Table13_1[[#This Row],[bmi]],1)</f>
        <v>22.9</v>
      </c>
      <c r="C977" s="4" t="str" cm="1">
        <f t="array" ref="C977">_xlfn.IFS(Table13_1[[#This Row],[Round BMI]]&lt;18.5,"Underweight",AND(Table13_1[[#This Row],[Round BMI]]&gt;=18.5,Table13_1[[#This Row],[Round BMI]] &lt;=24.9),"Healthy Weight",AND(Table13_1[[#This Row],[Round BMI]]&gt;=25,Table13_1[[#This Row],[Round BMI]]&lt;=29.9),"Overweight",Table13_1[[#This Row],[Round BMI]]&gt;=30,"Obese")</f>
        <v>Healthy Weight</v>
      </c>
      <c r="D977" s="4" t="s">
        <v>8</v>
      </c>
      <c r="E977" s="4" t="str">
        <f>IF(Table13_1[[#This Row],[smoker]]="yes","smoker","non-smoker")</f>
        <v>smoker</v>
      </c>
      <c r="F977" s="4" t="s">
        <v>14</v>
      </c>
      <c r="G977" s="5">
        <v>29</v>
      </c>
      <c r="H977" s="5">
        <f>IF(Table13_1[[#This Row],[smoker]]="yes",1,0)</f>
        <v>1</v>
      </c>
      <c r="I977" s="4">
        <v>22.895</v>
      </c>
      <c r="J977" s="4">
        <v>0</v>
      </c>
      <c r="K977" s="12">
        <v>16138.762000000001</v>
      </c>
      <c r="N977">
        <v>822</v>
      </c>
      <c r="O977">
        <v>288.43210060272759</v>
      </c>
      <c r="P977">
        <v>2392.5171993972726</v>
      </c>
    </row>
    <row r="978" spans="1:16" x14ac:dyDescent="0.25">
      <c r="A978" s="4" t="s">
        <v>10</v>
      </c>
      <c r="B978" s="4">
        <f>ROUND(Table13_1[[#This Row],[bmi]],1)</f>
        <v>40.200000000000003</v>
      </c>
      <c r="C978" s="4" t="str" cm="1">
        <f t="array" ref="C978">_xlfn.IFS(Table13_1[[#This Row],[Round BMI]]&lt;18.5,"Underweight",AND(Table13_1[[#This Row],[Round BMI]]&gt;=18.5,Table13_1[[#This Row],[Round BMI]] &lt;=24.9),"Healthy Weight",AND(Table13_1[[#This Row],[Round BMI]]&gt;=25,Table13_1[[#This Row],[Round BMI]]&lt;=29.9),"Overweight",Table13_1[[#This Row],[Round BMI]]&gt;=30,"Obese")</f>
        <v>Obese</v>
      </c>
      <c r="D978" s="4" t="s">
        <v>11</v>
      </c>
      <c r="E978" s="4" t="str">
        <f>IF(Table13_1[[#This Row],[smoker]]="yes","smoker","non-smoker")</f>
        <v>non-smoker</v>
      </c>
      <c r="F978" s="4" t="s">
        <v>12</v>
      </c>
      <c r="G978" s="5">
        <v>48</v>
      </c>
      <c r="H978" s="5">
        <f>IF(Table13_1[[#This Row],[smoker]]="yes",1,0)</f>
        <v>0</v>
      </c>
      <c r="I978" s="4">
        <v>40.15</v>
      </c>
      <c r="J978" s="4">
        <v>0</v>
      </c>
      <c r="K978" s="12">
        <v>7804.1605</v>
      </c>
      <c r="N978">
        <v>823</v>
      </c>
      <c r="O978">
        <v>2557.7559242026</v>
      </c>
      <c r="P978">
        <v>-935.87322420259989</v>
      </c>
    </row>
    <row r="979" spans="1:16" x14ac:dyDescent="0.25">
      <c r="A979" s="4" t="s">
        <v>10</v>
      </c>
      <c r="B979" s="4">
        <f>ROUND(Table13_1[[#This Row],[bmi]],1)</f>
        <v>29.2</v>
      </c>
      <c r="C979" s="4" t="str" cm="1">
        <f t="array" ref="C979">_xlfn.IFS(Table13_1[[#This Row],[Round BMI]]&lt;18.5,"Underweight",AND(Table13_1[[#This Row],[Round BMI]]&gt;=18.5,Table13_1[[#This Row],[Round BMI]] &lt;=24.9),"Healthy Weight",AND(Table13_1[[#This Row],[Round BMI]]&gt;=25,Table13_1[[#This Row],[Round BMI]]&lt;=29.9),"Overweight",Table13_1[[#This Row],[Round BMI]]&gt;=30,"Obese")</f>
        <v>Overweight</v>
      </c>
      <c r="D979" s="4" t="s">
        <v>11</v>
      </c>
      <c r="E979" s="4" t="str">
        <f>IF(Table13_1[[#This Row],[smoker]]="yes","smoker","non-smoker")</f>
        <v>non-smoker</v>
      </c>
      <c r="F979" s="4" t="s">
        <v>12</v>
      </c>
      <c r="G979" s="5">
        <v>26</v>
      </c>
      <c r="H979" s="5">
        <f>IF(Table13_1[[#This Row],[smoker]]="yes",1,0)</f>
        <v>0</v>
      </c>
      <c r="I979" s="4">
        <v>29.15</v>
      </c>
      <c r="J979" s="4">
        <v>1</v>
      </c>
      <c r="K979" s="12">
        <v>2902.9065000000001</v>
      </c>
      <c r="N979">
        <v>824</v>
      </c>
      <c r="O979">
        <v>9784.0038941331004</v>
      </c>
      <c r="P979">
        <v>-1564.7999941331</v>
      </c>
    </row>
    <row r="980" spans="1:16" x14ac:dyDescent="0.25">
      <c r="A980" s="4" t="s">
        <v>7</v>
      </c>
      <c r="B980" s="4">
        <f>ROUND(Table13_1[[#This Row],[bmi]],1)</f>
        <v>40</v>
      </c>
      <c r="C980" s="4" t="str" cm="1">
        <f t="array" ref="C980">_xlfn.IFS(Table13_1[[#This Row],[Round BMI]]&lt;18.5,"Underweight",AND(Table13_1[[#This Row],[Round BMI]]&gt;=18.5,Table13_1[[#This Row],[Round BMI]] &lt;=24.9),"Healthy Weight",AND(Table13_1[[#This Row],[Round BMI]]&gt;=25,Table13_1[[#This Row],[Round BMI]]&lt;=29.9),"Overweight",Table13_1[[#This Row],[Round BMI]]&gt;=30,"Obese")</f>
        <v>Obese</v>
      </c>
      <c r="D980" s="4" t="s">
        <v>11</v>
      </c>
      <c r="E980" s="4" t="str">
        <f>IF(Table13_1[[#This Row],[smoker]]="yes","smoker","non-smoker")</f>
        <v>non-smoker</v>
      </c>
      <c r="F980" s="4" t="s">
        <v>14</v>
      </c>
      <c r="G980" s="5">
        <v>45</v>
      </c>
      <c r="H980" s="5">
        <f>IF(Table13_1[[#This Row],[smoker]]="yes",1,0)</f>
        <v>0</v>
      </c>
      <c r="I980" s="4">
        <v>39.994999999999997</v>
      </c>
      <c r="J980" s="4">
        <v>3</v>
      </c>
      <c r="K980" s="12">
        <v>9704.6679999999997</v>
      </c>
      <c r="N980">
        <v>825</v>
      </c>
      <c r="O980">
        <v>11195.627178728892</v>
      </c>
      <c r="P980">
        <v>1327.9776212711076</v>
      </c>
    </row>
    <row r="981" spans="1:16" x14ac:dyDescent="0.25">
      <c r="A981" s="4" t="s">
        <v>7</v>
      </c>
      <c r="B981" s="4">
        <f>ROUND(Table13_1[[#This Row],[bmi]],1)</f>
        <v>29.9</v>
      </c>
      <c r="C981" s="4" t="str" cm="1">
        <f t="array" ref="C981">_xlfn.IFS(Table13_1[[#This Row],[Round BMI]]&lt;18.5,"Underweight",AND(Table13_1[[#This Row],[Round BMI]]&gt;=18.5,Table13_1[[#This Row],[Round BMI]] &lt;=24.9),"Healthy Weight",AND(Table13_1[[#This Row],[Round BMI]]&gt;=25,Table13_1[[#This Row],[Round BMI]]&lt;=29.9),"Overweight",Table13_1[[#This Row],[Round BMI]]&gt;=30,"Obese")</f>
        <v>Overweight</v>
      </c>
      <c r="D981" s="4" t="s">
        <v>11</v>
      </c>
      <c r="E981" s="4" t="str">
        <f>IF(Table13_1[[#This Row],[smoker]]="yes","smoker","non-smoker")</f>
        <v>non-smoker</v>
      </c>
      <c r="F981" s="4" t="s">
        <v>12</v>
      </c>
      <c r="G981" s="5">
        <v>36</v>
      </c>
      <c r="H981" s="5">
        <f>IF(Table13_1[[#This Row],[smoker]]="yes",1,0)</f>
        <v>0</v>
      </c>
      <c r="I981" s="4">
        <v>29.92</v>
      </c>
      <c r="J981" s="4">
        <v>0</v>
      </c>
      <c r="K981" s="12">
        <v>4889.0367999999999</v>
      </c>
      <c r="N981">
        <v>826</v>
      </c>
      <c r="O981">
        <v>15589.524617465262</v>
      </c>
      <c r="P981">
        <v>479.56018253473849</v>
      </c>
    </row>
    <row r="982" spans="1:16" x14ac:dyDescent="0.25">
      <c r="A982" s="4" t="s">
        <v>10</v>
      </c>
      <c r="B982" s="4">
        <f>ROUND(Table13_1[[#This Row],[bmi]],1)</f>
        <v>25.5</v>
      </c>
      <c r="C982" s="4" t="str" cm="1">
        <f t="array" ref="C982">_xlfn.IFS(Table13_1[[#This Row],[Round BMI]]&lt;18.5,"Underweight",AND(Table13_1[[#This Row],[Round BMI]]&gt;=18.5,Table13_1[[#This Row],[Round BMI]] &lt;=24.9),"Healthy Weight",AND(Table13_1[[#This Row],[Round BMI]]&gt;=25,Table13_1[[#This Row],[Round BMI]]&lt;=29.9),"Overweight",Table13_1[[#This Row],[Round BMI]]&gt;=30,"Obese")</f>
        <v>Overweight</v>
      </c>
      <c r="D982" s="4" t="s">
        <v>11</v>
      </c>
      <c r="E982" s="4" t="str">
        <f>IF(Table13_1[[#This Row],[smoker]]="yes","smoker","non-smoker")</f>
        <v>non-smoker</v>
      </c>
      <c r="F982" s="4" t="s">
        <v>14</v>
      </c>
      <c r="G982" s="5">
        <v>54</v>
      </c>
      <c r="H982" s="5">
        <f>IF(Table13_1[[#This Row],[smoker]]="yes",1,0)</f>
        <v>0</v>
      </c>
      <c r="I982" s="4">
        <v>25.46</v>
      </c>
      <c r="J982" s="4">
        <v>1</v>
      </c>
      <c r="K982" s="12">
        <v>25517.113600000001</v>
      </c>
      <c r="N982">
        <v>827</v>
      </c>
      <c r="O982">
        <v>37326.863605738494</v>
      </c>
      <c r="P982">
        <v>6487.0024942615055</v>
      </c>
    </row>
    <row r="983" spans="1:16" x14ac:dyDescent="0.25">
      <c r="A983" s="4" t="s">
        <v>10</v>
      </c>
      <c r="B983" s="4">
        <f>ROUND(Table13_1[[#This Row],[bmi]],1)</f>
        <v>21.4</v>
      </c>
      <c r="C983" s="4" t="str" cm="1">
        <f t="array" ref="C983">_xlfn.IFS(Table13_1[[#This Row],[Round BMI]]&lt;18.5,"Underweight",AND(Table13_1[[#This Row],[Round BMI]]&gt;=18.5,Table13_1[[#This Row],[Round BMI]] &lt;=24.9),"Healthy Weight",AND(Table13_1[[#This Row],[Round BMI]]&gt;=25,Table13_1[[#This Row],[Round BMI]]&lt;=29.9),"Overweight",Table13_1[[#This Row],[Round BMI]]&gt;=30,"Obese")</f>
        <v>Healthy Weight</v>
      </c>
      <c r="D983" s="4" t="s">
        <v>11</v>
      </c>
      <c r="E983" s="4" t="str">
        <f>IF(Table13_1[[#This Row],[smoker]]="yes","smoker","non-smoker")</f>
        <v>non-smoker</v>
      </c>
      <c r="F983" s="4" t="s">
        <v>14</v>
      </c>
      <c r="G983" s="5">
        <v>34</v>
      </c>
      <c r="H983" s="5">
        <f>IF(Table13_1[[#This Row],[smoker]]="yes",1,0)</f>
        <v>0</v>
      </c>
      <c r="I983" s="4">
        <v>21.375</v>
      </c>
      <c r="J983" s="4">
        <v>0</v>
      </c>
      <c r="K983" s="12">
        <v>4500.3392000000003</v>
      </c>
      <c r="N983">
        <v>828</v>
      </c>
      <c r="O983">
        <v>30484.600611888385</v>
      </c>
      <c r="P983">
        <v>-9710.9728118883868</v>
      </c>
    </row>
    <row r="984" spans="1:16" x14ac:dyDescent="0.25">
      <c r="A984" s="4" t="s">
        <v>10</v>
      </c>
      <c r="B984" s="4">
        <f>ROUND(Table13_1[[#This Row],[bmi]],1)</f>
        <v>25.9</v>
      </c>
      <c r="C984" s="4" t="str" cm="1">
        <f t="array" ref="C984">_xlfn.IFS(Table13_1[[#This Row],[Round BMI]]&lt;18.5,"Underweight",AND(Table13_1[[#This Row],[Round BMI]]&gt;=18.5,Table13_1[[#This Row],[Round BMI]] &lt;=24.9),"Healthy Weight",AND(Table13_1[[#This Row],[Round BMI]]&gt;=25,Table13_1[[#This Row],[Round BMI]]&lt;=29.9),"Overweight",Table13_1[[#This Row],[Round BMI]]&gt;=30,"Obese")</f>
        <v>Overweight</v>
      </c>
      <c r="D984" s="4" t="s">
        <v>8</v>
      </c>
      <c r="E984" s="4" t="str">
        <f>IF(Table13_1[[#This Row],[smoker]]="yes","smoker","non-smoker")</f>
        <v>smoker</v>
      </c>
      <c r="F984" s="4" t="s">
        <v>9</v>
      </c>
      <c r="G984" s="5">
        <v>31</v>
      </c>
      <c r="H984" s="5">
        <f>IF(Table13_1[[#This Row],[smoker]]="yes",1,0)</f>
        <v>1</v>
      </c>
      <c r="I984" s="4">
        <v>25.9</v>
      </c>
      <c r="J984" s="4">
        <v>3</v>
      </c>
      <c r="K984" s="12">
        <v>19199.944</v>
      </c>
      <c r="N984">
        <v>829</v>
      </c>
      <c r="O984">
        <v>33607.553394459355</v>
      </c>
      <c r="P984">
        <v>5989.8538055406461</v>
      </c>
    </row>
    <row r="985" spans="1:16" x14ac:dyDescent="0.25">
      <c r="A985" s="4" t="s">
        <v>7</v>
      </c>
      <c r="B985" s="4">
        <f>ROUND(Table13_1[[#This Row],[bmi]],1)</f>
        <v>30.6</v>
      </c>
      <c r="C985" s="4" t="str" cm="1">
        <f t="array" ref="C985">_xlfn.IFS(Table13_1[[#This Row],[Round BMI]]&lt;18.5,"Underweight",AND(Table13_1[[#This Row],[Round BMI]]&gt;=18.5,Table13_1[[#This Row],[Round BMI]] &lt;=24.9),"Healthy Weight",AND(Table13_1[[#This Row],[Round BMI]]&gt;=25,Table13_1[[#This Row],[Round BMI]]&lt;=29.9),"Overweight",Table13_1[[#This Row],[Round BMI]]&gt;=30,"Obese")</f>
        <v>Obese</v>
      </c>
      <c r="D985" s="4" t="s">
        <v>11</v>
      </c>
      <c r="E985" s="4" t="str">
        <f>IF(Table13_1[[#This Row],[smoker]]="yes","smoker","non-smoker")</f>
        <v>non-smoker</v>
      </c>
      <c r="F985" s="4" t="s">
        <v>14</v>
      </c>
      <c r="G985" s="5">
        <v>27</v>
      </c>
      <c r="H985" s="5">
        <f>IF(Table13_1[[#This Row],[smoker]]="yes",1,0)</f>
        <v>0</v>
      </c>
      <c r="I985" s="4">
        <v>30.59</v>
      </c>
      <c r="J985" s="4">
        <v>1</v>
      </c>
      <c r="K985" s="12">
        <v>16796.411899999999</v>
      </c>
      <c r="N985">
        <v>830</v>
      </c>
      <c r="O985">
        <v>5459.3168753194468</v>
      </c>
      <c r="P985">
        <v>658.17762468055298</v>
      </c>
    </row>
    <row r="986" spans="1:16" x14ac:dyDescent="0.25">
      <c r="A986" s="4" t="s">
        <v>10</v>
      </c>
      <c r="B986" s="4">
        <f>ROUND(Table13_1[[#This Row],[bmi]],1)</f>
        <v>30.1</v>
      </c>
      <c r="C986" s="4" t="str" cm="1">
        <f t="array" ref="C986">_xlfn.IFS(Table13_1[[#This Row],[Round BMI]]&lt;18.5,"Underweight",AND(Table13_1[[#This Row],[Round BMI]]&gt;=18.5,Table13_1[[#This Row],[Round BMI]] &lt;=24.9),"Healthy Weight",AND(Table13_1[[#This Row],[Round BMI]]&gt;=25,Table13_1[[#This Row],[Round BMI]]&lt;=29.9),"Overweight",Table13_1[[#This Row],[Round BMI]]&gt;=30,"Obese")</f>
        <v>Obese</v>
      </c>
      <c r="D986" s="4" t="s">
        <v>11</v>
      </c>
      <c r="E986" s="4" t="str">
        <f>IF(Table13_1[[#This Row],[smoker]]="yes","smoker","non-smoker")</f>
        <v>non-smoker</v>
      </c>
      <c r="F986" s="4" t="s">
        <v>14</v>
      </c>
      <c r="G986" s="5">
        <v>20</v>
      </c>
      <c r="H986" s="5">
        <f>IF(Table13_1[[#This Row],[smoker]]="yes",1,0)</f>
        <v>0</v>
      </c>
      <c r="I986" s="4">
        <v>30.114999999999998</v>
      </c>
      <c r="J986" s="4">
        <v>5</v>
      </c>
      <c r="K986" s="12">
        <v>4915.0598</v>
      </c>
      <c r="N986">
        <v>831</v>
      </c>
      <c r="O986">
        <v>14795.031017665806</v>
      </c>
      <c r="P986">
        <v>-1401.2750176658064</v>
      </c>
    </row>
    <row r="987" spans="1:16" x14ac:dyDescent="0.25">
      <c r="A987" s="4" t="s">
        <v>7</v>
      </c>
      <c r="B987" s="4">
        <f>ROUND(Table13_1[[#This Row],[bmi]],1)</f>
        <v>25.8</v>
      </c>
      <c r="C987" s="4" t="str" cm="1">
        <f t="array" ref="C987">_xlfn.IFS(Table13_1[[#This Row],[Round BMI]]&lt;18.5,"Underweight",AND(Table13_1[[#This Row],[Round BMI]]&gt;=18.5,Table13_1[[#This Row],[Round BMI]] &lt;=24.9),"Healthy Weight",AND(Table13_1[[#This Row],[Round BMI]]&gt;=25,Table13_1[[#This Row],[Round BMI]]&lt;=29.9),"Overweight",Table13_1[[#This Row],[Round BMI]]&gt;=30,"Obese")</f>
        <v>Overweight</v>
      </c>
      <c r="D987" s="4" t="s">
        <v>11</v>
      </c>
      <c r="E987" s="4" t="str">
        <f>IF(Table13_1[[#This Row],[smoker]]="yes","smoker","non-smoker")</f>
        <v>non-smoker</v>
      </c>
      <c r="F987" s="4" t="s">
        <v>9</v>
      </c>
      <c r="G987" s="5">
        <v>44</v>
      </c>
      <c r="H987" s="5">
        <f>IF(Table13_1[[#This Row],[smoker]]="yes",1,0)</f>
        <v>0</v>
      </c>
      <c r="I987" s="4">
        <v>25.8</v>
      </c>
      <c r="J987" s="4">
        <v>1</v>
      </c>
      <c r="K987" s="12">
        <v>7624.63</v>
      </c>
      <c r="N987">
        <v>832</v>
      </c>
      <c r="O987">
        <v>5496.4531351189926</v>
      </c>
      <c r="P987">
        <v>-230.08753511899249</v>
      </c>
    </row>
    <row r="988" spans="1:16" x14ac:dyDescent="0.25">
      <c r="A988" s="4" t="s">
        <v>10</v>
      </c>
      <c r="B988" s="4">
        <f>ROUND(Table13_1[[#This Row],[bmi]],1)</f>
        <v>30.1</v>
      </c>
      <c r="C988" s="4" t="str" cm="1">
        <f t="array" ref="C988">_xlfn.IFS(Table13_1[[#This Row],[Round BMI]]&lt;18.5,"Underweight",AND(Table13_1[[#This Row],[Round BMI]]&gt;=18.5,Table13_1[[#This Row],[Round BMI]] &lt;=24.9),"Healthy Weight",AND(Table13_1[[#This Row],[Round BMI]]&gt;=25,Table13_1[[#This Row],[Round BMI]]&lt;=29.9),"Overweight",Table13_1[[#This Row],[Round BMI]]&gt;=30,"Obese")</f>
        <v>Obese</v>
      </c>
      <c r="D988" s="4" t="s">
        <v>11</v>
      </c>
      <c r="E988" s="4" t="str">
        <f>IF(Table13_1[[#This Row],[smoker]]="yes","smoker","non-smoker")</f>
        <v>non-smoker</v>
      </c>
      <c r="F988" s="4" t="s">
        <v>13</v>
      </c>
      <c r="G988" s="5">
        <v>43</v>
      </c>
      <c r="H988" s="5">
        <f>IF(Table13_1[[#This Row],[smoker]]="yes",1,0)</f>
        <v>0</v>
      </c>
      <c r="I988" s="4">
        <v>30.114999999999998</v>
      </c>
      <c r="J988" s="4">
        <v>3</v>
      </c>
      <c r="K988" s="12">
        <v>8410.0468000000001</v>
      </c>
      <c r="N988">
        <v>833</v>
      </c>
      <c r="O988">
        <v>3738.5681588995731</v>
      </c>
      <c r="P988">
        <v>981.16844110042712</v>
      </c>
    </row>
    <row r="989" spans="1:16" x14ac:dyDescent="0.25">
      <c r="A989" s="4" t="s">
        <v>7</v>
      </c>
      <c r="B989" s="4">
        <f>ROUND(Table13_1[[#This Row],[bmi]],1)</f>
        <v>27.6</v>
      </c>
      <c r="C989" s="4" t="str" cm="1">
        <f t="array" ref="C989">_xlfn.IFS(Table13_1[[#This Row],[Round BMI]]&lt;18.5,"Underweight",AND(Table13_1[[#This Row],[Round BMI]]&gt;=18.5,Table13_1[[#This Row],[Round BMI]] &lt;=24.9),"Healthy Weight",AND(Table13_1[[#This Row],[Round BMI]]&gt;=25,Table13_1[[#This Row],[Round BMI]]&lt;=29.9),"Overweight",Table13_1[[#This Row],[Round BMI]]&gt;=30,"Obese")</f>
        <v>Overweight</v>
      </c>
      <c r="D989" s="4" t="s">
        <v>11</v>
      </c>
      <c r="E989" s="4" t="str">
        <f>IF(Table13_1[[#This Row],[smoker]]="yes","smoker","non-smoker")</f>
        <v>non-smoker</v>
      </c>
      <c r="F989" s="4" t="s">
        <v>13</v>
      </c>
      <c r="G989" s="5">
        <v>45</v>
      </c>
      <c r="H989" s="5">
        <f>IF(Table13_1[[#This Row],[smoker]]="yes",1,0)</f>
        <v>0</v>
      </c>
      <c r="I989" s="4">
        <v>27.645</v>
      </c>
      <c r="J989" s="4">
        <v>1</v>
      </c>
      <c r="K989" s="12">
        <v>28340.1888</v>
      </c>
      <c r="N989">
        <v>834</v>
      </c>
      <c r="O989">
        <v>13920.97179067919</v>
      </c>
      <c r="P989">
        <v>-2177.0376906791898</v>
      </c>
    </row>
    <row r="990" spans="1:16" x14ac:dyDescent="0.25">
      <c r="A990" s="4" t="s">
        <v>10</v>
      </c>
      <c r="B990" s="4">
        <f>ROUND(Table13_1[[#This Row],[bmi]],1)</f>
        <v>34.700000000000003</v>
      </c>
      <c r="C990" s="4" t="str" cm="1">
        <f t="array" ref="C990">_xlfn.IFS(Table13_1[[#This Row],[Round BMI]]&lt;18.5,"Underweight",AND(Table13_1[[#This Row],[Round BMI]]&gt;=18.5,Table13_1[[#This Row],[Round BMI]] &lt;=24.9),"Healthy Weight",AND(Table13_1[[#This Row],[Round BMI]]&gt;=25,Table13_1[[#This Row],[Round BMI]]&lt;=29.9),"Overweight",Table13_1[[#This Row],[Round BMI]]&gt;=30,"Obese")</f>
        <v>Obese</v>
      </c>
      <c r="D990" s="4" t="s">
        <v>11</v>
      </c>
      <c r="E990" s="4" t="str">
        <f>IF(Table13_1[[#This Row],[smoker]]="yes","smoker","non-smoker")</f>
        <v>non-smoker</v>
      </c>
      <c r="F990" s="4" t="s">
        <v>14</v>
      </c>
      <c r="G990" s="5">
        <v>34</v>
      </c>
      <c r="H990" s="5">
        <f>IF(Table13_1[[#This Row],[smoker]]="yes",1,0)</f>
        <v>0</v>
      </c>
      <c r="I990" s="4">
        <v>34.674999999999997</v>
      </c>
      <c r="J990" s="4">
        <v>0</v>
      </c>
      <c r="K990" s="12">
        <v>4518.8262000000004</v>
      </c>
      <c r="N990">
        <v>835</v>
      </c>
      <c r="O990">
        <v>8538.3296453376934</v>
      </c>
      <c r="P990">
        <v>-3160.8718453376932</v>
      </c>
    </row>
    <row r="991" spans="1:16" x14ac:dyDescent="0.25">
      <c r="A991" s="4" t="s">
        <v>7</v>
      </c>
      <c r="B991" s="4">
        <f>ROUND(Table13_1[[#This Row],[bmi]],1)</f>
        <v>20.5</v>
      </c>
      <c r="C991" s="4" t="str" cm="1">
        <f t="array" ref="C991">_xlfn.IFS(Table13_1[[#This Row],[Round BMI]]&lt;18.5,"Underweight",AND(Table13_1[[#This Row],[Round BMI]]&gt;=18.5,Table13_1[[#This Row],[Round BMI]] &lt;=24.9),"Healthy Weight",AND(Table13_1[[#This Row],[Round BMI]]&gt;=25,Table13_1[[#This Row],[Round BMI]]&lt;=29.9),"Overweight",Table13_1[[#This Row],[Round BMI]]&gt;=30,"Obese")</f>
        <v>Healthy Weight</v>
      </c>
      <c r="D991" s="4" t="s">
        <v>8</v>
      </c>
      <c r="E991" s="4" t="str">
        <f>IF(Table13_1[[#This Row],[smoker]]="yes","smoker","non-smoker")</f>
        <v>smoker</v>
      </c>
      <c r="F991" s="4" t="s">
        <v>14</v>
      </c>
      <c r="G991" s="5">
        <v>24</v>
      </c>
      <c r="H991" s="5">
        <f>IF(Table13_1[[#This Row],[smoker]]="yes",1,0)</f>
        <v>1</v>
      </c>
      <c r="I991" s="4">
        <v>20.52</v>
      </c>
      <c r="J991" s="4">
        <v>0</v>
      </c>
      <c r="K991" s="12">
        <v>14571.890799999999</v>
      </c>
      <c r="N991">
        <v>836</v>
      </c>
      <c r="O991">
        <v>11250.909520974257</v>
      </c>
      <c r="P991">
        <v>-4090.5792209742576</v>
      </c>
    </row>
    <row r="992" spans="1:16" x14ac:dyDescent="0.25">
      <c r="A992" s="4" t="s">
        <v>7</v>
      </c>
      <c r="B992" s="4">
        <f>ROUND(Table13_1[[#This Row],[bmi]],1)</f>
        <v>19.8</v>
      </c>
      <c r="C992" s="4" t="str" cm="1">
        <f t="array" ref="C992">_xlfn.IFS(Table13_1[[#This Row],[Round BMI]]&lt;18.5,"Underweight",AND(Table13_1[[#This Row],[Round BMI]]&gt;=18.5,Table13_1[[#This Row],[Round BMI]] &lt;=24.9),"Healthy Weight",AND(Table13_1[[#This Row],[Round BMI]]&gt;=25,Table13_1[[#This Row],[Round BMI]]&lt;=29.9),"Overweight",Table13_1[[#This Row],[Round BMI]]&gt;=30,"Obese")</f>
        <v>Healthy Weight</v>
      </c>
      <c r="D992" s="4" t="s">
        <v>11</v>
      </c>
      <c r="E992" s="4" t="str">
        <f>IF(Table13_1[[#This Row],[smoker]]="yes","smoker","non-smoker")</f>
        <v>non-smoker</v>
      </c>
      <c r="F992" s="4" t="s">
        <v>9</v>
      </c>
      <c r="G992" s="5">
        <v>26</v>
      </c>
      <c r="H992" s="5">
        <f>IF(Table13_1[[#This Row],[smoker]]="yes",1,0)</f>
        <v>0</v>
      </c>
      <c r="I992" s="4">
        <v>19.8</v>
      </c>
      <c r="J992" s="4">
        <v>1</v>
      </c>
      <c r="K992" s="12">
        <v>3378.91</v>
      </c>
      <c r="N992">
        <v>837</v>
      </c>
      <c r="O992">
        <v>7318.1320752002557</v>
      </c>
      <c r="P992">
        <v>-2915.8990752002555</v>
      </c>
    </row>
    <row r="993" spans="1:16" x14ac:dyDescent="0.25">
      <c r="A993" s="4" t="s">
        <v>7</v>
      </c>
      <c r="B993" s="4">
        <f>ROUND(Table13_1[[#This Row],[bmi]],1)</f>
        <v>27.8</v>
      </c>
      <c r="C993" s="4" t="str" cm="1">
        <f t="array" ref="C993">_xlfn.IFS(Table13_1[[#This Row],[Round BMI]]&lt;18.5,"Underweight",AND(Table13_1[[#This Row],[Round BMI]]&gt;=18.5,Table13_1[[#This Row],[Round BMI]] &lt;=24.9),"Healthy Weight",AND(Table13_1[[#This Row],[Round BMI]]&gt;=25,Table13_1[[#This Row],[Round BMI]]&lt;=29.9),"Overweight",Table13_1[[#This Row],[Round BMI]]&gt;=30,"Obese")</f>
        <v>Overweight</v>
      </c>
      <c r="D993" s="4" t="s">
        <v>11</v>
      </c>
      <c r="E993" s="4" t="str">
        <f>IF(Table13_1[[#This Row],[smoker]]="yes","smoker","non-smoker")</f>
        <v>non-smoker</v>
      </c>
      <c r="F993" s="4" t="s">
        <v>14</v>
      </c>
      <c r="G993" s="5">
        <v>38</v>
      </c>
      <c r="H993" s="5">
        <f>IF(Table13_1[[#This Row],[smoker]]="yes",1,0)</f>
        <v>0</v>
      </c>
      <c r="I993" s="4">
        <v>27.835000000000001</v>
      </c>
      <c r="J993" s="4">
        <v>2</v>
      </c>
      <c r="K993" s="12">
        <v>7144.8626000000004</v>
      </c>
      <c r="N993">
        <v>838</v>
      </c>
      <c r="O993">
        <v>11448.416246743907</v>
      </c>
      <c r="P993">
        <v>209.30265325609253</v>
      </c>
    </row>
    <row r="994" spans="1:16" x14ac:dyDescent="0.25">
      <c r="A994" s="4" t="s">
        <v>7</v>
      </c>
      <c r="B994" s="4">
        <f>ROUND(Table13_1[[#This Row],[bmi]],1)</f>
        <v>31.6</v>
      </c>
      <c r="C994" s="4" t="str" cm="1">
        <f t="array" ref="C994">_xlfn.IFS(Table13_1[[#This Row],[Round BMI]]&lt;18.5,"Underweight",AND(Table13_1[[#This Row],[Round BMI]]&gt;=18.5,Table13_1[[#This Row],[Round BMI]] &lt;=24.9),"Healthy Weight",AND(Table13_1[[#This Row],[Round BMI]]&gt;=25,Table13_1[[#This Row],[Round BMI]]&lt;=29.9),"Overweight",Table13_1[[#This Row],[Round BMI]]&gt;=30,"Obese")</f>
        <v>Obese</v>
      </c>
      <c r="D994" s="4" t="s">
        <v>11</v>
      </c>
      <c r="E994" s="4" t="str">
        <f>IF(Table13_1[[#This Row],[smoker]]="yes","smoker","non-smoker")</f>
        <v>non-smoker</v>
      </c>
      <c r="F994" s="4" t="s">
        <v>9</v>
      </c>
      <c r="G994" s="5">
        <v>50</v>
      </c>
      <c r="H994" s="5">
        <f>IF(Table13_1[[#This Row],[smoker]]="yes",1,0)</f>
        <v>0</v>
      </c>
      <c r="I994" s="4">
        <v>31.6</v>
      </c>
      <c r="J994" s="4">
        <v>2</v>
      </c>
      <c r="K994" s="12">
        <v>10118.424000000001</v>
      </c>
      <c r="N994">
        <v>839</v>
      </c>
      <c r="O994">
        <v>5421.2111771324044</v>
      </c>
      <c r="P994">
        <v>981.08022286759569</v>
      </c>
    </row>
    <row r="995" spans="1:16" x14ac:dyDescent="0.25">
      <c r="A995" s="4" t="s">
        <v>10</v>
      </c>
      <c r="B995" s="4">
        <f>ROUND(Table13_1[[#This Row],[bmi]],1)</f>
        <v>28.3</v>
      </c>
      <c r="C995" s="4" t="str" cm="1">
        <f t="array" ref="C995">_xlfn.IFS(Table13_1[[#This Row],[Round BMI]]&lt;18.5,"Underweight",AND(Table13_1[[#This Row],[Round BMI]]&gt;=18.5,Table13_1[[#This Row],[Round BMI]] &lt;=24.9),"Healthy Weight",AND(Table13_1[[#This Row],[Round BMI]]&gt;=25,Table13_1[[#This Row],[Round BMI]]&lt;=29.9),"Overweight",Table13_1[[#This Row],[Round BMI]]&gt;=30,"Obese")</f>
        <v>Overweight</v>
      </c>
      <c r="D995" s="4" t="s">
        <v>11</v>
      </c>
      <c r="E995" s="4" t="str">
        <f>IF(Table13_1[[#This Row],[smoker]]="yes","smoker","non-smoker")</f>
        <v>non-smoker</v>
      </c>
      <c r="F995" s="4" t="s">
        <v>12</v>
      </c>
      <c r="G995" s="5">
        <v>38</v>
      </c>
      <c r="H995" s="5">
        <f>IF(Table13_1[[#This Row],[smoker]]="yes",1,0)</f>
        <v>0</v>
      </c>
      <c r="I995" s="4">
        <v>28.27</v>
      </c>
      <c r="J995" s="4">
        <v>1</v>
      </c>
      <c r="K995" s="12">
        <v>5484.4673000000003</v>
      </c>
      <c r="N995">
        <v>840</v>
      </c>
      <c r="O995">
        <v>13200.393033372262</v>
      </c>
      <c r="P995">
        <v>-578.21353337226174</v>
      </c>
    </row>
    <row r="996" spans="1:16" x14ac:dyDescent="0.25">
      <c r="A996" s="4" t="s">
        <v>7</v>
      </c>
      <c r="B996" s="4">
        <f>ROUND(Table13_1[[#This Row],[bmi]],1)</f>
        <v>20</v>
      </c>
      <c r="C996" s="4" t="str" cm="1">
        <f t="array" ref="C996">_xlfn.IFS(Table13_1[[#This Row],[Round BMI]]&lt;18.5,"Underweight",AND(Table13_1[[#This Row],[Round BMI]]&gt;=18.5,Table13_1[[#This Row],[Round BMI]] &lt;=24.9),"Healthy Weight",AND(Table13_1[[#This Row],[Round BMI]]&gt;=25,Table13_1[[#This Row],[Round BMI]]&lt;=29.9),"Overweight",Table13_1[[#This Row],[Round BMI]]&gt;=30,"Obese")</f>
        <v>Healthy Weight</v>
      </c>
      <c r="D996" s="4" t="s">
        <v>8</v>
      </c>
      <c r="E996" s="4" t="str">
        <f>IF(Table13_1[[#This Row],[smoker]]="yes","smoker","non-smoker")</f>
        <v>smoker</v>
      </c>
      <c r="F996" s="4" t="s">
        <v>13</v>
      </c>
      <c r="G996" s="5">
        <v>27</v>
      </c>
      <c r="H996" s="5">
        <f>IF(Table13_1[[#This Row],[smoker]]="yes",1,0)</f>
        <v>1</v>
      </c>
      <c r="I996" s="4">
        <v>20.045000000000002</v>
      </c>
      <c r="J996" s="4">
        <v>3</v>
      </c>
      <c r="K996" s="12">
        <v>16420.494600000002</v>
      </c>
      <c r="N996">
        <v>841</v>
      </c>
      <c r="O996">
        <v>3321.6489041084315</v>
      </c>
      <c r="P996">
        <v>-1795.3369041084316</v>
      </c>
    </row>
    <row r="997" spans="1:16" x14ac:dyDescent="0.25">
      <c r="A997" s="4" t="s">
        <v>7</v>
      </c>
      <c r="B997" s="4">
        <f>ROUND(Table13_1[[#This Row],[bmi]],1)</f>
        <v>23.3</v>
      </c>
      <c r="C997" s="4" t="str" cm="1">
        <f t="array" ref="C997">_xlfn.IFS(Table13_1[[#This Row],[Round BMI]]&lt;18.5,"Underweight",AND(Table13_1[[#This Row],[Round BMI]]&gt;=18.5,Table13_1[[#This Row],[Round BMI]] &lt;=24.9),"Healthy Weight",AND(Table13_1[[#This Row],[Round BMI]]&gt;=25,Table13_1[[#This Row],[Round BMI]]&lt;=29.9),"Overweight",Table13_1[[#This Row],[Round BMI]]&gt;=30,"Obese")</f>
        <v>Healthy Weight</v>
      </c>
      <c r="D997" s="4" t="s">
        <v>11</v>
      </c>
      <c r="E997" s="4" t="str">
        <f>IF(Table13_1[[#This Row],[smoker]]="yes","smoker","non-smoker")</f>
        <v>non-smoker</v>
      </c>
      <c r="F997" s="4" t="s">
        <v>14</v>
      </c>
      <c r="G997" s="5">
        <v>39</v>
      </c>
      <c r="H997" s="5">
        <f>IF(Table13_1[[#This Row],[smoker]]="yes",1,0)</f>
        <v>0</v>
      </c>
      <c r="I997" s="4">
        <v>23.274999999999999</v>
      </c>
      <c r="J997" s="4">
        <v>3</v>
      </c>
      <c r="K997" s="12">
        <v>7986.4751999999999</v>
      </c>
      <c r="N997">
        <v>842</v>
      </c>
      <c r="O997">
        <v>11060.081204478198</v>
      </c>
      <c r="P997">
        <v>1263.8547955218019</v>
      </c>
    </row>
    <row r="998" spans="1:16" x14ac:dyDescent="0.25">
      <c r="A998" s="4" t="s">
        <v>7</v>
      </c>
      <c r="B998" s="4">
        <f>ROUND(Table13_1[[#This Row],[bmi]],1)</f>
        <v>34.1</v>
      </c>
      <c r="C998" s="4" t="str" cm="1">
        <f t="array" ref="C998">_xlfn.IFS(Table13_1[[#This Row],[Round BMI]]&lt;18.5,"Underweight",AND(Table13_1[[#This Row],[Round BMI]]&gt;=18.5,Table13_1[[#This Row],[Round BMI]] &lt;=24.9),"Healthy Weight",AND(Table13_1[[#This Row],[Round BMI]]&gt;=25,Table13_1[[#This Row],[Round BMI]]&lt;=29.9),"Overweight",Table13_1[[#This Row],[Round BMI]]&gt;=30,"Obese")</f>
        <v>Obese</v>
      </c>
      <c r="D998" s="4" t="s">
        <v>11</v>
      </c>
      <c r="E998" s="4" t="str">
        <f>IF(Table13_1[[#This Row],[smoker]]="yes","smoker","non-smoker")</f>
        <v>non-smoker</v>
      </c>
      <c r="F998" s="4" t="s">
        <v>9</v>
      </c>
      <c r="G998" s="5">
        <v>39</v>
      </c>
      <c r="H998" s="5">
        <f>IF(Table13_1[[#This Row],[smoker]]="yes",1,0)</f>
        <v>0</v>
      </c>
      <c r="I998" s="4">
        <v>34.1</v>
      </c>
      <c r="J998" s="4">
        <v>3</v>
      </c>
      <c r="K998" s="12">
        <v>7418.5219999999999</v>
      </c>
      <c r="N998">
        <v>843</v>
      </c>
      <c r="O998">
        <v>29136.46275264955</v>
      </c>
      <c r="P998">
        <v>6884.5484473504512</v>
      </c>
    </row>
    <row r="999" spans="1:16" x14ac:dyDescent="0.25">
      <c r="A999" s="4" t="s">
        <v>7</v>
      </c>
      <c r="B999" s="4">
        <f>ROUND(Table13_1[[#This Row],[bmi]],1)</f>
        <v>36.9</v>
      </c>
      <c r="C999" s="4" t="str" cm="1">
        <f t="array" ref="C999">_xlfn.IFS(Table13_1[[#This Row],[Round BMI]]&lt;18.5,"Underweight",AND(Table13_1[[#This Row],[Round BMI]]&gt;=18.5,Table13_1[[#This Row],[Round BMI]] &lt;=24.9),"Healthy Weight",AND(Table13_1[[#This Row],[Round BMI]]&gt;=25,Table13_1[[#This Row],[Round BMI]]&lt;=29.9),"Overweight",Table13_1[[#This Row],[Round BMI]]&gt;=30,"Obese")</f>
        <v>Obese</v>
      </c>
      <c r="D999" s="4" t="s">
        <v>11</v>
      </c>
      <c r="E999" s="4" t="str">
        <f>IF(Table13_1[[#This Row],[smoker]]="yes","smoker","non-smoker")</f>
        <v>non-smoker</v>
      </c>
      <c r="F999" s="4" t="s">
        <v>12</v>
      </c>
      <c r="G999" s="5">
        <v>63</v>
      </c>
      <c r="H999" s="5">
        <f>IF(Table13_1[[#This Row],[smoker]]="yes",1,0)</f>
        <v>0</v>
      </c>
      <c r="I999" s="4">
        <v>36.85</v>
      </c>
      <c r="J999" s="4">
        <v>0</v>
      </c>
      <c r="K999" s="12">
        <v>13887.968500000001</v>
      </c>
      <c r="N999">
        <v>844</v>
      </c>
      <c r="O999">
        <v>36000.442704351604</v>
      </c>
      <c r="P999">
        <v>-8466.529804351605</v>
      </c>
    </row>
    <row r="1000" spans="1:16" x14ac:dyDescent="0.25">
      <c r="A1000" s="4" t="s">
        <v>7</v>
      </c>
      <c r="B1000" s="4">
        <f>ROUND(Table13_1[[#This Row],[bmi]],1)</f>
        <v>36.299999999999997</v>
      </c>
      <c r="C1000" s="4" t="str" cm="1">
        <f t="array" ref="C1000">_xlfn.IFS(Table13_1[[#This Row],[Round BMI]]&lt;18.5,"Underweight",AND(Table13_1[[#This Row],[Round BMI]]&gt;=18.5,Table13_1[[#This Row],[Round BMI]] &lt;=24.9),"Healthy Weight",AND(Table13_1[[#This Row],[Round BMI]]&gt;=25,Table13_1[[#This Row],[Round BMI]]&lt;=29.9),"Overweight",Table13_1[[#This Row],[Round BMI]]&gt;=30,"Obese")</f>
        <v>Obese</v>
      </c>
      <c r="D1000" s="4" t="s">
        <v>11</v>
      </c>
      <c r="E1000" s="4" t="str">
        <f>IF(Table13_1[[#This Row],[smoker]]="yes","smoker","non-smoker")</f>
        <v>non-smoker</v>
      </c>
      <c r="F1000" s="4" t="s">
        <v>14</v>
      </c>
      <c r="G1000" s="5">
        <v>33</v>
      </c>
      <c r="H1000" s="5">
        <f>IF(Table13_1[[#This Row],[smoker]]="yes",1,0)</f>
        <v>0</v>
      </c>
      <c r="I1000" s="4">
        <v>36.29</v>
      </c>
      <c r="J1000" s="4">
        <v>3</v>
      </c>
      <c r="K1000" s="12">
        <v>6551.7501000000002</v>
      </c>
      <c r="N1000">
        <v>845</v>
      </c>
      <c r="O1000">
        <v>11378.113039960888</v>
      </c>
      <c r="P1000">
        <v>-1306.058039960888</v>
      </c>
    </row>
    <row r="1001" spans="1:16" x14ac:dyDescent="0.25">
      <c r="A1001" s="4" t="s">
        <v>7</v>
      </c>
      <c r="B1001" s="4">
        <f>ROUND(Table13_1[[#This Row],[bmi]],1)</f>
        <v>26.9</v>
      </c>
      <c r="C1001" s="4" t="str" cm="1">
        <f t="array" ref="C1001">_xlfn.IFS(Table13_1[[#This Row],[Round BMI]]&lt;18.5,"Underweight",AND(Table13_1[[#This Row],[Round BMI]]&gt;=18.5,Table13_1[[#This Row],[Round BMI]] &lt;=24.9),"Healthy Weight",AND(Table13_1[[#This Row],[Round BMI]]&gt;=25,Table13_1[[#This Row],[Round BMI]]&lt;=29.9),"Overweight",Table13_1[[#This Row],[Round BMI]]&gt;=30,"Obese")</f>
        <v>Overweight</v>
      </c>
      <c r="D1001" s="4" t="s">
        <v>11</v>
      </c>
      <c r="E1001" s="4" t="str">
        <f>IF(Table13_1[[#This Row],[smoker]]="yes","smoker","non-smoker")</f>
        <v>non-smoker</v>
      </c>
      <c r="F1001" s="4" t="s">
        <v>13</v>
      </c>
      <c r="G1001" s="5">
        <v>36</v>
      </c>
      <c r="H1001" s="5">
        <f>IF(Table13_1[[#This Row],[smoker]]="yes",1,0)</f>
        <v>0</v>
      </c>
      <c r="I1001" s="4">
        <v>26.885000000000002</v>
      </c>
      <c r="J1001" s="4">
        <v>0</v>
      </c>
      <c r="K1001" s="12">
        <v>5267.8181999999997</v>
      </c>
      <c r="N1001">
        <v>846</v>
      </c>
      <c r="O1001">
        <v>37623.678929843474</v>
      </c>
      <c r="P1001">
        <v>7385.2765701565222</v>
      </c>
    </row>
    <row r="1002" spans="1:16" x14ac:dyDescent="0.25">
      <c r="A1002" s="4" t="s">
        <v>10</v>
      </c>
      <c r="B1002" s="4">
        <f>ROUND(Table13_1[[#This Row],[bmi]],1)</f>
        <v>23</v>
      </c>
      <c r="C1002" s="4" t="str" cm="1">
        <f t="array" ref="C1002">_xlfn.IFS(Table13_1[[#This Row],[Round BMI]]&lt;18.5,"Underweight",AND(Table13_1[[#This Row],[Round BMI]]&gt;=18.5,Table13_1[[#This Row],[Round BMI]] &lt;=24.9),"Healthy Weight",AND(Table13_1[[#This Row],[Round BMI]]&gt;=25,Table13_1[[#This Row],[Round BMI]]&lt;=29.9),"Overweight",Table13_1[[#This Row],[Round BMI]]&gt;=30,"Obese")</f>
        <v>Healthy Weight</v>
      </c>
      <c r="D1002" s="4" t="s">
        <v>8</v>
      </c>
      <c r="E1002" s="4" t="str">
        <f>IF(Table13_1[[#This Row],[smoker]]="yes","smoker","non-smoker")</f>
        <v>smoker</v>
      </c>
      <c r="F1002" s="4" t="s">
        <v>13</v>
      </c>
      <c r="G1002" s="5">
        <v>30</v>
      </c>
      <c r="H1002" s="5">
        <f>IF(Table13_1[[#This Row],[smoker]]="yes",1,0)</f>
        <v>1</v>
      </c>
      <c r="I1002" s="4">
        <v>22.99</v>
      </c>
      <c r="J1002" s="4">
        <v>2</v>
      </c>
      <c r="K1002" s="12">
        <v>17361.766100000001</v>
      </c>
      <c r="N1002">
        <v>847</v>
      </c>
      <c r="O1002">
        <v>12528.375788372692</v>
      </c>
      <c r="P1002">
        <v>-2655.674788372693</v>
      </c>
    </row>
    <row r="1003" spans="1:16" x14ac:dyDescent="0.25">
      <c r="A1003" s="4" t="s">
        <v>10</v>
      </c>
      <c r="B1003" s="4">
        <f>ROUND(Table13_1[[#This Row],[bmi]],1)</f>
        <v>32.700000000000003</v>
      </c>
      <c r="C1003" s="4" t="str" cm="1">
        <f t="array" ref="C1003">_xlfn.IFS(Table13_1[[#This Row],[Round BMI]]&lt;18.5,"Underweight",AND(Table13_1[[#This Row],[Round BMI]]&gt;=18.5,Table13_1[[#This Row],[Round BMI]] &lt;=24.9),"Healthy Weight",AND(Table13_1[[#This Row],[Round BMI]]&gt;=25,Table13_1[[#This Row],[Round BMI]]&lt;=29.9),"Overweight",Table13_1[[#This Row],[Round BMI]]&gt;=30,"Obese")</f>
        <v>Obese</v>
      </c>
      <c r="D1003" s="4" t="s">
        <v>8</v>
      </c>
      <c r="E1003" s="4" t="str">
        <f>IF(Table13_1[[#This Row],[smoker]]="yes","smoker","non-smoker")</f>
        <v>smoker</v>
      </c>
      <c r="F1003" s="4" t="s">
        <v>9</v>
      </c>
      <c r="G1003" s="5">
        <v>24</v>
      </c>
      <c r="H1003" s="5">
        <f>IF(Table13_1[[#This Row],[smoker]]="yes",1,0)</f>
        <v>1</v>
      </c>
      <c r="I1003" s="4">
        <v>32.700000000000003</v>
      </c>
      <c r="J1003" s="4">
        <v>0</v>
      </c>
      <c r="K1003" s="12">
        <v>34472.841</v>
      </c>
      <c r="N1003">
        <v>848</v>
      </c>
      <c r="O1003">
        <v>10516.145281093544</v>
      </c>
      <c r="P1003">
        <v>-8078.0900810935445</v>
      </c>
    </row>
    <row r="1004" spans="1:16" x14ac:dyDescent="0.25">
      <c r="A1004" s="4" t="s">
        <v>10</v>
      </c>
      <c r="B1004" s="4">
        <f>ROUND(Table13_1[[#This Row],[bmi]],1)</f>
        <v>25.8</v>
      </c>
      <c r="C1004" s="4" t="str" cm="1">
        <f t="array" ref="C1004">_xlfn.IFS(Table13_1[[#This Row],[Round BMI]]&lt;18.5,"Underweight",AND(Table13_1[[#This Row],[Round BMI]]&gt;=18.5,Table13_1[[#This Row],[Round BMI]] &lt;=24.9),"Healthy Weight",AND(Table13_1[[#This Row],[Round BMI]]&gt;=25,Table13_1[[#This Row],[Round BMI]]&lt;=29.9),"Overweight",Table13_1[[#This Row],[Round BMI]]&gt;=30,"Obese")</f>
        <v>Overweight</v>
      </c>
      <c r="D1004" s="4" t="s">
        <v>11</v>
      </c>
      <c r="E1004" s="4" t="str">
        <f>IF(Table13_1[[#This Row],[smoker]]="yes","smoker","non-smoker")</f>
        <v>non-smoker</v>
      </c>
      <c r="F1004" s="4" t="s">
        <v>9</v>
      </c>
      <c r="G1004" s="5">
        <v>24</v>
      </c>
      <c r="H1004" s="5">
        <f>IF(Table13_1[[#This Row],[smoker]]="yes",1,0)</f>
        <v>0</v>
      </c>
      <c r="I1004" s="4">
        <v>25.8</v>
      </c>
      <c r="J1004" s="4">
        <v>0</v>
      </c>
      <c r="K1004" s="12">
        <v>1972.95</v>
      </c>
      <c r="N1004">
        <v>849</v>
      </c>
      <c r="O1004">
        <v>2615.7861282020795</v>
      </c>
      <c r="P1004">
        <v>358.33987179792075</v>
      </c>
    </row>
    <row r="1005" spans="1:16" x14ac:dyDescent="0.25">
      <c r="A1005" s="4" t="s">
        <v>10</v>
      </c>
      <c r="B1005" s="4">
        <f>ROUND(Table13_1[[#This Row],[bmi]],1)</f>
        <v>29.6</v>
      </c>
      <c r="C1005" s="4" t="str" cm="1">
        <f t="array" ref="C1005">_xlfn.IFS(Table13_1[[#This Row],[Round BMI]]&lt;18.5,"Underweight",AND(Table13_1[[#This Row],[Round BMI]]&gt;=18.5,Table13_1[[#This Row],[Round BMI]] &lt;=24.9),"Healthy Weight",AND(Table13_1[[#This Row],[Round BMI]]&gt;=25,Table13_1[[#This Row],[Round BMI]]&lt;=29.9),"Overweight",Table13_1[[#This Row],[Round BMI]]&gt;=30,"Obese")</f>
        <v>Overweight</v>
      </c>
      <c r="D1005" s="4" t="s">
        <v>11</v>
      </c>
      <c r="E1005" s="4" t="str">
        <f>IF(Table13_1[[#This Row],[smoker]]="yes","smoker","non-smoker")</f>
        <v>non-smoker</v>
      </c>
      <c r="F1005" s="4" t="s">
        <v>9</v>
      </c>
      <c r="G1005" s="5">
        <v>48</v>
      </c>
      <c r="H1005" s="5">
        <f>IF(Table13_1[[#This Row],[smoker]]="yes",1,0)</f>
        <v>0</v>
      </c>
      <c r="I1005" s="4">
        <v>29.6</v>
      </c>
      <c r="J1005" s="4">
        <v>0</v>
      </c>
      <c r="K1005" s="12">
        <v>21232.1823</v>
      </c>
      <c r="N1005">
        <v>850</v>
      </c>
      <c r="O1005">
        <v>12627.633253099564</v>
      </c>
      <c r="P1005">
        <v>-2026.0010530995642</v>
      </c>
    </row>
    <row r="1006" spans="1:16" x14ac:dyDescent="0.25">
      <c r="A1006" s="4" t="s">
        <v>10</v>
      </c>
      <c r="B1006" s="4">
        <f>ROUND(Table13_1[[#This Row],[bmi]],1)</f>
        <v>19.2</v>
      </c>
      <c r="C1006" s="4" t="str" cm="1">
        <f t="array" ref="C1006">_xlfn.IFS(Table13_1[[#This Row],[Round BMI]]&lt;18.5,"Underweight",AND(Table13_1[[#This Row],[Round BMI]]&gt;=18.5,Table13_1[[#This Row],[Round BMI]] &lt;=24.9),"Healthy Weight",AND(Table13_1[[#This Row],[Round BMI]]&gt;=25,Table13_1[[#This Row],[Round BMI]]&lt;=29.9),"Overweight",Table13_1[[#This Row],[Round BMI]]&gt;=30,"Obese")</f>
        <v>Healthy Weight</v>
      </c>
      <c r="D1006" s="4" t="s">
        <v>11</v>
      </c>
      <c r="E1006" s="4" t="str">
        <f>IF(Table13_1[[#This Row],[smoker]]="yes","smoker","non-smoker")</f>
        <v>non-smoker</v>
      </c>
      <c r="F1006" s="4" t="s">
        <v>14</v>
      </c>
      <c r="G1006" s="5">
        <v>47</v>
      </c>
      <c r="H1006" s="5">
        <f>IF(Table13_1[[#This Row],[smoker]]="yes",1,0)</f>
        <v>0</v>
      </c>
      <c r="I1006" s="4">
        <v>19.190000000000001</v>
      </c>
      <c r="J1006" s="4">
        <v>1</v>
      </c>
      <c r="K1006" s="12">
        <v>8627.5411000000004</v>
      </c>
      <c r="N1006">
        <v>851</v>
      </c>
      <c r="O1006">
        <v>31155.648418500459</v>
      </c>
      <c r="P1006">
        <v>6114.502781499541</v>
      </c>
    </row>
    <row r="1007" spans="1:16" x14ac:dyDescent="0.25">
      <c r="A1007" s="4" t="s">
        <v>10</v>
      </c>
      <c r="B1007" s="4">
        <f>ROUND(Table13_1[[#This Row],[bmi]],1)</f>
        <v>31.7</v>
      </c>
      <c r="C1007" s="4" t="str" cm="1">
        <f t="array" ref="C1007">_xlfn.IFS(Table13_1[[#This Row],[Round BMI]]&lt;18.5,"Underweight",AND(Table13_1[[#This Row],[Round BMI]]&gt;=18.5,Table13_1[[#This Row],[Round BMI]] &lt;=24.9),"Healthy Weight",AND(Table13_1[[#This Row],[Round BMI]]&gt;=25,Table13_1[[#This Row],[Round BMI]]&lt;=29.9),"Overweight",Table13_1[[#This Row],[Round BMI]]&gt;=30,"Obese")</f>
        <v>Obese</v>
      </c>
      <c r="D1007" s="4" t="s">
        <v>11</v>
      </c>
      <c r="E1007" s="4" t="str">
        <f>IF(Table13_1[[#This Row],[smoker]]="yes","smoker","non-smoker")</f>
        <v>non-smoker</v>
      </c>
      <c r="F1007" s="4" t="s">
        <v>13</v>
      </c>
      <c r="G1007" s="5">
        <v>29</v>
      </c>
      <c r="H1007" s="5">
        <f>IF(Table13_1[[#This Row],[smoker]]="yes",1,0)</f>
        <v>0</v>
      </c>
      <c r="I1007" s="4">
        <v>31.73</v>
      </c>
      <c r="J1007" s="4">
        <v>2</v>
      </c>
      <c r="K1007" s="12">
        <v>4433.3877000000002</v>
      </c>
      <c r="N1007">
        <v>852</v>
      </c>
      <c r="O1007">
        <v>14968.855511823769</v>
      </c>
      <c r="P1007">
        <v>-849.23551182376832</v>
      </c>
    </row>
    <row r="1008" spans="1:16" x14ac:dyDescent="0.25">
      <c r="A1008" s="4" t="s">
        <v>10</v>
      </c>
      <c r="B1008" s="4">
        <f>ROUND(Table13_1[[#This Row],[bmi]],1)</f>
        <v>29.3</v>
      </c>
      <c r="C1008" s="4" t="str" cm="1">
        <f t="array" ref="C1008">_xlfn.IFS(Table13_1[[#This Row],[Round BMI]]&lt;18.5,"Underweight",AND(Table13_1[[#This Row],[Round BMI]]&gt;=18.5,Table13_1[[#This Row],[Round BMI]] &lt;=24.9),"Healthy Weight",AND(Table13_1[[#This Row],[Round BMI]]&gt;=25,Table13_1[[#This Row],[Round BMI]]&lt;=29.9),"Overweight",Table13_1[[#This Row],[Round BMI]]&gt;=30,"Obese")</f>
        <v>Overweight</v>
      </c>
      <c r="D1008" s="4" t="s">
        <v>11</v>
      </c>
      <c r="E1008" s="4" t="str">
        <f>IF(Table13_1[[#This Row],[smoker]]="yes","smoker","non-smoker")</f>
        <v>non-smoker</v>
      </c>
      <c r="F1008" s="4" t="s">
        <v>14</v>
      </c>
      <c r="G1008" s="5">
        <v>28</v>
      </c>
      <c r="H1008" s="5">
        <f>IF(Table13_1[[#This Row],[smoker]]="yes",1,0)</f>
        <v>0</v>
      </c>
      <c r="I1008" s="4">
        <v>29.26</v>
      </c>
      <c r="J1008" s="4">
        <v>2</v>
      </c>
      <c r="K1008" s="12">
        <v>4438.2633999999998</v>
      </c>
      <c r="N1008">
        <v>853</v>
      </c>
      <c r="O1008">
        <v>35005.088147969422</v>
      </c>
      <c r="P1008">
        <v>7106.5765520305795</v>
      </c>
    </row>
    <row r="1009" spans="1:16" x14ac:dyDescent="0.25">
      <c r="A1009" s="4" t="s">
        <v>10</v>
      </c>
      <c r="B1009" s="4">
        <f>ROUND(Table13_1[[#This Row],[bmi]],1)</f>
        <v>28.2</v>
      </c>
      <c r="C1009" s="4" t="str" cm="1">
        <f t="array" ref="C1009">_xlfn.IFS(Table13_1[[#This Row],[Round BMI]]&lt;18.5,"Underweight",AND(Table13_1[[#This Row],[Round BMI]]&gt;=18.5,Table13_1[[#This Row],[Round BMI]] &lt;=24.9),"Healthy Weight",AND(Table13_1[[#This Row],[Round BMI]]&gt;=25,Table13_1[[#This Row],[Round BMI]]&lt;=29.9),"Overweight",Table13_1[[#This Row],[Round BMI]]&gt;=30,"Obese")</f>
        <v>Overweight</v>
      </c>
      <c r="D1009" s="4" t="s">
        <v>8</v>
      </c>
      <c r="E1009" s="4" t="str">
        <f>IF(Table13_1[[#This Row],[smoker]]="yes","smoker","non-smoker")</f>
        <v>smoker</v>
      </c>
      <c r="F1009" s="4" t="s">
        <v>13</v>
      </c>
      <c r="G1009" s="5">
        <v>47</v>
      </c>
      <c r="H1009" s="5">
        <f>IF(Table13_1[[#This Row],[smoker]]="yes",1,0)</f>
        <v>1</v>
      </c>
      <c r="I1009" s="4">
        <v>28.215</v>
      </c>
      <c r="J1009" s="4">
        <v>3</v>
      </c>
      <c r="K1009" s="12">
        <v>24915.220799999999</v>
      </c>
      <c r="N1009">
        <v>854</v>
      </c>
      <c r="O1009">
        <v>10154.229958888556</v>
      </c>
      <c r="P1009">
        <v>1575.449541111444</v>
      </c>
    </row>
    <row r="1010" spans="1:16" x14ac:dyDescent="0.25">
      <c r="A1010" s="4" t="s">
        <v>10</v>
      </c>
      <c r="B1010" s="4">
        <f>ROUND(Table13_1[[#This Row],[bmi]],1)</f>
        <v>25</v>
      </c>
      <c r="C1010" s="4" t="str" cm="1">
        <f t="array" ref="C1010">_xlfn.IFS(Table13_1[[#This Row],[Round BMI]]&lt;18.5,"Underweight",AND(Table13_1[[#This Row],[Round BMI]]&gt;=18.5,Table13_1[[#This Row],[Round BMI]] &lt;=24.9),"Healthy Weight",AND(Table13_1[[#This Row],[Round BMI]]&gt;=25,Table13_1[[#This Row],[Round BMI]]&lt;=29.9),"Overweight",Table13_1[[#This Row],[Round BMI]]&gt;=30,"Obese")</f>
        <v>Overweight</v>
      </c>
      <c r="D1010" s="4" t="s">
        <v>11</v>
      </c>
      <c r="E1010" s="4" t="str">
        <f>IF(Table13_1[[#This Row],[smoker]]="yes","smoker","non-smoker")</f>
        <v>non-smoker</v>
      </c>
      <c r="F1010" s="4" t="s">
        <v>14</v>
      </c>
      <c r="G1010" s="5">
        <v>25</v>
      </c>
      <c r="H1010" s="5">
        <f>IF(Table13_1[[#This Row],[smoker]]="yes",1,0)</f>
        <v>0</v>
      </c>
      <c r="I1010" s="4">
        <v>24.984999999999999</v>
      </c>
      <c r="J1010" s="4">
        <v>2</v>
      </c>
      <c r="K1010" s="12">
        <v>23241.4745</v>
      </c>
      <c r="N1010">
        <v>855</v>
      </c>
      <c r="O1010">
        <v>33438.309974398391</v>
      </c>
      <c r="P1010">
        <v>-9331.3973743983915</v>
      </c>
    </row>
    <row r="1011" spans="1:16" x14ac:dyDescent="0.25">
      <c r="A1011" s="4" t="s">
        <v>10</v>
      </c>
      <c r="B1011" s="4">
        <f>ROUND(Table13_1[[#This Row],[bmi]],1)</f>
        <v>27.7</v>
      </c>
      <c r="C1011" s="4" t="str" cm="1">
        <f t="array" ref="C1011">_xlfn.IFS(Table13_1[[#This Row],[Round BMI]]&lt;18.5,"Underweight",AND(Table13_1[[#This Row],[Round BMI]]&gt;=18.5,Table13_1[[#This Row],[Round BMI]] &lt;=24.9),"Healthy Weight",AND(Table13_1[[#This Row],[Round BMI]]&gt;=25,Table13_1[[#This Row],[Round BMI]]&lt;=29.9),"Overweight",Table13_1[[#This Row],[Round BMI]]&gt;=30,"Obese")</f>
        <v>Overweight</v>
      </c>
      <c r="D1011" s="4" t="s">
        <v>11</v>
      </c>
      <c r="E1011" s="4" t="str">
        <f>IF(Table13_1[[#This Row],[smoker]]="yes","smoker","non-smoker")</f>
        <v>non-smoker</v>
      </c>
      <c r="F1011" s="4" t="s">
        <v>14</v>
      </c>
      <c r="G1011" s="5">
        <v>51</v>
      </c>
      <c r="H1011" s="5">
        <f>IF(Table13_1[[#This Row],[smoker]]="yes",1,0)</f>
        <v>0</v>
      </c>
      <c r="I1011" s="4">
        <v>27.74</v>
      </c>
      <c r="J1011" s="4">
        <v>1</v>
      </c>
      <c r="K1011" s="12">
        <v>9957.7216000000008</v>
      </c>
      <c r="N1011">
        <v>856</v>
      </c>
      <c r="O1011">
        <v>2581.0222925162561</v>
      </c>
      <c r="P1011">
        <v>-705.67829251625608</v>
      </c>
    </row>
    <row r="1012" spans="1:16" x14ac:dyDescent="0.25">
      <c r="A1012" s="4" t="s">
        <v>7</v>
      </c>
      <c r="B1012" s="4">
        <f>ROUND(Table13_1[[#This Row],[bmi]],1)</f>
        <v>22.8</v>
      </c>
      <c r="C1012" s="4" t="str" cm="1">
        <f t="array" ref="C1012">_xlfn.IFS(Table13_1[[#This Row],[Round BMI]]&lt;18.5,"Underweight",AND(Table13_1[[#This Row],[Round BMI]]&gt;=18.5,Table13_1[[#This Row],[Round BMI]] &lt;=24.9),"Healthy Weight",AND(Table13_1[[#This Row],[Round BMI]]&gt;=25,Table13_1[[#This Row],[Round BMI]]&lt;=29.9),"Overweight",Table13_1[[#This Row],[Round BMI]]&gt;=30,"Obese")</f>
        <v>Healthy Weight</v>
      </c>
      <c r="D1012" s="4" t="s">
        <v>11</v>
      </c>
      <c r="E1012" s="4" t="str">
        <f>IF(Table13_1[[#This Row],[smoker]]="yes","smoker","non-smoker")</f>
        <v>non-smoker</v>
      </c>
      <c r="F1012" s="4" t="s">
        <v>9</v>
      </c>
      <c r="G1012" s="5">
        <v>48</v>
      </c>
      <c r="H1012" s="5">
        <f>IF(Table13_1[[#This Row],[smoker]]="yes",1,0)</f>
        <v>0</v>
      </c>
      <c r="I1012" s="4">
        <v>22.8</v>
      </c>
      <c r="J1012" s="4">
        <v>0</v>
      </c>
      <c r="K1012" s="12">
        <v>8269.0439999999999</v>
      </c>
      <c r="N1012">
        <v>857</v>
      </c>
      <c r="O1012">
        <v>34741.906767754401</v>
      </c>
      <c r="P1012">
        <v>6232.2581322456026</v>
      </c>
    </row>
    <row r="1013" spans="1:16" x14ac:dyDescent="0.25">
      <c r="A1013" s="4" t="s">
        <v>10</v>
      </c>
      <c r="B1013" s="4">
        <f>ROUND(Table13_1[[#This Row],[bmi]],1)</f>
        <v>20.100000000000001</v>
      </c>
      <c r="C1013" s="4" t="str" cm="1">
        <f t="array" ref="C1013">_xlfn.IFS(Table13_1[[#This Row],[Round BMI]]&lt;18.5,"Underweight",AND(Table13_1[[#This Row],[Round BMI]]&gt;=18.5,Table13_1[[#This Row],[Round BMI]] &lt;=24.9),"Healthy Weight",AND(Table13_1[[#This Row],[Round BMI]]&gt;=25,Table13_1[[#This Row],[Round BMI]]&lt;=29.9),"Overweight",Table13_1[[#This Row],[Round BMI]]&gt;=30,"Obese")</f>
        <v>Healthy Weight</v>
      </c>
      <c r="D1013" s="4" t="s">
        <v>8</v>
      </c>
      <c r="E1013" s="4" t="str">
        <f>IF(Table13_1[[#This Row],[smoker]]="yes","smoker","non-smoker")</f>
        <v>smoker</v>
      </c>
      <c r="F1013" s="4" t="s">
        <v>12</v>
      </c>
      <c r="G1013" s="5">
        <v>43</v>
      </c>
      <c r="H1013" s="5">
        <f>IF(Table13_1[[#This Row],[smoker]]="yes",1,0)</f>
        <v>1</v>
      </c>
      <c r="I1013" s="4">
        <v>20.13</v>
      </c>
      <c r="J1013" s="4">
        <v>2</v>
      </c>
      <c r="K1013" s="12">
        <v>18767.737700000001</v>
      </c>
      <c r="N1013">
        <v>858</v>
      </c>
      <c r="O1013">
        <v>25921.142501642127</v>
      </c>
      <c r="P1013">
        <v>-10103.156801642128</v>
      </c>
    </row>
    <row r="1014" spans="1:16" x14ac:dyDescent="0.25">
      <c r="A1014" s="4" t="s">
        <v>7</v>
      </c>
      <c r="B1014" s="4">
        <f>ROUND(Table13_1[[#This Row],[bmi]],1)</f>
        <v>33.299999999999997</v>
      </c>
      <c r="C1014" s="4" t="str" cm="1">
        <f t="array" ref="C1014">_xlfn.IFS(Table13_1[[#This Row],[Round BMI]]&lt;18.5,"Underweight",AND(Table13_1[[#This Row],[Round BMI]]&gt;=18.5,Table13_1[[#This Row],[Round BMI]] &lt;=24.9),"Healthy Weight",AND(Table13_1[[#This Row],[Round BMI]]&gt;=25,Table13_1[[#This Row],[Round BMI]]&lt;=29.9),"Overweight",Table13_1[[#This Row],[Round BMI]]&gt;=30,"Obese")</f>
        <v>Obese</v>
      </c>
      <c r="D1014" s="4" t="s">
        <v>11</v>
      </c>
      <c r="E1014" s="4" t="str">
        <f>IF(Table13_1[[#This Row],[smoker]]="yes","smoker","non-smoker")</f>
        <v>non-smoker</v>
      </c>
      <c r="F1014" s="4" t="s">
        <v>12</v>
      </c>
      <c r="G1014" s="5">
        <v>61</v>
      </c>
      <c r="H1014" s="5">
        <f>IF(Table13_1[[#This Row],[smoker]]="yes",1,0)</f>
        <v>0</v>
      </c>
      <c r="I1014" s="4">
        <v>33.33</v>
      </c>
      <c r="J1014" s="4">
        <v>4</v>
      </c>
      <c r="K1014" s="12">
        <v>36580.282200000001</v>
      </c>
      <c r="N1014">
        <v>859</v>
      </c>
      <c r="O1014">
        <v>5190.2413341862466</v>
      </c>
      <c r="P1014">
        <v>13027.920065813754</v>
      </c>
    </row>
    <row r="1015" spans="1:16" x14ac:dyDescent="0.25">
      <c r="A1015" s="4" t="s">
        <v>10</v>
      </c>
      <c r="B1015" s="4">
        <f>ROUND(Table13_1[[#This Row],[bmi]],1)</f>
        <v>32.299999999999997</v>
      </c>
      <c r="C1015" s="4" t="str" cm="1">
        <f t="array" ref="C1015">_xlfn.IFS(Table13_1[[#This Row],[Round BMI]]&lt;18.5,"Underweight",AND(Table13_1[[#This Row],[Round BMI]]&gt;=18.5,Table13_1[[#This Row],[Round BMI]] &lt;=24.9),"Healthy Weight",AND(Table13_1[[#This Row],[Round BMI]]&gt;=25,Table13_1[[#This Row],[Round BMI]]&lt;=29.9),"Overweight",Table13_1[[#This Row],[Round BMI]]&gt;=30,"Obese")</f>
        <v>Obese</v>
      </c>
      <c r="D1015" s="4" t="s">
        <v>11</v>
      </c>
      <c r="E1015" s="4" t="str">
        <f>IF(Table13_1[[#This Row],[smoker]]="yes","smoker","non-smoker")</f>
        <v>non-smoker</v>
      </c>
      <c r="F1015" s="4" t="s">
        <v>13</v>
      </c>
      <c r="G1015" s="5">
        <v>48</v>
      </c>
      <c r="H1015" s="5">
        <f>IF(Table13_1[[#This Row],[smoker]]="yes",1,0)</f>
        <v>0</v>
      </c>
      <c r="I1015" s="4">
        <v>32.299999999999997</v>
      </c>
      <c r="J1015" s="4">
        <v>1</v>
      </c>
      <c r="K1015" s="12">
        <v>8765.2489999999998</v>
      </c>
      <c r="N1015">
        <v>860</v>
      </c>
      <c r="O1015">
        <v>11638.676959477607</v>
      </c>
      <c r="P1015">
        <v>-673.23095947760703</v>
      </c>
    </row>
    <row r="1016" spans="1:16" x14ac:dyDescent="0.25">
      <c r="A1016" s="4" t="s">
        <v>7</v>
      </c>
      <c r="B1016" s="4">
        <f>ROUND(Table13_1[[#This Row],[bmi]],1)</f>
        <v>27.6</v>
      </c>
      <c r="C1016" s="4" t="str" cm="1">
        <f t="array" ref="C1016">_xlfn.IFS(Table13_1[[#This Row],[Round BMI]]&lt;18.5,"Underweight",AND(Table13_1[[#This Row],[Round BMI]]&gt;=18.5,Table13_1[[#This Row],[Round BMI]] &lt;=24.9),"Healthy Weight",AND(Table13_1[[#This Row],[Round BMI]]&gt;=25,Table13_1[[#This Row],[Round BMI]]&lt;=29.9),"Overweight",Table13_1[[#This Row],[Round BMI]]&gt;=30,"Obese")</f>
        <v>Overweight</v>
      </c>
      <c r="D1016" s="4" t="s">
        <v>11</v>
      </c>
      <c r="E1016" s="4" t="str">
        <f>IF(Table13_1[[#This Row],[smoker]]="yes","smoker","non-smoker")</f>
        <v>non-smoker</v>
      </c>
      <c r="F1016" s="4" t="s">
        <v>9</v>
      </c>
      <c r="G1016" s="5">
        <v>38</v>
      </c>
      <c r="H1016" s="5">
        <f>IF(Table13_1[[#This Row],[smoker]]="yes",1,0)</f>
        <v>0</v>
      </c>
      <c r="I1016" s="4">
        <v>27.6</v>
      </c>
      <c r="J1016" s="4">
        <v>0</v>
      </c>
      <c r="K1016" s="12">
        <v>5383.5360000000001</v>
      </c>
      <c r="N1016">
        <v>861</v>
      </c>
      <c r="O1016">
        <v>37516.193645381303</v>
      </c>
      <c r="P1016">
        <v>8597.3173546186954</v>
      </c>
    </row>
    <row r="1017" spans="1:16" x14ac:dyDescent="0.25">
      <c r="A1017" s="4" t="s">
        <v>10</v>
      </c>
      <c r="B1017" s="4">
        <f>ROUND(Table13_1[[#This Row],[bmi]],1)</f>
        <v>25.5</v>
      </c>
      <c r="C1017" s="4" t="str" cm="1">
        <f t="array" ref="C1017">_xlfn.IFS(Table13_1[[#This Row],[Round BMI]]&lt;18.5,"Underweight",AND(Table13_1[[#This Row],[Round BMI]]&gt;=18.5,Table13_1[[#This Row],[Round BMI]] &lt;=24.9),"Healthy Weight",AND(Table13_1[[#This Row],[Round BMI]]&gt;=25,Table13_1[[#This Row],[Round BMI]]&lt;=29.9),"Overweight",Table13_1[[#This Row],[Round BMI]]&gt;=30,"Obese")</f>
        <v>Overweight</v>
      </c>
      <c r="D1017" s="4" t="s">
        <v>11</v>
      </c>
      <c r="E1017" s="4" t="str">
        <f>IF(Table13_1[[#This Row],[smoker]]="yes","smoker","non-smoker")</f>
        <v>non-smoker</v>
      </c>
      <c r="F1017" s="4" t="s">
        <v>13</v>
      </c>
      <c r="G1017" s="5">
        <v>59</v>
      </c>
      <c r="H1017" s="5">
        <f>IF(Table13_1[[#This Row],[smoker]]="yes",1,0)</f>
        <v>0</v>
      </c>
      <c r="I1017" s="4">
        <v>25.46</v>
      </c>
      <c r="J1017" s="4">
        <v>0</v>
      </c>
      <c r="K1017" s="12">
        <v>12124.992399999999</v>
      </c>
      <c r="N1017">
        <v>862</v>
      </c>
      <c r="O1017">
        <v>8127.8581265541943</v>
      </c>
      <c r="P1017">
        <v>-976.76612655419467</v>
      </c>
    </row>
    <row r="1018" spans="1:16" x14ac:dyDescent="0.25">
      <c r="A1018" s="4" t="s">
        <v>7</v>
      </c>
      <c r="B1018" s="4">
        <f>ROUND(Table13_1[[#This Row],[bmi]],1)</f>
        <v>24.6</v>
      </c>
      <c r="C1018" s="4" t="str" cm="1">
        <f t="array" ref="C1018">_xlfn.IFS(Table13_1[[#This Row],[Round BMI]]&lt;18.5,"Underweight",AND(Table13_1[[#This Row],[Round BMI]]&gt;=18.5,Table13_1[[#This Row],[Round BMI]] &lt;=24.9),"Healthy Weight",AND(Table13_1[[#This Row],[Round BMI]]&gt;=25,Table13_1[[#This Row],[Round BMI]]&lt;=29.9),"Overweight",Table13_1[[#This Row],[Round BMI]]&gt;=30,"Obese")</f>
        <v>Healthy Weight</v>
      </c>
      <c r="D1018" s="4" t="s">
        <v>11</v>
      </c>
      <c r="E1018" s="4" t="str">
        <f>IF(Table13_1[[#This Row],[smoker]]="yes","smoker","non-smoker")</f>
        <v>non-smoker</v>
      </c>
      <c r="F1018" s="4" t="s">
        <v>13</v>
      </c>
      <c r="G1018" s="5">
        <v>19</v>
      </c>
      <c r="H1018" s="5">
        <f>IF(Table13_1[[#This Row],[smoker]]="yes",1,0)</f>
        <v>0</v>
      </c>
      <c r="I1018" s="4">
        <v>24.605</v>
      </c>
      <c r="J1018" s="4">
        <v>1</v>
      </c>
      <c r="K1018" s="12">
        <v>2709.2440000000001</v>
      </c>
      <c r="N1018">
        <v>863</v>
      </c>
      <c r="O1018">
        <v>13819.24495035053</v>
      </c>
      <c r="P1018">
        <v>-1549.5563503505309</v>
      </c>
    </row>
    <row r="1019" spans="1:16" x14ac:dyDescent="0.25">
      <c r="A1019" s="4" t="s">
        <v>7</v>
      </c>
      <c r="B1019" s="4">
        <f>ROUND(Table13_1[[#This Row],[bmi]],1)</f>
        <v>34.200000000000003</v>
      </c>
      <c r="C1019" s="4" t="str" cm="1">
        <f t="array" ref="C1019">_xlfn.IFS(Table13_1[[#This Row],[Round BMI]]&lt;18.5,"Underweight",AND(Table13_1[[#This Row],[Round BMI]]&gt;=18.5,Table13_1[[#This Row],[Round BMI]] &lt;=24.9),"Healthy Weight",AND(Table13_1[[#This Row],[Round BMI]]&gt;=25,Table13_1[[#This Row],[Round BMI]]&lt;=29.9),"Overweight",Table13_1[[#This Row],[Round BMI]]&gt;=30,"Obese")</f>
        <v>Obese</v>
      </c>
      <c r="D1019" s="4" t="s">
        <v>11</v>
      </c>
      <c r="E1019" s="4" t="str">
        <f>IF(Table13_1[[#This Row],[smoker]]="yes","smoker","non-smoker")</f>
        <v>non-smoker</v>
      </c>
      <c r="F1019" s="4" t="s">
        <v>9</v>
      </c>
      <c r="G1019" s="5">
        <v>26</v>
      </c>
      <c r="H1019" s="5">
        <f>IF(Table13_1[[#This Row],[smoker]]="yes",1,0)</f>
        <v>0</v>
      </c>
      <c r="I1019" s="4">
        <v>34.200000000000003</v>
      </c>
      <c r="J1019" s="4">
        <v>2</v>
      </c>
      <c r="K1019" s="12">
        <v>3987.9259999999999</v>
      </c>
      <c r="N1019">
        <v>864</v>
      </c>
      <c r="O1019">
        <v>3570.1724891143367</v>
      </c>
      <c r="P1019">
        <v>1887.8739108856635</v>
      </c>
    </row>
    <row r="1020" spans="1:16" x14ac:dyDescent="0.25">
      <c r="A1020" s="4" t="s">
        <v>7</v>
      </c>
      <c r="B1020" s="4">
        <f>ROUND(Table13_1[[#This Row],[bmi]],1)</f>
        <v>35.799999999999997</v>
      </c>
      <c r="C1020" s="4" t="str" cm="1">
        <f t="array" ref="C1020">_xlfn.IFS(Table13_1[[#This Row],[Round BMI]]&lt;18.5,"Underweight",AND(Table13_1[[#This Row],[Round BMI]]&gt;=18.5,Table13_1[[#This Row],[Round BMI]] &lt;=24.9),"Healthy Weight",AND(Table13_1[[#This Row],[Round BMI]]&gt;=25,Table13_1[[#This Row],[Round BMI]]&lt;=29.9),"Overweight",Table13_1[[#This Row],[Round BMI]]&gt;=30,"Obese")</f>
        <v>Obese</v>
      </c>
      <c r="D1020" s="4" t="s">
        <v>11</v>
      </c>
      <c r="E1020" s="4" t="str">
        <f>IF(Table13_1[[#This Row],[smoker]]="yes","smoker","non-smoker")</f>
        <v>non-smoker</v>
      </c>
      <c r="F1020" s="4" t="s">
        <v>13</v>
      </c>
      <c r="G1020" s="5">
        <v>54</v>
      </c>
      <c r="H1020" s="5">
        <f>IF(Table13_1[[#This Row],[smoker]]="yes",1,0)</f>
        <v>0</v>
      </c>
      <c r="I1020" s="4">
        <v>35.814999999999998</v>
      </c>
      <c r="J1020" s="4">
        <v>3</v>
      </c>
      <c r="K1020" s="12">
        <v>12495.290800000001</v>
      </c>
      <c r="N1020">
        <v>865</v>
      </c>
      <c r="O1020">
        <v>9222.5811278241963</v>
      </c>
      <c r="P1020">
        <v>-440.11212782419716</v>
      </c>
    </row>
    <row r="1021" spans="1:16" x14ac:dyDescent="0.25">
      <c r="A1021" s="4" t="s">
        <v>7</v>
      </c>
      <c r="B1021" s="4">
        <f>ROUND(Table13_1[[#This Row],[bmi]],1)</f>
        <v>32.700000000000003</v>
      </c>
      <c r="C1021" s="4" t="str" cm="1">
        <f t="array" ref="C1021">_xlfn.IFS(Table13_1[[#This Row],[Round BMI]]&lt;18.5,"Underweight",AND(Table13_1[[#This Row],[Round BMI]]&gt;=18.5,Table13_1[[#This Row],[Round BMI]] &lt;=24.9),"Healthy Weight",AND(Table13_1[[#This Row],[Round BMI]]&gt;=25,Table13_1[[#This Row],[Round BMI]]&lt;=29.9),"Overweight",Table13_1[[#This Row],[Round BMI]]&gt;=30,"Obese")</f>
        <v>Obese</v>
      </c>
      <c r="D1021" s="4" t="s">
        <v>11</v>
      </c>
      <c r="E1021" s="4" t="str">
        <f>IF(Table13_1[[#This Row],[smoker]]="yes","smoker","non-smoker")</f>
        <v>non-smoker</v>
      </c>
      <c r="F1021" s="4" t="s">
        <v>13</v>
      </c>
      <c r="G1021" s="5">
        <v>21</v>
      </c>
      <c r="H1021" s="5">
        <f>IF(Table13_1[[#This Row],[smoker]]="yes",1,0)</f>
        <v>0</v>
      </c>
      <c r="I1021" s="4">
        <v>32.68</v>
      </c>
      <c r="J1021" s="4">
        <v>2</v>
      </c>
      <c r="K1021" s="12">
        <v>26018.950499999999</v>
      </c>
      <c r="N1021">
        <v>866</v>
      </c>
      <c r="O1021">
        <v>8781.5724910673853</v>
      </c>
      <c r="P1021">
        <v>-2181.2114910673854</v>
      </c>
    </row>
    <row r="1022" spans="1:16" x14ac:dyDescent="0.25">
      <c r="A1022" s="4" t="s">
        <v>10</v>
      </c>
      <c r="B1022" s="4">
        <f>ROUND(Table13_1[[#This Row],[bmi]],1)</f>
        <v>37</v>
      </c>
      <c r="C1022" s="4" t="str" cm="1">
        <f t="array" ref="C1022">_xlfn.IFS(Table13_1[[#This Row],[Round BMI]]&lt;18.5,"Underweight",AND(Table13_1[[#This Row],[Round BMI]]&gt;=18.5,Table13_1[[#This Row],[Round BMI]] &lt;=24.9),"Healthy Weight",AND(Table13_1[[#This Row],[Round BMI]]&gt;=25,Table13_1[[#This Row],[Round BMI]]&lt;=29.9),"Overweight",Table13_1[[#This Row],[Round BMI]]&gt;=30,"Obese")</f>
        <v>Obese</v>
      </c>
      <c r="D1022" s="4" t="s">
        <v>11</v>
      </c>
      <c r="E1022" s="4" t="str">
        <f>IF(Table13_1[[#This Row],[smoker]]="yes","smoker","non-smoker")</f>
        <v>non-smoker</v>
      </c>
      <c r="F1022" s="4" t="s">
        <v>9</v>
      </c>
      <c r="G1022" s="5">
        <v>51</v>
      </c>
      <c r="H1022" s="5">
        <f>IF(Table13_1[[#This Row],[smoker]]="yes",1,0)</f>
        <v>0</v>
      </c>
      <c r="I1022" s="4">
        <v>37</v>
      </c>
      <c r="J1022" s="4">
        <v>0</v>
      </c>
      <c r="K1022" s="12">
        <v>8798.5930000000008</v>
      </c>
      <c r="N1022">
        <v>867</v>
      </c>
      <c r="O1022">
        <v>4540.36056570447</v>
      </c>
      <c r="P1022">
        <v>-3398.9154657044701</v>
      </c>
    </row>
    <row r="1023" spans="1:16" x14ac:dyDescent="0.25">
      <c r="A1023" s="4" t="s">
        <v>7</v>
      </c>
      <c r="B1023" s="4">
        <f>ROUND(Table13_1[[#This Row],[bmi]],1)</f>
        <v>31</v>
      </c>
      <c r="C1023" s="4" t="str" cm="1">
        <f t="array" ref="C1023">_xlfn.IFS(Table13_1[[#This Row],[Round BMI]]&lt;18.5,"Underweight",AND(Table13_1[[#This Row],[Round BMI]]&gt;=18.5,Table13_1[[#This Row],[Round BMI]] &lt;=24.9),"Healthy Weight",AND(Table13_1[[#This Row],[Round BMI]]&gt;=25,Table13_1[[#This Row],[Round BMI]]&lt;=29.9),"Overweight",Table13_1[[#This Row],[Round BMI]]&gt;=30,"Obese")</f>
        <v>Obese</v>
      </c>
      <c r="D1023" s="4" t="s">
        <v>8</v>
      </c>
      <c r="E1023" s="4" t="str">
        <f>IF(Table13_1[[#This Row],[smoker]]="yes","smoker","non-smoker")</f>
        <v>smoker</v>
      </c>
      <c r="F1023" s="4" t="s">
        <v>12</v>
      </c>
      <c r="G1023" s="5">
        <v>22</v>
      </c>
      <c r="H1023" s="5">
        <f>IF(Table13_1[[#This Row],[smoker]]="yes",1,0)</f>
        <v>1</v>
      </c>
      <c r="I1023" s="4">
        <v>31.02</v>
      </c>
      <c r="J1023" s="4">
        <v>3</v>
      </c>
      <c r="K1023" s="12">
        <v>35595.589800000002</v>
      </c>
      <c r="N1023">
        <v>868</v>
      </c>
      <c r="O1023">
        <v>17133.061159346344</v>
      </c>
      <c r="P1023">
        <v>-5556.9311593463444</v>
      </c>
    </row>
    <row r="1024" spans="1:16" x14ac:dyDescent="0.25">
      <c r="A1024" s="4" t="s">
        <v>10</v>
      </c>
      <c r="B1024" s="4">
        <f>ROUND(Table13_1[[#This Row],[bmi]],1)</f>
        <v>36.1</v>
      </c>
      <c r="C1024" s="4" t="str" cm="1">
        <f t="array" ref="C1024">_xlfn.IFS(Table13_1[[#This Row],[Round BMI]]&lt;18.5,"Underweight",AND(Table13_1[[#This Row],[Round BMI]]&gt;=18.5,Table13_1[[#This Row],[Round BMI]] &lt;=24.9),"Healthy Weight",AND(Table13_1[[#This Row],[Round BMI]]&gt;=25,Table13_1[[#This Row],[Round BMI]]&lt;=29.9),"Overweight",Table13_1[[#This Row],[Round BMI]]&gt;=30,"Obese")</f>
        <v>Obese</v>
      </c>
      <c r="D1024" s="4" t="s">
        <v>8</v>
      </c>
      <c r="E1024" s="4" t="str">
        <f>IF(Table13_1[[#This Row],[smoker]]="yes","smoker","non-smoker")</f>
        <v>smoker</v>
      </c>
      <c r="F1024" s="4" t="s">
        <v>12</v>
      </c>
      <c r="G1024" s="5">
        <v>47</v>
      </c>
      <c r="H1024" s="5">
        <f>IF(Table13_1[[#This Row],[smoker]]="yes",1,0)</f>
        <v>1</v>
      </c>
      <c r="I1024" s="4">
        <v>36.08</v>
      </c>
      <c r="J1024" s="4">
        <v>1</v>
      </c>
      <c r="K1024" s="12">
        <v>42211.138200000001</v>
      </c>
      <c r="N1024">
        <v>869</v>
      </c>
      <c r="O1024">
        <v>11239.445503169842</v>
      </c>
      <c r="P1024">
        <v>1890.1578968301583</v>
      </c>
    </row>
    <row r="1025" spans="1:16" x14ac:dyDescent="0.25">
      <c r="A1025" s="4" t="s">
        <v>10</v>
      </c>
      <c r="B1025" s="4">
        <f>ROUND(Table13_1[[#This Row],[bmi]],1)</f>
        <v>23.3</v>
      </c>
      <c r="C1025" s="4" t="str" cm="1">
        <f t="array" ref="C1025">_xlfn.IFS(Table13_1[[#This Row],[Round BMI]]&lt;18.5,"Underweight",AND(Table13_1[[#This Row],[Round BMI]]&gt;=18.5,Table13_1[[#This Row],[Round BMI]] &lt;=24.9),"Healthy Weight",AND(Table13_1[[#This Row],[Round BMI]]&gt;=25,Table13_1[[#This Row],[Round BMI]]&lt;=29.9),"Overweight",Table13_1[[#This Row],[Round BMI]]&gt;=30,"Obese")</f>
        <v>Healthy Weight</v>
      </c>
      <c r="D1025" s="4" t="s">
        <v>11</v>
      </c>
      <c r="E1025" s="4" t="str">
        <f>IF(Table13_1[[#This Row],[smoker]]="yes","smoker","non-smoker")</f>
        <v>non-smoker</v>
      </c>
      <c r="F1025" s="4" t="s">
        <v>12</v>
      </c>
      <c r="G1025" s="5">
        <v>18</v>
      </c>
      <c r="H1025" s="5">
        <f>IF(Table13_1[[#This Row],[smoker]]="yes",1,0)</f>
        <v>0</v>
      </c>
      <c r="I1025" s="4">
        <v>23.32</v>
      </c>
      <c r="J1025" s="4">
        <v>1</v>
      </c>
      <c r="K1025" s="12">
        <v>1711.0268000000001</v>
      </c>
      <c r="N1025">
        <v>870</v>
      </c>
      <c r="O1025">
        <v>3584.9643407470803</v>
      </c>
      <c r="P1025">
        <v>806.68765925291973</v>
      </c>
    </row>
    <row r="1026" spans="1:16" x14ac:dyDescent="0.25">
      <c r="A1026" s="4" t="s">
        <v>7</v>
      </c>
      <c r="B1026" s="4">
        <f>ROUND(Table13_1[[#This Row],[bmi]],1)</f>
        <v>45.3</v>
      </c>
      <c r="C1026" s="4" t="str" cm="1">
        <f t="array" ref="C1026">_xlfn.IFS(Table13_1[[#This Row],[Round BMI]]&lt;18.5,"Underweight",AND(Table13_1[[#This Row],[Round BMI]]&gt;=18.5,Table13_1[[#This Row],[Round BMI]] &lt;=24.9),"Healthy Weight",AND(Table13_1[[#This Row],[Round BMI]]&gt;=25,Table13_1[[#This Row],[Round BMI]]&lt;=29.9),"Overweight",Table13_1[[#This Row],[Round BMI]]&gt;=30,"Obese")</f>
        <v>Obese</v>
      </c>
      <c r="D1026" s="4" t="s">
        <v>11</v>
      </c>
      <c r="E1026" s="4" t="str">
        <f>IF(Table13_1[[#This Row],[smoker]]="yes","smoker","non-smoker")</f>
        <v>non-smoker</v>
      </c>
      <c r="F1026" s="4" t="s">
        <v>12</v>
      </c>
      <c r="G1026" s="5">
        <v>47</v>
      </c>
      <c r="H1026" s="5">
        <f>IF(Table13_1[[#This Row],[smoker]]="yes",1,0)</f>
        <v>0</v>
      </c>
      <c r="I1026" s="4">
        <v>45.32</v>
      </c>
      <c r="J1026" s="4">
        <v>1</v>
      </c>
      <c r="K1026" s="12">
        <v>8569.8618000000006</v>
      </c>
      <c r="N1026">
        <v>871</v>
      </c>
      <c r="O1026">
        <v>12440.726771178939</v>
      </c>
      <c r="P1026">
        <v>-3982.9087711789398</v>
      </c>
    </row>
    <row r="1027" spans="1:16" x14ac:dyDescent="0.25">
      <c r="A1027" s="4" t="s">
        <v>7</v>
      </c>
      <c r="B1027" s="4">
        <f>ROUND(Table13_1[[#This Row],[bmi]],1)</f>
        <v>34.6</v>
      </c>
      <c r="C1027" s="4" t="str" cm="1">
        <f t="array" ref="C1027">_xlfn.IFS(Table13_1[[#This Row],[Round BMI]]&lt;18.5,"Underweight",AND(Table13_1[[#This Row],[Round BMI]]&gt;=18.5,Table13_1[[#This Row],[Round BMI]] &lt;=24.9),"Healthy Weight",AND(Table13_1[[#This Row],[Round BMI]]&gt;=25,Table13_1[[#This Row],[Round BMI]]&lt;=29.9),"Overweight",Table13_1[[#This Row],[Round BMI]]&gt;=30,"Obese")</f>
        <v>Obese</v>
      </c>
      <c r="D1027" s="4" t="s">
        <v>11</v>
      </c>
      <c r="E1027" s="4" t="str">
        <f>IF(Table13_1[[#This Row],[smoker]]="yes","smoker","non-smoker")</f>
        <v>non-smoker</v>
      </c>
      <c r="F1027" s="4" t="s">
        <v>9</v>
      </c>
      <c r="G1027" s="5">
        <v>21</v>
      </c>
      <c r="H1027" s="5">
        <f>IF(Table13_1[[#This Row],[smoker]]="yes",1,0)</f>
        <v>0</v>
      </c>
      <c r="I1027" s="4">
        <v>34.6</v>
      </c>
      <c r="J1027" s="4">
        <v>0</v>
      </c>
      <c r="K1027" s="12">
        <v>2020.1769999999999</v>
      </c>
      <c r="N1027">
        <v>872</v>
      </c>
      <c r="O1027">
        <v>4562.9994837032691</v>
      </c>
      <c r="P1027">
        <v>-1170.6342837032689</v>
      </c>
    </row>
    <row r="1028" spans="1:16" x14ac:dyDescent="0.25">
      <c r="A1028" s="4" t="s">
        <v>10</v>
      </c>
      <c r="B1028" s="4">
        <f>ROUND(Table13_1[[#This Row],[bmi]],1)</f>
        <v>26</v>
      </c>
      <c r="C1028" s="4" t="str" cm="1">
        <f t="array" ref="C1028">_xlfn.IFS(Table13_1[[#This Row],[Round BMI]]&lt;18.5,"Underweight",AND(Table13_1[[#This Row],[Round BMI]]&gt;=18.5,Table13_1[[#This Row],[Round BMI]] &lt;=24.9),"Healthy Weight",AND(Table13_1[[#This Row],[Round BMI]]&gt;=25,Table13_1[[#This Row],[Round BMI]]&lt;=29.9),"Overweight",Table13_1[[#This Row],[Round BMI]]&gt;=30,"Obese")</f>
        <v>Overweight</v>
      </c>
      <c r="D1028" s="4" t="s">
        <v>8</v>
      </c>
      <c r="E1028" s="4" t="str">
        <f>IF(Table13_1[[#This Row],[smoker]]="yes","smoker","non-smoker")</f>
        <v>smoker</v>
      </c>
      <c r="F1028" s="4" t="s">
        <v>13</v>
      </c>
      <c r="G1028" s="5">
        <v>19</v>
      </c>
      <c r="H1028" s="5">
        <f>IF(Table13_1[[#This Row],[smoker]]="yes",1,0)</f>
        <v>1</v>
      </c>
      <c r="I1028" s="4">
        <v>26.03</v>
      </c>
      <c r="J1028" s="4">
        <v>1</v>
      </c>
      <c r="K1028" s="12">
        <v>16450.894700000001</v>
      </c>
      <c r="N1028">
        <v>873</v>
      </c>
      <c r="O1028">
        <v>6728.1358043167411</v>
      </c>
      <c r="P1028">
        <v>-761.24840431674147</v>
      </c>
    </row>
    <row r="1029" spans="1:16" x14ac:dyDescent="0.25">
      <c r="A1029" s="4" t="s">
        <v>10</v>
      </c>
      <c r="B1029" s="4">
        <f>ROUND(Table13_1[[#This Row],[bmi]],1)</f>
        <v>18.7</v>
      </c>
      <c r="C1029" s="4" t="str" cm="1">
        <f t="array" ref="C1029">_xlfn.IFS(Table13_1[[#This Row],[Round BMI]]&lt;18.5,"Underweight",AND(Table13_1[[#This Row],[Round BMI]]&gt;=18.5,Table13_1[[#This Row],[Round BMI]] &lt;=24.9),"Healthy Weight",AND(Table13_1[[#This Row],[Round BMI]]&gt;=25,Table13_1[[#This Row],[Round BMI]]&lt;=29.9),"Overweight",Table13_1[[#This Row],[Round BMI]]&gt;=30,"Obese")</f>
        <v>Healthy Weight</v>
      </c>
      <c r="D1029" s="4" t="s">
        <v>11</v>
      </c>
      <c r="E1029" s="4" t="str">
        <f>IF(Table13_1[[#This Row],[smoker]]="yes","smoker","non-smoker")</f>
        <v>non-smoker</v>
      </c>
      <c r="F1029" s="4" t="s">
        <v>13</v>
      </c>
      <c r="G1029" s="5">
        <v>23</v>
      </c>
      <c r="H1029" s="5">
        <f>IF(Table13_1[[#This Row],[smoker]]="yes",1,0)</f>
        <v>0</v>
      </c>
      <c r="I1029" s="4">
        <v>18.715</v>
      </c>
      <c r="J1029" s="4">
        <v>0</v>
      </c>
      <c r="K1029" s="12">
        <v>21595.382300000001</v>
      </c>
      <c r="N1029">
        <v>874</v>
      </c>
      <c r="O1029">
        <v>9145.9889780808735</v>
      </c>
      <c r="P1029">
        <v>-2296.9629780808737</v>
      </c>
    </row>
    <row r="1030" spans="1:16" x14ac:dyDescent="0.25">
      <c r="A1030" s="4" t="s">
        <v>10</v>
      </c>
      <c r="B1030" s="4">
        <f>ROUND(Table13_1[[#This Row],[bmi]],1)</f>
        <v>31.6</v>
      </c>
      <c r="C1030" s="4" t="str" cm="1">
        <f t="array" ref="C1030">_xlfn.IFS(Table13_1[[#This Row],[Round BMI]]&lt;18.5,"Underweight",AND(Table13_1[[#This Row],[Round BMI]]&gt;=18.5,Table13_1[[#This Row],[Round BMI]] &lt;=24.9),"Healthy Weight",AND(Table13_1[[#This Row],[Round BMI]]&gt;=25,Table13_1[[#This Row],[Round BMI]]&lt;=29.9),"Overweight",Table13_1[[#This Row],[Round BMI]]&gt;=30,"Obese")</f>
        <v>Obese</v>
      </c>
      <c r="D1030" s="4" t="s">
        <v>11</v>
      </c>
      <c r="E1030" s="4" t="str">
        <f>IF(Table13_1[[#This Row],[smoker]]="yes","smoker","non-smoker")</f>
        <v>non-smoker</v>
      </c>
      <c r="F1030" s="4" t="s">
        <v>9</v>
      </c>
      <c r="G1030" s="5">
        <v>54</v>
      </c>
      <c r="H1030" s="5">
        <f>IF(Table13_1[[#This Row],[smoker]]="yes",1,0)</f>
        <v>0</v>
      </c>
      <c r="I1030" s="4">
        <v>31.6</v>
      </c>
      <c r="J1030" s="4">
        <v>0</v>
      </c>
      <c r="K1030" s="12">
        <v>9850.4320000000007</v>
      </c>
      <c r="N1030">
        <v>875</v>
      </c>
      <c r="O1030">
        <v>7695.5690430628729</v>
      </c>
      <c r="P1030">
        <v>1195.5704569371264</v>
      </c>
    </row>
    <row r="1031" spans="1:16" x14ac:dyDescent="0.25">
      <c r="A1031" s="4" t="s">
        <v>7</v>
      </c>
      <c r="B1031" s="4">
        <f>ROUND(Table13_1[[#This Row],[bmi]],1)</f>
        <v>17.3</v>
      </c>
      <c r="C1031" s="4" t="str" cm="1">
        <f t="array" ref="C1031">_xlfn.IFS(Table13_1[[#This Row],[Round BMI]]&lt;18.5,"Underweight",AND(Table13_1[[#This Row],[Round BMI]]&gt;=18.5,Table13_1[[#This Row],[Round BMI]] &lt;=24.9),"Healthy Weight",AND(Table13_1[[#This Row],[Round BMI]]&gt;=25,Table13_1[[#This Row],[Round BMI]]&lt;=29.9),"Overweight",Table13_1[[#This Row],[Round BMI]]&gt;=30,"Obese")</f>
        <v>Underweight</v>
      </c>
      <c r="D1031" s="4" t="s">
        <v>11</v>
      </c>
      <c r="E1031" s="4" t="str">
        <f>IF(Table13_1[[#This Row],[smoker]]="yes","smoker","non-smoker")</f>
        <v>non-smoker</v>
      </c>
      <c r="F1031" s="4" t="s">
        <v>14</v>
      </c>
      <c r="G1031" s="5">
        <v>37</v>
      </c>
      <c r="H1031" s="5">
        <f>IF(Table13_1[[#This Row],[smoker]]="yes",1,0)</f>
        <v>0</v>
      </c>
      <c r="I1031" s="4">
        <v>17.29</v>
      </c>
      <c r="J1031" s="4">
        <v>2</v>
      </c>
      <c r="K1031" s="12">
        <v>6877.9800999999998</v>
      </c>
      <c r="N1031">
        <v>876</v>
      </c>
      <c r="O1031">
        <v>2878.2307383023308</v>
      </c>
      <c r="P1031">
        <v>-188.11693830233071</v>
      </c>
    </row>
    <row r="1032" spans="1:16" x14ac:dyDescent="0.25">
      <c r="A1032" s="4" t="s">
        <v>7</v>
      </c>
      <c r="B1032" s="4">
        <f>ROUND(Table13_1[[#This Row],[bmi]],1)</f>
        <v>23.7</v>
      </c>
      <c r="C1032" s="4" t="str" cm="1">
        <f t="array" ref="C1032">_xlfn.IFS(Table13_1[[#This Row],[Round BMI]]&lt;18.5,"Underweight",AND(Table13_1[[#This Row],[Round BMI]]&gt;=18.5,Table13_1[[#This Row],[Round BMI]] &lt;=24.9),"Healthy Weight",AND(Table13_1[[#This Row],[Round BMI]]&gt;=25,Table13_1[[#This Row],[Round BMI]]&lt;=29.9),"Overweight",Table13_1[[#This Row],[Round BMI]]&gt;=30,"Obese")</f>
        <v>Healthy Weight</v>
      </c>
      <c r="D1032" s="4" t="s">
        <v>8</v>
      </c>
      <c r="E1032" s="4" t="str">
        <f>IF(Table13_1[[#This Row],[smoker]]="yes","smoker","non-smoker")</f>
        <v>smoker</v>
      </c>
      <c r="F1032" s="4" t="s">
        <v>13</v>
      </c>
      <c r="G1032" s="5">
        <v>46</v>
      </c>
      <c r="H1032" s="5">
        <f>IF(Table13_1[[#This Row],[smoker]]="yes",1,0)</f>
        <v>1</v>
      </c>
      <c r="I1032" s="4">
        <v>23.655000000000001</v>
      </c>
      <c r="J1032" s="4">
        <v>1</v>
      </c>
      <c r="K1032" s="12">
        <v>21677.2834</v>
      </c>
      <c r="N1032">
        <v>877</v>
      </c>
      <c r="O1032">
        <v>9727.5318135393718</v>
      </c>
      <c r="P1032">
        <v>16412.828486460628</v>
      </c>
    </row>
    <row r="1033" spans="1:16" x14ac:dyDescent="0.25">
      <c r="A1033" s="4" t="s">
        <v>7</v>
      </c>
      <c r="B1033" s="4">
        <f>ROUND(Table13_1[[#This Row],[bmi]],1)</f>
        <v>35.200000000000003</v>
      </c>
      <c r="C1033" s="4" t="str" cm="1">
        <f t="array" ref="C1033">_xlfn.IFS(Table13_1[[#This Row],[Round BMI]]&lt;18.5,"Underweight",AND(Table13_1[[#This Row],[Round BMI]]&gt;=18.5,Table13_1[[#This Row],[Round BMI]] &lt;=24.9),"Healthy Weight",AND(Table13_1[[#This Row],[Round BMI]]&gt;=25,Table13_1[[#This Row],[Round BMI]]&lt;=29.9),"Overweight",Table13_1[[#This Row],[Round BMI]]&gt;=30,"Obese")</f>
        <v>Obese</v>
      </c>
      <c r="D1033" s="4" t="s">
        <v>8</v>
      </c>
      <c r="E1033" s="4" t="str">
        <f>IF(Table13_1[[#This Row],[smoker]]="yes","smoker","non-smoker")</f>
        <v>smoker</v>
      </c>
      <c r="F1033" s="4" t="s">
        <v>12</v>
      </c>
      <c r="G1033" s="5">
        <v>55</v>
      </c>
      <c r="H1033" s="5">
        <f>IF(Table13_1[[#This Row],[smoker]]="yes",1,0)</f>
        <v>1</v>
      </c>
      <c r="I1033" s="4">
        <v>35.200000000000003</v>
      </c>
      <c r="J1033" s="4">
        <v>0</v>
      </c>
      <c r="K1033" s="12">
        <v>44423.803</v>
      </c>
      <c r="N1033">
        <v>878</v>
      </c>
      <c r="O1033">
        <v>9536.4868524502563</v>
      </c>
      <c r="P1033">
        <v>-2882.6982524502564</v>
      </c>
    </row>
    <row r="1034" spans="1:16" x14ac:dyDescent="0.25">
      <c r="A1034" s="4" t="s">
        <v>7</v>
      </c>
      <c r="B1034" s="4">
        <f>ROUND(Table13_1[[#This Row],[bmi]],1)</f>
        <v>27.9</v>
      </c>
      <c r="C1034" s="4" t="str" cm="1">
        <f t="array" ref="C1034">_xlfn.IFS(Table13_1[[#This Row],[Round BMI]]&lt;18.5,"Underweight",AND(Table13_1[[#This Row],[Round BMI]]&gt;=18.5,Table13_1[[#This Row],[Round BMI]] &lt;=24.9),"Healthy Weight",AND(Table13_1[[#This Row],[Round BMI]]&gt;=25,Table13_1[[#This Row],[Round BMI]]&lt;=29.9),"Overweight",Table13_1[[#This Row],[Round BMI]]&gt;=30,"Obese")</f>
        <v>Overweight</v>
      </c>
      <c r="D1034" s="4" t="s">
        <v>11</v>
      </c>
      <c r="E1034" s="4" t="str">
        <f>IF(Table13_1[[#This Row],[smoker]]="yes","smoker","non-smoker")</f>
        <v>non-smoker</v>
      </c>
      <c r="F1034" s="4" t="s">
        <v>14</v>
      </c>
      <c r="G1034" s="5">
        <v>30</v>
      </c>
      <c r="H1034" s="5">
        <f>IF(Table13_1[[#This Row],[smoker]]="yes",1,0)</f>
        <v>0</v>
      </c>
      <c r="I1034" s="4">
        <v>27.93</v>
      </c>
      <c r="J1034" s="4">
        <v>0</v>
      </c>
      <c r="K1034" s="12">
        <v>4137.5227000000004</v>
      </c>
      <c r="N1034">
        <v>879</v>
      </c>
      <c r="O1034">
        <v>8211.8831397265858</v>
      </c>
      <c r="P1034">
        <v>-1929.6481397265861</v>
      </c>
    </row>
    <row r="1035" spans="1:16" x14ac:dyDescent="0.25">
      <c r="A1035" s="4" t="s">
        <v>10</v>
      </c>
      <c r="B1035" s="4">
        <f>ROUND(Table13_1[[#This Row],[bmi]],1)</f>
        <v>21.6</v>
      </c>
      <c r="C1035" s="4" t="str" cm="1">
        <f t="array" ref="C1035">_xlfn.IFS(Table13_1[[#This Row],[Round BMI]]&lt;18.5,"Underweight",AND(Table13_1[[#This Row],[Round BMI]]&gt;=18.5,Table13_1[[#This Row],[Round BMI]] &lt;=24.9),"Healthy Weight",AND(Table13_1[[#This Row],[Round BMI]]&gt;=25,Table13_1[[#This Row],[Round BMI]]&lt;=29.9),"Overweight",Table13_1[[#This Row],[Round BMI]]&gt;=30,"Obese")</f>
        <v>Healthy Weight</v>
      </c>
      <c r="D1035" s="4" t="s">
        <v>8</v>
      </c>
      <c r="E1035" s="4" t="str">
        <f>IF(Table13_1[[#This Row],[smoker]]="yes","smoker","non-smoker")</f>
        <v>smoker</v>
      </c>
      <c r="F1035" s="4" t="s">
        <v>14</v>
      </c>
      <c r="G1035" s="5">
        <v>18</v>
      </c>
      <c r="H1035" s="5">
        <f>IF(Table13_1[[#This Row],[smoker]]="yes",1,0)</f>
        <v>1</v>
      </c>
      <c r="I1035" s="4">
        <v>21.565000000000001</v>
      </c>
      <c r="J1035" s="4">
        <v>0</v>
      </c>
      <c r="K1035" s="12">
        <v>13747.8724</v>
      </c>
      <c r="N1035">
        <v>880</v>
      </c>
      <c r="O1035">
        <v>7879.2834079398335</v>
      </c>
      <c r="P1035">
        <v>-1567.3314079398333</v>
      </c>
    </row>
    <row r="1036" spans="1:16" x14ac:dyDescent="0.25">
      <c r="A1036" s="4" t="s">
        <v>10</v>
      </c>
      <c r="B1036" s="4">
        <f>ROUND(Table13_1[[#This Row],[bmi]],1)</f>
        <v>38.4</v>
      </c>
      <c r="C1036" s="4" t="str" cm="1">
        <f t="array" ref="C1036">_xlfn.IFS(Table13_1[[#This Row],[Round BMI]]&lt;18.5,"Underweight",AND(Table13_1[[#This Row],[Round BMI]]&gt;=18.5,Table13_1[[#This Row],[Round BMI]] &lt;=24.9),"Healthy Weight",AND(Table13_1[[#This Row],[Round BMI]]&gt;=25,Table13_1[[#This Row],[Round BMI]]&lt;=29.9),"Overweight",Table13_1[[#This Row],[Round BMI]]&gt;=30,"Obese")</f>
        <v>Obese</v>
      </c>
      <c r="D1036" s="4" t="s">
        <v>11</v>
      </c>
      <c r="E1036" s="4" t="str">
        <f>IF(Table13_1[[#This Row],[smoker]]="yes","smoker","non-smoker")</f>
        <v>non-smoker</v>
      </c>
      <c r="F1036" s="4" t="s">
        <v>13</v>
      </c>
      <c r="G1036" s="5">
        <v>61</v>
      </c>
      <c r="H1036" s="5">
        <f>IF(Table13_1[[#This Row],[smoker]]="yes",1,0)</f>
        <v>0</v>
      </c>
      <c r="I1036" s="4">
        <v>38.380000000000003</v>
      </c>
      <c r="J1036" s="4">
        <v>0</v>
      </c>
      <c r="K1036" s="12">
        <v>12950.0712</v>
      </c>
      <c r="N1036">
        <v>881</v>
      </c>
      <c r="O1036">
        <v>6190.8555485887418</v>
      </c>
      <c r="P1036">
        <v>-2747.791548588742</v>
      </c>
    </row>
    <row r="1037" spans="1:16" x14ac:dyDescent="0.25">
      <c r="A1037" s="4" t="s">
        <v>7</v>
      </c>
      <c r="B1037" s="4">
        <f>ROUND(Table13_1[[#This Row],[bmi]],1)</f>
        <v>23</v>
      </c>
      <c r="C1037" s="4" t="str" cm="1">
        <f t="array" ref="C1037">_xlfn.IFS(Table13_1[[#This Row],[Round BMI]]&lt;18.5,"Underweight",AND(Table13_1[[#This Row],[Round BMI]]&gt;=18.5,Table13_1[[#This Row],[Round BMI]] &lt;=24.9),"Healthy Weight",AND(Table13_1[[#This Row],[Round BMI]]&gt;=25,Table13_1[[#This Row],[Round BMI]]&lt;=29.9),"Overweight",Table13_1[[#This Row],[Round BMI]]&gt;=30,"Obese")</f>
        <v>Healthy Weight</v>
      </c>
      <c r="D1037" s="4" t="s">
        <v>11</v>
      </c>
      <c r="E1037" s="4" t="str">
        <f>IF(Table13_1[[#This Row],[smoker]]="yes","smoker","non-smoker")</f>
        <v>non-smoker</v>
      </c>
      <c r="F1037" s="4" t="s">
        <v>9</v>
      </c>
      <c r="G1037" s="5">
        <v>54</v>
      </c>
      <c r="H1037" s="5">
        <f>IF(Table13_1[[#This Row],[smoker]]="yes",1,0)</f>
        <v>0</v>
      </c>
      <c r="I1037" s="4">
        <v>23</v>
      </c>
      <c r="J1037" s="4">
        <v>3</v>
      </c>
      <c r="K1037" s="12">
        <v>12094.477999999999</v>
      </c>
      <c r="N1037">
        <v>882</v>
      </c>
      <c r="O1037">
        <v>3107.1259876888321</v>
      </c>
      <c r="P1037">
        <v>-318.06858768883194</v>
      </c>
    </row>
    <row r="1038" spans="1:16" x14ac:dyDescent="0.25">
      <c r="A1038" s="4" t="s">
        <v>10</v>
      </c>
      <c r="B1038" s="4">
        <f>ROUND(Table13_1[[#This Row],[bmi]],1)</f>
        <v>37.1</v>
      </c>
      <c r="C1038" s="4" t="str" cm="1">
        <f t="array" ref="C1038">_xlfn.IFS(Table13_1[[#This Row],[Round BMI]]&lt;18.5,"Underweight",AND(Table13_1[[#This Row],[Round BMI]]&gt;=18.5,Table13_1[[#This Row],[Round BMI]] &lt;=24.9),"Healthy Weight",AND(Table13_1[[#This Row],[Round BMI]]&gt;=25,Table13_1[[#This Row],[Round BMI]]&lt;=29.9),"Overweight",Table13_1[[#This Row],[Round BMI]]&gt;=30,"Obese")</f>
        <v>Obese</v>
      </c>
      <c r="D1038" s="4" t="s">
        <v>8</v>
      </c>
      <c r="E1038" s="4" t="str">
        <f>IF(Table13_1[[#This Row],[smoker]]="yes","smoker","non-smoker")</f>
        <v>smoker</v>
      </c>
      <c r="F1038" s="4" t="s">
        <v>12</v>
      </c>
      <c r="G1038" s="5">
        <v>22</v>
      </c>
      <c r="H1038" s="5">
        <f>IF(Table13_1[[#This Row],[smoker]]="yes",1,0)</f>
        <v>1</v>
      </c>
      <c r="I1038" s="4">
        <v>37.07</v>
      </c>
      <c r="J1038" s="4">
        <v>2</v>
      </c>
      <c r="K1038" s="12">
        <v>37484.4493</v>
      </c>
      <c r="N1038">
        <v>883</v>
      </c>
      <c r="O1038">
        <v>436.25107763696178</v>
      </c>
      <c r="P1038">
        <v>2149.5995223630384</v>
      </c>
    </row>
    <row r="1039" spans="1:16" x14ac:dyDescent="0.25">
      <c r="A1039" s="4" t="s">
        <v>7</v>
      </c>
      <c r="B1039" s="4">
        <f>ROUND(Table13_1[[#This Row],[bmi]],1)</f>
        <v>30.5</v>
      </c>
      <c r="C1039" s="4" t="str" cm="1">
        <f t="array" ref="C1039">_xlfn.IFS(Table13_1[[#This Row],[Round BMI]]&lt;18.5,"Underweight",AND(Table13_1[[#This Row],[Round BMI]]&gt;=18.5,Table13_1[[#This Row],[Round BMI]] &lt;=24.9),"Healthy Weight",AND(Table13_1[[#This Row],[Round BMI]]&gt;=25,Table13_1[[#This Row],[Round BMI]]&lt;=29.9),"Overweight",Table13_1[[#This Row],[Round BMI]]&gt;=30,"Obese")</f>
        <v>Obese</v>
      </c>
      <c r="D1039" s="4" t="s">
        <v>8</v>
      </c>
      <c r="E1039" s="4" t="str">
        <f>IF(Table13_1[[#This Row],[smoker]]="yes","smoker","non-smoker")</f>
        <v>smoker</v>
      </c>
      <c r="F1039" s="4" t="s">
        <v>13</v>
      </c>
      <c r="G1039" s="5">
        <v>45</v>
      </c>
      <c r="H1039" s="5">
        <f>IF(Table13_1[[#This Row],[smoker]]="yes",1,0)</f>
        <v>1</v>
      </c>
      <c r="I1039" s="4">
        <v>30.495000000000001</v>
      </c>
      <c r="J1039" s="4">
        <v>1</v>
      </c>
      <c r="K1039" s="12">
        <v>39725.517999999996</v>
      </c>
      <c r="N1039">
        <v>884</v>
      </c>
      <c r="O1039">
        <v>38204.056763577319</v>
      </c>
      <c r="P1039">
        <v>8051.0557364226843</v>
      </c>
    </row>
    <row r="1040" spans="1:16" x14ac:dyDescent="0.25">
      <c r="A1040" s="4" t="s">
        <v>10</v>
      </c>
      <c r="B1040" s="4">
        <f>ROUND(Table13_1[[#This Row],[bmi]],1)</f>
        <v>28.9</v>
      </c>
      <c r="C1040" s="4" t="str" cm="1">
        <f t="array" ref="C1040">_xlfn.IFS(Table13_1[[#This Row],[Round BMI]]&lt;18.5,"Underweight",AND(Table13_1[[#This Row],[Round BMI]]&gt;=18.5,Table13_1[[#This Row],[Round BMI]] &lt;=24.9),"Healthy Weight",AND(Table13_1[[#This Row],[Round BMI]]&gt;=25,Table13_1[[#This Row],[Round BMI]]&lt;=29.9),"Overweight",Table13_1[[#This Row],[Round BMI]]&gt;=30,"Obese")</f>
        <v>Overweight</v>
      </c>
      <c r="D1040" s="4" t="s">
        <v>11</v>
      </c>
      <c r="E1040" s="4" t="str">
        <f>IF(Table13_1[[#This Row],[smoker]]="yes","smoker","non-smoker")</f>
        <v>non-smoker</v>
      </c>
      <c r="F1040" s="4" t="s">
        <v>14</v>
      </c>
      <c r="G1040" s="5">
        <v>22</v>
      </c>
      <c r="H1040" s="5">
        <f>IF(Table13_1[[#This Row],[smoker]]="yes",1,0)</f>
        <v>0</v>
      </c>
      <c r="I1040" s="4">
        <v>28.88</v>
      </c>
      <c r="J1040" s="4">
        <v>0</v>
      </c>
      <c r="K1040" s="12">
        <v>2250.8352</v>
      </c>
      <c r="N1040">
        <v>885</v>
      </c>
      <c r="O1040">
        <v>4829.3007660976073</v>
      </c>
      <c r="P1040">
        <v>48.680233902392501</v>
      </c>
    </row>
    <row r="1041" spans="1:16" x14ac:dyDescent="0.25">
      <c r="A1041" s="4" t="s">
        <v>10</v>
      </c>
      <c r="B1041" s="4">
        <f>ROUND(Table13_1[[#This Row],[bmi]],1)</f>
        <v>27.3</v>
      </c>
      <c r="C1041" s="4" t="str" cm="1">
        <f t="array" ref="C1041">_xlfn.IFS(Table13_1[[#This Row],[Round BMI]]&lt;18.5,"Underweight",AND(Table13_1[[#This Row],[Round BMI]]&gt;=18.5,Table13_1[[#This Row],[Round BMI]] &lt;=24.9),"Healthy Weight",AND(Table13_1[[#This Row],[Round BMI]]&gt;=25,Table13_1[[#This Row],[Round BMI]]&lt;=29.9),"Overweight",Table13_1[[#This Row],[Round BMI]]&gt;=30,"Obese")</f>
        <v>Overweight</v>
      </c>
      <c r="D1041" s="4" t="s">
        <v>11</v>
      </c>
      <c r="E1041" s="4" t="str">
        <f>IF(Table13_1[[#This Row],[smoker]]="yes","smoker","non-smoker")</f>
        <v>non-smoker</v>
      </c>
      <c r="F1041" s="4" t="s">
        <v>13</v>
      </c>
      <c r="G1041" s="5">
        <v>19</v>
      </c>
      <c r="H1041" s="5">
        <f>IF(Table13_1[[#This Row],[smoker]]="yes",1,0)</f>
        <v>0</v>
      </c>
      <c r="I1041" s="4">
        <v>27.265000000000001</v>
      </c>
      <c r="J1041" s="4">
        <v>2</v>
      </c>
      <c r="K1041" s="12">
        <v>22493.659599999999</v>
      </c>
      <c r="N1041">
        <v>886</v>
      </c>
      <c r="O1041">
        <v>29744.478102138262</v>
      </c>
      <c r="P1041">
        <v>-10024.783402138262</v>
      </c>
    </row>
    <row r="1042" spans="1:16" x14ac:dyDescent="0.25">
      <c r="A1042" s="4" t="s">
        <v>7</v>
      </c>
      <c r="B1042" s="4">
        <f>ROUND(Table13_1[[#This Row],[bmi]],1)</f>
        <v>28</v>
      </c>
      <c r="C1042" s="4" t="str" cm="1">
        <f t="array" ref="C1042">_xlfn.IFS(Table13_1[[#This Row],[Round BMI]]&lt;18.5,"Underweight",AND(Table13_1[[#This Row],[Round BMI]]&gt;=18.5,Table13_1[[#This Row],[Round BMI]] &lt;=24.9),"Healthy Weight",AND(Table13_1[[#This Row],[Round BMI]]&gt;=25,Table13_1[[#This Row],[Round BMI]]&lt;=29.9),"Overweight",Table13_1[[#This Row],[Round BMI]]&gt;=30,"Obese")</f>
        <v>Overweight</v>
      </c>
      <c r="D1042" s="4" t="s">
        <v>8</v>
      </c>
      <c r="E1042" s="4" t="str">
        <f>IF(Table13_1[[#This Row],[smoker]]="yes","smoker","non-smoker")</f>
        <v>smoker</v>
      </c>
      <c r="F1042" s="4" t="s">
        <v>13</v>
      </c>
      <c r="G1042" s="5">
        <v>35</v>
      </c>
      <c r="H1042" s="5">
        <f>IF(Table13_1[[#This Row],[smoker]]="yes",1,0)</f>
        <v>1</v>
      </c>
      <c r="I1042" s="4">
        <v>28.024999999999999</v>
      </c>
      <c r="J1042" s="4">
        <v>0</v>
      </c>
      <c r="K1042" s="12">
        <v>20234.854800000001</v>
      </c>
      <c r="N1042">
        <v>887</v>
      </c>
      <c r="O1042">
        <v>35731.69678297919</v>
      </c>
      <c r="P1042">
        <v>-8513.2595829791899</v>
      </c>
    </row>
    <row r="1043" spans="1:16" x14ac:dyDescent="0.25">
      <c r="A1043" s="4" t="s">
        <v>10</v>
      </c>
      <c r="B1043" s="4">
        <f>ROUND(Table13_1[[#This Row],[bmi]],1)</f>
        <v>23.1</v>
      </c>
      <c r="C1043" s="4" t="str" cm="1">
        <f t="array" ref="C1043">_xlfn.IFS(Table13_1[[#This Row],[Round BMI]]&lt;18.5,"Underweight",AND(Table13_1[[#This Row],[Round BMI]]&gt;=18.5,Table13_1[[#This Row],[Round BMI]] &lt;=24.9),"Healthy Weight",AND(Table13_1[[#This Row],[Round BMI]]&gt;=25,Table13_1[[#This Row],[Round BMI]]&lt;=29.9),"Overweight",Table13_1[[#This Row],[Round BMI]]&gt;=30,"Obese")</f>
        <v>Healthy Weight</v>
      </c>
      <c r="D1043" s="4" t="s">
        <v>11</v>
      </c>
      <c r="E1043" s="4" t="str">
        <f>IF(Table13_1[[#This Row],[smoker]]="yes","smoker","non-smoker")</f>
        <v>non-smoker</v>
      </c>
      <c r="F1043" s="4" t="s">
        <v>14</v>
      </c>
      <c r="G1043" s="5">
        <v>18</v>
      </c>
      <c r="H1043" s="5">
        <f>IF(Table13_1[[#This Row],[smoker]]="yes",1,0)</f>
        <v>0</v>
      </c>
      <c r="I1043" s="4">
        <v>23.085000000000001</v>
      </c>
      <c r="J1043" s="4">
        <v>0</v>
      </c>
      <c r="K1043" s="12">
        <v>1704.7002</v>
      </c>
      <c r="N1043">
        <v>888</v>
      </c>
      <c r="O1043">
        <v>6841.7919989952625</v>
      </c>
      <c r="P1043">
        <v>-1569.6161989952625</v>
      </c>
    </row>
    <row r="1044" spans="1:16" x14ac:dyDescent="0.25">
      <c r="A1044" s="4" t="s">
        <v>10</v>
      </c>
      <c r="B1044" s="4">
        <f>ROUND(Table13_1[[#This Row],[bmi]],1)</f>
        <v>30.7</v>
      </c>
      <c r="C1044" s="4" t="str" cm="1">
        <f t="array" ref="C1044">_xlfn.IFS(Table13_1[[#This Row],[Round BMI]]&lt;18.5,"Underweight",AND(Table13_1[[#This Row],[Round BMI]]&gt;=18.5,Table13_1[[#This Row],[Round BMI]] &lt;=24.9),"Healthy Weight",AND(Table13_1[[#This Row],[Round BMI]]&gt;=25,Table13_1[[#This Row],[Round BMI]]&lt;=29.9),"Overweight",Table13_1[[#This Row],[Round BMI]]&gt;=30,"Obese")</f>
        <v>Obese</v>
      </c>
      <c r="D1044" s="4" t="s">
        <v>8</v>
      </c>
      <c r="E1044" s="4" t="str">
        <f>IF(Table13_1[[#This Row],[smoker]]="yes","smoker","non-smoker")</f>
        <v>smoker</v>
      </c>
      <c r="F1044" s="4" t="s">
        <v>14</v>
      </c>
      <c r="G1044" s="5">
        <v>20</v>
      </c>
      <c r="H1044" s="5">
        <f>IF(Table13_1[[#This Row],[smoker]]="yes",1,0)</f>
        <v>1</v>
      </c>
      <c r="I1044" s="4">
        <v>30.684999999999999</v>
      </c>
      <c r="J1044" s="4">
        <v>0</v>
      </c>
      <c r="K1044" s="12">
        <v>33475.817199999998</v>
      </c>
      <c r="N1044">
        <v>889</v>
      </c>
      <c r="O1044">
        <v>6283.0501953049725</v>
      </c>
      <c r="P1044">
        <v>-4600.4531953049727</v>
      </c>
    </row>
    <row r="1045" spans="1:16" x14ac:dyDescent="0.25">
      <c r="A1045" s="4" t="s">
        <v>7</v>
      </c>
      <c r="B1045" s="4">
        <f>ROUND(Table13_1[[#This Row],[bmi]],1)</f>
        <v>25.8</v>
      </c>
      <c r="C1045" s="4" t="str" cm="1">
        <f t="array" ref="C1045">_xlfn.IFS(Table13_1[[#This Row],[Round BMI]]&lt;18.5,"Underweight",AND(Table13_1[[#This Row],[Round BMI]]&gt;=18.5,Table13_1[[#This Row],[Round BMI]] &lt;=24.9),"Healthy Weight",AND(Table13_1[[#This Row],[Round BMI]]&gt;=25,Table13_1[[#This Row],[Round BMI]]&lt;=29.9),"Overweight",Table13_1[[#This Row],[Round BMI]]&gt;=30,"Obese")</f>
        <v>Overweight</v>
      </c>
      <c r="D1045" s="4" t="s">
        <v>11</v>
      </c>
      <c r="E1045" s="4" t="str">
        <f>IF(Table13_1[[#This Row],[smoker]]="yes","smoker","non-smoker")</f>
        <v>non-smoker</v>
      </c>
      <c r="F1045" s="4" t="s">
        <v>9</v>
      </c>
      <c r="G1045" s="5">
        <v>28</v>
      </c>
      <c r="H1045" s="5">
        <f>IF(Table13_1[[#This Row],[smoker]]="yes",1,0)</f>
        <v>0</v>
      </c>
      <c r="I1045" s="4">
        <v>25.8</v>
      </c>
      <c r="J1045" s="4">
        <v>0</v>
      </c>
      <c r="K1045" s="12">
        <v>3161.4540000000002</v>
      </c>
      <c r="N1045">
        <v>890</v>
      </c>
      <c r="O1045">
        <v>13892.017532735337</v>
      </c>
      <c r="P1045">
        <v>-1946.8848327353371</v>
      </c>
    </row>
    <row r="1046" spans="1:16" x14ac:dyDescent="0.25">
      <c r="A1046" s="4" t="s">
        <v>10</v>
      </c>
      <c r="B1046" s="4">
        <f>ROUND(Table13_1[[#This Row],[bmi]],1)</f>
        <v>35.200000000000003</v>
      </c>
      <c r="C1046" s="4" t="str" cm="1">
        <f t="array" ref="C1046">_xlfn.IFS(Table13_1[[#This Row],[Round BMI]]&lt;18.5,"Underweight",AND(Table13_1[[#This Row],[Round BMI]]&gt;=18.5,Table13_1[[#This Row],[Round BMI]] &lt;=24.9),"Healthy Weight",AND(Table13_1[[#This Row],[Round BMI]]&gt;=25,Table13_1[[#This Row],[Round BMI]]&lt;=29.9),"Overweight",Table13_1[[#This Row],[Round BMI]]&gt;=30,"Obese")</f>
        <v>Obese</v>
      </c>
      <c r="D1046" s="4" t="s">
        <v>11</v>
      </c>
      <c r="E1046" s="4" t="str">
        <f>IF(Table13_1[[#This Row],[smoker]]="yes","smoker","non-smoker")</f>
        <v>non-smoker</v>
      </c>
      <c r="F1046" s="4" t="s">
        <v>14</v>
      </c>
      <c r="G1046" s="5">
        <v>55</v>
      </c>
      <c r="H1046" s="5">
        <f>IF(Table13_1[[#This Row],[smoker]]="yes",1,0)</f>
        <v>0</v>
      </c>
      <c r="I1046" s="4">
        <v>35.244999999999997</v>
      </c>
      <c r="J1046" s="4">
        <v>1</v>
      </c>
      <c r="K1046" s="12">
        <v>11394.0656</v>
      </c>
      <c r="N1046">
        <v>891</v>
      </c>
      <c r="O1046">
        <v>36863.973902353551</v>
      </c>
      <c r="P1046">
        <v>-7532.9907023535525</v>
      </c>
    </row>
    <row r="1047" spans="1:16" x14ac:dyDescent="0.25">
      <c r="A1047" s="4" t="s">
        <v>7</v>
      </c>
      <c r="B1047" s="4">
        <f>ROUND(Table13_1[[#This Row],[bmi]],1)</f>
        <v>24.7</v>
      </c>
      <c r="C1047" s="4" t="str" cm="1">
        <f t="array" ref="C1047">_xlfn.IFS(Table13_1[[#This Row],[Round BMI]]&lt;18.5,"Underweight",AND(Table13_1[[#This Row],[Round BMI]]&gt;=18.5,Table13_1[[#This Row],[Round BMI]] &lt;=24.9),"Healthy Weight",AND(Table13_1[[#This Row],[Round BMI]]&gt;=25,Table13_1[[#This Row],[Round BMI]]&lt;=29.9),"Overweight",Table13_1[[#This Row],[Round BMI]]&gt;=30,"Obese")</f>
        <v>Healthy Weight</v>
      </c>
      <c r="D1047" s="4" t="s">
        <v>8</v>
      </c>
      <c r="E1047" s="4" t="str">
        <f>IF(Table13_1[[#This Row],[smoker]]="yes","smoker","non-smoker")</f>
        <v>smoker</v>
      </c>
      <c r="F1047" s="4" t="s">
        <v>13</v>
      </c>
      <c r="G1047" s="5">
        <v>43</v>
      </c>
      <c r="H1047" s="5">
        <f>IF(Table13_1[[#This Row],[smoker]]="yes",1,0)</f>
        <v>1</v>
      </c>
      <c r="I1047" s="4">
        <v>24.7</v>
      </c>
      <c r="J1047" s="4">
        <v>2</v>
      </c>
      <c r="K1047" s="12">
        <v>21880.82</v>
      </c>
      <c r="N1047">
        <v>892</v>
      </c>
      <c r="O1047">
        <v>8420.3868863941661</v>
      </c>
      <c r="P1047">
        <v>-1176.5732863941657</v>
      </c>
    </row>
    <row r="1048" spans="1:16" x14ac:dyDescent="0.25">
      <c r="A1048" s="4" t="s">
        <v>7</v>
      </c>
      <c r="B1048" s="4">
        <f>ROUND(Table13_1[[#This Row],[bmi]],1)</f>
        <v>25.1</v>
      </c>
      <c r="C1048" s="4" t="str" cm="1">
        <f t="array" ref="C1048">_xlfn.IFS(Table13_1[[#This Row],[Round BMI]]&lt;18.5,"Underweight",AND(Table13_1[[#This Row],[Round BMI]]&gt;=18.5,Table13_1[[#This Row],[Round BMI]] &lt;=24.9),"Healthy Weight",AND(Table13_1[[#This Row],[Round BMI]]&gt;=25,Table13_1[[#This Row],[Round BMI]]&lt;=29.9),"Overweight",Table13_1[[#This Row],[Round BMI]]&gt;=30,"Obese")</f>
        <v>Overweight</v>
      </c>
      <c r="D1048" s="4" t="s">
        <v>11</v>
      </c>
      <c r="E1048" s="4" t="str">
        <f>IF(Table13_1[[#This Row],[smoker]]="yes","smoker","non-smoker")</f>
        <v>non-smoker</v>
      </c>
      <c r="F1048" s="4" t="s">
        <v>14</v>
      </c>
      <c r="G1048" s="5">
        <v>43</v>
      </c>
      <c r="H1048" s="5">
        <f>IF(Table13_1[[#This Row],[smoker]]="yes",1,0)</f>
        <v>0</v>
      </c>
      <c r="I1048" s="4">
        <v>25.08</v>
      </c>
      <c r="J1048" s="4">
        <v>0</v>
      </c>
      <c r="K1048" s="12">
        <v>7325.0482000000002</v>
      </c>
      <c r="N1048">
        <v>893</v>
      </c>
      <c r="O1048">
        <v>9556.8024849370104</v>
      </c>
      <c r="P1048">
        <v>866.11411506299009</v>
      </c>
    </row>
    <row r="1049" spans="1:16" x14ac:dyDescent="0.25">
      <c r="A1049" s="4" t="s">
        <v>10</v>
      </c>
      <c r="B1049" s="4">
        <f>ROUND(Table13_1[[#This Row],[bmi]],1)</f>
        <v>52.6</v>
      </c>
      <c r="C1049" s="4" t="str" cm="1">
        <f t="array" ref="C1049">_xlfn.IFS(Table13_1[[#This Row],[Round BMI]]&lt;18.5,"Underweight",AND(Table13_1[[#This Row],[Round BMI]]&gt;=18.5,Table13_1[[#This Row],[Round BMI]] &lt;=24.9),"Healthy Weight",AND(Table13_1[[#This Row],[Round BMI]]&gt;=25,Table13_1[[#This Row],[Round BMI]]&lt;=29.9),"Overweight",Table13_1[[#This Row],[Round BMI]]&gt;=30,"Obese")</f>
        <v>Obese</v>
      </c>
      <c r="D1049" s="4" t="s">
        <v>8</v>
      </c>
      <c r="E1049" s="4" t="str">
        <f>IF(Table13_1[[#This Row],[smoker]]="yes","smoker","non-smoker")</f>
        <v>smoker</v>
      </c>
      <c r="F1049" s="4" t="s">
        <v>12</v>
      </c>
      <c r="G1049" s="5">
        <v>22</v>
      </c>
      <c r="H1049" s="5">
        <f>IF(Table13_1[[#This Row],[smoker]]="yes",1,0)</f>
        <v>1</v>
      </c>
      <c r="I1049" s="4">
        <v>52.58</v>
      </c>
      <c r="J1049" s="4">
        <v>1</v>
      </c>
      <c r="K1049" s="12">
        <v>44501.398200000003</v>
      </c>
      <c r="N1049">
        <v>894</v>
      </c>
      <c r="O1049">
        <v>37307.455570079961</v>
      </c>
      <c r="P1049">
        <v>6895.1980299200368</v>
      </c>
    </row>
    <row r="1050" spans="1:16" x14ac:dyDescent="0.25">
      <c r="A1050" s="4" t="s">
        <v>7</v>
      </c>
      <c r="B1050" s="4">
        <f>ROUND(Table13_1[[#This Row],[bmi]],1)</f>
        <v>22.5</v>
      </c>
      <c r="C1050" s="4" t="str" cm="1">
        <f t="array" ref="C1050">_xlfn.IFS(Table13_1[[#This Row],[Round BMI]]&lt;18.5,"Underweight",AND(Table13_1[[#This Row],[Round BMI]]&gt;=18.5,Table13_1[[#This Row],[Round BMI]] &lt;=24.9),"Healthy Weight",AND(Table13_1[[#This Row],[Round BMI]]&gt;=25,Table13_1[[#This Row],[Round BMI]]&lt;=29.9),"Overweight",Table13_1[[#This Row],[Round BMI]]&gt;=30,"Obese")</f>
        <v>Healthy Weight</v>
      </c>
      <c r="D1050" s="4" t="s">
        <v>11</v>
      </c>
      <c r="E1050" s="4" t="str">
        <f>IF(Table13_1[[#This Row],[smoker]]="yes","smoker","non-smoker")</f>
        <v>non-smoker</v>
      </c>
      <c r="F1050" s="4" t="s">
        <v>13</v>
      </c>
      <c r="G1050" s="5">
        <v>25</v>
      </c>
      <c r="H1050" s="5">
        <f>IF(Table13_1[[#This Row],[smoker]]="yes",1,0)</f>
        <v>0</v>
      </c>
      <c r="I1050" s="4">
        <v>22.515000000000001</v>
      </c>
      <c r="J1050" s="4">
        <v>1</v>
      </c>
      <c r="K1050" s="12">
        <v>3594.1707999999999</v>
      </c>
      <c r="N1050">
        <v>895</v>
      </c>
      <c r="O1050">
        <v>14218.54862152265</v>
      </c>
      <c r="P1050">
        <v>-663.54372152265023</v>
      </c>
    </row>
    <row r="1051" spans="1:16" x14ac:dyDescent="0.25">
      <c r="A1051" s="4" t="s">
        <v>10</v>
      </c>
      <c r="B1051" s="4">
        <f>ROUND(Table13_1[[#This Row],[bmi]],1)</f>
        <v>30.9</v>
      </c>
      <c r="C1051" s="4" t="str" cm="1">
        <f t="array" ref="C1051">_xlfn.IFS(Table13_1[[#This Row],[Round BMI]]&lt;18.5,"Underweight",AND(Table13_1[[#This Row],[Round BMI]]&gt;=18.5,Table13_1[[#This Row],[Round BMI]] &lt;=24.9),"Healthy Weight",AND(Table13_1[[#This Row],[Round BMI]]&gt;=25,Table13_1[[#This Row],[Round BMI]]&lt;=29.9),"Overweight",Table13_1[[#This Row],[Round BMI]]&gt;=30,"Obese")</f>
        <v>Obese</v>
      </c>
      <c r="D1051" s="4" t="s">
        <v>8</v>
      </c>
      <c r="E1051" s="4" t="str">
        <f>IF(Table13_1[[#This Row],[smoker]]="yes","smoker","non-smoker")</f>
        <v>smoker</v>
      </c>
      <c r="F1051" s="4" t="s">
        <v>9</v>
      </c>
      <c r="G1051" s="5">
        <v>49</v>
      </c>
      <c r="H1051" s="5">
        <f>IF(Table13_1[[#This Row],[smoker]]="yes",1,0)</f>
        <v>1</v>
      </c>
      <c r="I1051" s="4">
        <v>30.9</v>
      </c>
      <c r="J1051" s="4">
        <v>0</v>
      </c>
      <c r="K1051" s="12">
        <v>39727.614000000001</v>
      </c>
      <c r="N1051">
        <v>896</v>
      </c>
      <c r="O1051">
        <v>17787.512293974309</v>
      </c>
      <c r="P1051">
        <v>-4723.6292939743089</v>
      </c>
    </row>
    <row r="1052" spans="1:16" x14ac:dyDescent="0.25">
      <c r="A1052" s="4" t="s">
        <v>7</v>
      </c>
      <c r="B1052" s="4">
        <f>ROUND(Table13_1[[#This Row],[bmi]],1)</f>
        <v>37</v>
      </c>
      <c r="C1052" s="4" t="str" cm="1">
        <f t="array" ref="C1052">_xlfn.IFS(Table13_1[[#This Row],[Round BMI]]&lt;18.5,"Underweight",AND(Table13_1[[#This Row],[Round BMI]]&gt;=18.5,Table13_1[[#This Row],[Round BMI]] &lt;=24.9),"Healthy Weight",AND(Table13_1[[#This Row],[Round BMI]]&gt;=25,Table13_1[[#This Row],[Round BMI]]&lt;=29.9),"Overweight",Table13_1[[#This Row],[Round BMI]]&gt;=30,"Obese")</f>
        <v>Obese</v>
      </c>
      <c r="D1052" s="4" t="s">
        <v>11</v>
      </c>
      <c r="E1052" s="4" t="str">
        <f>IF(Table13_1[[#This Row],[smoker]]="yes","smoker","non-smoker")</f>
        <v>non-smoker</v>
      </c>
      <c r="F1052" s="4" t="s">
        <v>13</v>
      </c>
      <c r="G1052" s="5">
        <v>44</v>
      </c>
      <c r="H1052" s="5">
        <f>IF(Table13_1[[#This Row],[smoker]]="yes",1,0)</f>
        <v>0</v>
      </c>
      <c r="I1052" s="4">
        <v>36.954999999999998</v>
      </c>
      <c r="J1052" s="4">
        <v>1</v>
      </c>
      <c r="K1052" s="12">
        <v>8023.1354000000001</v>
      </c>
      <c r="N1052">
        <v>897</v>
      </c>
      <c r="O1052">
        <v>30194.67528407383</v>
      </c>
      <c r="P1052">
        <v>-10396.62068407383</v>
      </c>
    </row>
    <row r="1053" spans="1:16" x14ac:dyDescent="0.25">
      <c r="A1053" s="4" t="s">
        <v>10</v>
      </c>
      <c r="B1053" s="4">
        <f>ROUND(Table13_1[[#This Row],[bmi]],1)</f>
        <v>26.4</v>
      </c>
      <c r="C1053" s="4" t="str" cm="1">
        <f t="array" ref="C1053">_xlfn.IFS(Table13_1[[#This Row],[Round BMI]]&lt;18.5,"Underweight",AND(Table13_1[[#This Row],[Round BMI]]&gt;=18.5,Table13_1[[#This Row],[Round BMI]] &lt;=24.9),"Healthy Weight",AND(Table13_1[[#This Row],[Round BMI]]&gt;=25,Table13_1[[#This Row],[Round BMI]]&lt;=29.9),"Overweight",Table13_1[[#This Row],[Round BMI]]&gt;=30,"Obese")</f>
        <v>Overweight</v>
      </c>
      <c r="D1053" s="4" t="s">
        <v>11</v>
      </c>
      <c r="E1053" s="4" t="str">
        <f>IF(Table13_1[[#This Row],[smoker]]="yes","smoker","non-smoker")</f>
        <v>non-smoker</v>
      </c>
      <c r="F1053" s="4" t="s">
        <v>14</v>
      </c>
      <c r="G1053" s="5">
        <v>64</v>
      </c>
      <c r="H1053" s="5">
        <f>IF(Table13_1[[#This Row],[smoker]]="yes",1,0)</f>
        <v>0</v>
      </c>
      <c r="I1053" s="4">
        <v>26.41</v>
      </c>
      <c r="J1053" s="4">
        <v>0</v>
      </c>
      <c r="K1053" s="12">
        <v>14394.5579</v>
      </c>
      <c r="N1053">
        <v>898</v>
      </c>
      <c r="O1053">
        <v>1494.7861762390189</v>
      </c>
      <c r="P1053">
        <v>726.77822376098129</v>
      </c>
    </row>
    <row r="1054" spans="1:16" x14ac:dyDescent="0.25">
      <c r="A1054" s="4" t="s">
        <v>10</v>
      </c>
      <c r="B1054" s="4">
        <f>ROUND(Table13_1[[#This Row],[bmi]],1)</f>
        <v>29.8</v>
      </c>
      <c r="C1054" s="4" t="str" cm="1">
        <f t="array" ref="C1054">_xlfn.IFS(Table13_1[[#This Row],[Round BMI]]&lt;18.5,"Underweight",AND(Table13_1[[#This Row],[Round BMI]]&gt;=18.5,Table13_1[[#This Row],[Round BMI]] &lt;=24.9),"Healthy Weight",AND(Table13_1[[#This Row],[Round BMI]]&gt;=25,Table13_1[[#This Row],[Round BMI]]&lt;=29.9),"Overweight",Table13_1[[#This Row],[Round BMI]]&gt;=30,"Obese")</f>
        <v>Overweight</v>
      </c>
      <c r="D1054" s="4" t="s">
        <v>11</v>
      </c>
      <c r="E1054" s="4" t="str">
        <f>IF(Table13_1[[#This Row],[smoker]]="yes","smoker","non-smoker")</f>
        <v>non-smoker</v>
      </c>
      <c r="F1054" s="4" t="s">
        <v>14</v>
      </c>
      <c r="G1054" s="5">
        <v>49</v>
      </c>
      <c r="H1054" s="5">
        <f>IF(Table13_1[[#This Row],[smoker]]="yes",1,0)</f>
        <v>0</v>
      </c>
      <c r="I1054" s="4">
        <v>29.83</v>
      </c>
      <c r="J1054" s="4">
        <v>1</v>
      </c>
      <c r="K1054" s="12">
        <v>9288.0267000000003</v>
      </c>
      <c r="N1054">
        <v>899</v>
      </c>
      <c r="O1054">
        <v>5496.2592321428692</v>
      </c>
      <c r="P1054">
        <v>-3861.685832142869</v>
      </c>
    </row>
    <row r="1055" spans="1:16" x14ac:dyDescent="0.25">
      <c r="A1055" s="4" t="s">
        <v>10</v>
      </c>
      <c r="B1055" s="4">
        <f>ROUND(Table13_1[[#This Row],[bmi]],1)</f>
        <v>29.8</v>
      </c>
      <c r="C1055" s="4" t="str" cm="1">
        <f t="array" ref="C1055">_xlfn.IFS(Table13_1[[#This Row],[Round BMI]]&lt;18.5,"Underweight",AND(Table13_1[[#This Row],[Round BMI]]&gt;=18.5,Table13_1[[#This Row],[Round BMI]] &lt;=24.9),"Healthy Weight",AND(Table13_1[[#This Row],[Round BMI]]&gt;=25,Table13_1[[#This Row],[Round BMI]]&lt;=29.9),"Overweight",Table13_1[[#This Row],[Round BMI]]&gt;=30,"Obese")</f>
        <v>Overweight</v>
      </c>
      <c r="D1055" s="4" t="s">
        <v>8</v>
      </c>
      <c r="E1055" s="4" t="str">
        <f>IF(Table13_1[[#This Row],[smoker]]="yes","smoker","non-smoker")</f>
        <v>smoker</v>
      </c>
      <c r="F1055" s="4" t="s">
        <v>9</v>
      </c>
      <c r="G1055" s="5">
        <v>47</v>
      </c>
      <c r="H1055" s="5">
        <f>IF(Table13_1[[#This Row],[smoker]]="yes",1,0)</f>
        <v>1</v>
      </c>
      <c r="I1055" s="4">
        <v>29.8</v>
      </c>
      <c r="J1055" s="4">
        <v>3</v>
      </c>
      <c r="K1055" s="12">
        <v>25309.489000000001</v>
      </c>
      <c r="N1055">
        <v>900</v>
      </c>
      <c r="O1055">
        <v>42.85559605591061</v>
      </c>
      <c r="P1055">
        <v>2074.4832039440894</v>
      </c>
    </row>
    <row r="1056" spans="1:16" x14ac:dyDescent="0.25">
      <c r="A1056" s="4" t="s">
        <v>7</v>
      </c>
      <c r="B1056" s="4">
        <f>ROUND(Table13_1[[#This Row],[bmi]],1)</f>
        <v>21.5</v>
      </c>
      <c r="C1056" s="4" t="str" cm="1">
        <f t="array" ref="C1056">_xlfn.IFS(Table13_1[[#This Row],[Round BMI]]&lt;18.5,"Underweight",AND(Table13_1[[#This Row],[Round BMI]]&gt;=18.5,Table13_1[[#This Row],[Round BMI]] &lt;=24.9),"Healthy Weight",AND(Table13_1[[#This Row],[Round BMI]]&gt;=25,Table13_1[[#This Row],[Round BMI]]&lt;=29.9),"Overweight",Table13_1[[#This Row],[Round BMI]]&gt;=30,"Obese")</f>
        <v>Healthy Weight</v>
      </c>
      <c r="D1056" s="4" t="s">
        <v>11</v>
      </c>
      <c r="E1056" s="4" t="str">
        <f>IF(Table13_1[[#This Row],[smoker]]="yes","smoker","non-smoker")</f>
        <v>non-smoker</v>
      </c>
      <c r="F1056" s="4" t="s">
        <v>13</v>
      </c>
      <c r="G1056" s="5">
        <v>27</v>
      </c>
      <c r="H1056" s="5">
        <f>IF(Table13_1[[#This Row],[smoker]]="yes",1,0)</f>
        <v>0</v>
      </c>
      <c r="I1056" s="4">
        <v>21.47</v>
      </c>
      <c r="J1056" s="4">
        <v>0</v>
      </c>
      <c r="K1056" s="12">
        <v>3353.4703</v>
      </c>
      <c r="N1056">
        <v>901</v>
      </c>
      <c r="O1056">
        <v>7778.3408159665887</v>
      </c>
      <c r="P1056">
        <v>910.51798403341127</v>
      </c>
    </row>
    <row r="1057" spans="1:16" x14ac:dyDescent="0.25">
      <c r="A1057" s="4" t="s">
        <v>10</v>
      </c>
      <c r="B1057" s="4">
        <f>ROUND(Table13_1[[#This Row],[bmi]],1)</f>
        <v>27.6</v>
      </c>
      <c r="C1057" s="4" t="str" cm="1">
        <f t="array" ref="C1057">_xlfn.IFS(Table13_1[[#This Row],[Round BMI]]&lt;18.5,"Underweight",AND(Table13_1[[#This Row],[Round BMI]]&gt;=18.5,Table13_1[[#This Row],[Round BMI]] &lt;=24.9),"Healthy Weight",AND(Table13_1[[#This Row],[Round BMI]]&gt;=25,Table13_1[[#This Row],[Round BMI]]&lt;=29.9),"Overweight",Table13_1[[#This Row],[Round BMI]]&gt;=30,"Obese")</f>
        <v>Overweight</v>
      </c>
      <c r="D1057" s="4" t="s">
        <v>11</v>
      </c>
      <c r="E1057" s="4" t="str">
        <f>IF(Table13_1[[#This Row],[smoker]]="yes","smoker","non-smoker")</f>
        <v>non-smoker</v>
      </c>
      <c r="F1057" s="4" t="s">
        <v>13</v>
      </c>
      <c r="G1057" s="5">
        <v>55</v>
      </c>
      <c r="H1057" s="5">
        <f>IF(Table13_1[[#This Row],[smoker]]="yes",1,0)</f>
        <v>0</v>
      </c>
      <c r="I1057" s="4">
        <v>27.645</v>
      </c>
      <c r="J1057" s="4">
        <v>0</v>
      </c>
      <c r="K1057" s="12">
        <v>10594.5016</v>
      </c>
      <c r="N1057">
        <v>902</v>
      </c>
      <c r="O1057">
        <v>40349.76031190854</v>
      </c>
      <c r="P1057">
        <v>8323.7984880914591</v>
      </c>
    </row>
    <row r="1058" spans="1:16" x14ac:dyDescent="0.25">
      <c r="A1058" s="4" t="s">
        <v>7</v>
      </c>
      <c r="B1058" s="4">
        <f>ROUND(Table13_1[[#This Row],[bmi]],1)</f>
        <v>28.9</v>
      </c>
      <c r="C1058" s="4" t="str" cm="1">
        <f t="array" ref="C1058">_xlfn.IFS(Table13_1[[#This Row],[Round BMI]]&lt;18.5,"Underweight",AND(Table13_1[[#This Row],[Round BMI]]&gt;=18.5,Table13_1[[#This Row],[Round BMI]] &lt;=24.9),"Healthy Weight",AND(Table13_1[[#This Row],[Round BMI]]&gt;=25,Table13_1[[#This Row],[Round BMI]]&lt;=29.9),"Overweight",Table13_1[[#This Row],[Round BMI]]&gt;=30,"Obese")</f>
        <v>Overweight</v>
      </c>
      <c r="D1058" s="4" t="s">
        <v>11</v>
      </c>
      <c r="E1058" s="4" t="str">
        <f>IF(Table13_1[[#This Row],[smoker]]="yes","smoker","non-smoker")</f>
        <v>non-smoker</v>
      </c>
      <c r="F1058" s="4" t="s">
        <v>9</v>
      </c>
      <c r="G1058" s="5">
        <v>48</v>
      </c>
      <c r="H1058" s="5">
        <f>IF(Table13_1[[#This Row],[smoker]]="yes",1,0)</f>
        <v>0</v>
      </c>
      <c r="I1058" s="4">
        <v>28.9</v>
      </c>
      <c r="J1058" s="4">
        <v>0</v>
      </c>
      <c r="K1058" s="12">
        <v>8277.5229999999992</v>
      </c>
      <c r="N1058">
        <v>903</v>
      </c>
      <c r="O1058">
        <v>4797.1032575016307</v>
      </c>
      <c r="P1058">
        <v>-135.81685750163069</v>
      </c>
    </row>
    <row r="1059" spans="1:16" x14ac:dyDescent="0.25">
      <c r="A1059" s="4" t="s">
        <v>7</v>
      </c>
      <c r="B1059" s="4">
        <f>ROUND(Table13_1[[#This Row],[bmi]],1)</f>
        <v>31.8</v>
      </c>
      <c r="C1059" s="4" t="str" cm="1">
        <f t="array" ref="C1059">_xlfn.IFS(Table13_1[[#This Row],[Round BMI]]&lt;18.5,"Underweight",AND(Table13_1[[#This Row],[Round BMI]]&gt;=18.5,Table13_1[[#This Row],[Round BMI]] &lt;=24.9),"Healthy Weight",AND(Table13_1[[#This Row],[Round BMI]]&gt;=25,Table13_1[[#This Row],[Round BMI]]&lt;=29.9),"Overweight",Table13_1[[#This Row],[Round BMI]]&gt;=30,"Obese")</f>
        <v>Obese</v>
      </c>
      <c r="D1059" s="4" t="s">
        <v>11</v>
      </c>
      <c r="E1059" s="4" t="str">
        <f>IF(Table13_1[[#This Row],[smoker]]="yes","smoker","non-smoker")</f>
        <v>non-smoker</v>
      </c>
      <c r="F1059" s="4" t="s">
        <v>12</v>
      </c>
      <c r="G1059" s="5">
        <v>45</v>
      </c>
      <c r="H1059" s="5">
        <f>IF(Table13_1[[#This Row],[smoker]]="yes",1,0)</f>
        <v>0</v>
      </c>
      <c r="I1059" s="4">
        <v>31.79</v>
      </c>
      <c r="J1059" s="4">
        <v>0</v>
      </c>
      <c r="K1059" s="12">
        <v>17929.303400000001</v>
      </c>
      <c r="N1059">
        <v>904</v>
      </c>
      <c r="O1059">
        <v>12392.08067569537</v>
      </c>
      <c r="P1059">
        <v>-4266.29617569537</v>
      </c>
    </row>
    <row r="1060" spans="1:16" x14ac:dyDescent="0.25">
      <c r="A1060" s="4" t="s">
        <v>7</v>
      </c>
      <c r="B1060" s="4">
        <f>ROUND(Table13_1[[#This Row],[bmi]],1)</f>
        <v>39.5</v>
      </c>
      <c r="C1060" s="4" t="str" cm="1">
        <f t="array" ref="C1060">_xlfn.IFS(Table13_1[[#This Row],[Round BMI]]&lt;18.5,"Underweight",AND(Table13_1[[#This Row],[Round BMI]]&gt;=18.5,Table13_1[[#This Row],[Round BMI]] &lt;=24.9),"Healthy Weight",AND(Table13_1[[#This Row],[Round BMI]]&gt;=25,Table13_1[[#This Row],[Round BMI]]&lt;=29.9),"Overweight",Table13_1[[#This Row],[Round BMI]]&gt;=30,"Obese")</f>
        <v>Obese</v>
      </c>
      <c r="D1060" s="4" t="s">
        <v>11</v>
      </c>
      <c r="E1060" s="4" t="str">
        <f>IF(Table13_1[[#This Row],[smoker]]="yes","smoker","non-smoker")</f>
        <v>non-smoker</v>
      </c>
      <c r="F1060" s="4" t="s">
        <v>12</v>
      </c>
      <c r="G1060" s="5">
        <v>24</v>
      </c>
      <c r="H1060" s="5">
        <f>IF(Table13_1[[#This Row],[smoker]]="yes",1,0)</f>
        <v>0</v>
      </c>
      <c r="I1060" s="4">
        <v>39.49</v>
      </c>
      <c r="J1060" s="4">
        <v>0</v>
      </c>
      <c r="K1060" s="12">
        <v>2480.9791</v>
      </c>
      <c r="N1060">
        <v>905</v>
      </c>
      <c r="O1060">
        <v>14665.185301357164</v>
      </c>
      <c r="P1060">
        <v>-2020.5963013571636</v>
      </c>
    </row>
    <row r="1061" spans="1:16" x14ac:dyDescent="0.25">
      <c r="A1061" s="4" t="s">
        <v>10</v>
      </c>
      <c r="B1061" s="4">
        <f>ROUND(Table13_1[[#This Row],[bmi]],1)</f>
        <v>33.799999999999997</v>
      </c>
      <c r="C1061" s="4" t="str" cm="1">
        <f t="array" ref="C1061">_xlfn.IFS(Table13_1[[#This Row],[Round BMI]]&lt;18.5,"Underweight",AND(Table13_1[[#This Row],[Round BMI]]&gt;=18.5,Table13_1[[#This Row],[Round BMI]] &lt;=24.9),"Healthy Weight",AND(Table13_1[[#This Row],[Round BMI]]&gt;=25,Table13_1[[#This Row],[Round BMI]]&lt;=29.9),"Overweight",Table13_1[[#This Row],[Round BMI]]&gt;=30,"Obese")</f>
        <v>Obese</v>
      </c>
      <c r="D1061" s="4" t="s">
        <v>11</v>
      </c>
      <c r="E1061" s="4" t="str">
        <f>IF(Table13_1[[#This Row],[smoker]]="yes","smoker","non-smoker")</f>
        <v>non-smoker</v>
      </c>
      <c r="F1061" s="4" t="s">
        <v>13</v>
      </c>
      <c r="G1061" s="5">
        <v>32</v>
      </c>
      <c r="H1061" s="5">
        <f>IF(Table13_1[[#This Row],[smoker]]="yes",1,0)</f>
        <v>0</v>
      </c>
      <c r="I1061" s="4">
        <v>33.82</v>
      </c>
      <c r="J1061" s="4">
        <v>1</v>
      </c>
      <c r="K1061" s="12">
        <v>4462.7218000000003</v>
      </c>
      <c r="N1061">
        <v>906</v>
      </c>
      <c r="O1061">
        <v>4996.2703738939426</v>
      </c>
      <c r="P1061">
        <v>-432.07897389394293</v>
      </c>
    </row>
    <row r="1062" spans="1:16" x14ac:dyDescent="0.25">
      <c r="A1062" s="4" t="s">
        <v>10</v>
      </c>
      <c r="B1062" s="4">
        <f>ROUND(Table13_1[[#This Row],[bmi]],1)</f>
        <v>32</v>
      </c>
      <c r="C1062" s="4" t="str" cm="1">
        <f t="array" ref="C1062">_xlfn.IFS(Table13_1[[#This Row],[Round BMI]]&lt;18.5,"Underweight",AND(Table13_1[[#This Row],[Round BMI]]&gt;=18.5,Table13_1[[#This Row],[Round BMI]] &lt;=24.9),"Healthy Weight",AND(Table13_1[[#This Row],[Round BMI]]&gt;=25,Table13_1[[#This Row],[Round BMI]]&lt;=29.9),"Overweight",Table13_1[[#This Row],[Round BMI]]&gt;=30,"Obese")</f>
        <v>Obese</v>
      </c>
      <c r="D1062" s="4" t="s">
        <v>11</v>
      </c>
      <c r="E1062" s="4" t="str">
        <f>IF(Table13_1[[#This Row],[smoker]]="yes","smoker","non-smoker")</f>
        <v>non-smoker</v>
      </c>
      <c r="F1062" s="4" t="s">
        <v>12</v>
      </c>
      <c r="G1062" s="5">
        <v>24</v>
      </c>
      <c r="H1062" s="5">
        <f>IF(Table13_1[[#This Row],[smoker]]="yes",1,0)</f>
        <v>0</v>
      </c>
      <c r="I1062" s="4">
        <v>32.01</v>
      </c>
      <c r="J1062" s="4">
        <v>0</v>
      </c>
      <c r="K1062" s="12">
        <v>1981.5818999999999</v>
      </c>
      <c r="N1062">
        <v>907</v>
      </c>
      <c r="O1062">
        <v>6767.2022279472376</v>
      </c>
      <c r="P1062">
        <v>-1920.282027947238</v>
      </c>
    </row>
    <row r="1063" spans="1:16" x14ac:dyDescent="0.25">
      <c r="A1063" s="4" t="s">
        <v>10</v>
      </c>
      <c r="B1063" s="4">
        <f>ROUND(Table13_1[[#This Row],[bmi]],1)</f>
        <v>27.9</v>
      </c>
      <c r="C1063" s="4" t="str" cm="1">
        <f t="array" ref="C1063">_xlfn.IFS(Table13_1[[#This Row],[Round BMI]]&lt;18.5,"Underweight",AND(Table13_1[[#This Row],[Round BMI]]&gt;=18.5,Table13_1[[#This Row],[Round BMI]] &lt;=24.9),"Healthy Weight",AND(Table13_1[[#This Row],[Round BMI]]&gt;=25,Table13_1[[#This Row],[Round BMI]]&lt;=29.9),"Overweight",Table13_1[[#This Row],[Round BMI]]&gt;=30,"Obese")</f>
        <v>Overweight</v>
      </c>
      <c r="D1063" s="4" t="s">
        <v>11</v>
      </c>
      <c r="E1063" s="4" t="str">
        <f>IF(Table13_1[[#This Row],[smoker]]="yes","smoker","non-smoker")</f>
        <v>non-smoker</v>
      </c>
      <c r="F1063" s="4" t="s">
        <v>12</v>
      </c>
      <c r="G1063" s="5">
        <v>57</v>
      </c>
      <c r="H1063" s="5">
        <f>IF(Table13_1[[#This Row],[smoker]]="yes",1,0)</f>
        <v>0</v>
      </c>
      <c r="I1063" s="4">
        <v>27.94</v>
      </c>
      <c r="J1063" s="4">
        <v>1</v>
      </c>
      <c r="K1063" s="12">
        <v>11554.223599999999</v>
      </c>
      <c r="N1063">
        <v>908</v>
      </c>
      <c r="O1063">
        <v>10124.785627775547</v>
      </c>
      <c r="P1063">
        <v>-2491.0650277755476</v>
      </c>
    </row>
    <row r="1064" spans="1:16" x14ac:dyDescent="0.25">
      <c r="A1064" s="4" t="s">
        <v>10</v>
      </c>
      <c r="B1064" s="4">
        <f>ROUND(Table13_1[[#This Row],[bmi]],1)</f>
        <v>41.1</v>
      </c>
      <c r="C1064" s="4" t="str" cm="1">
        <f t="array" ref="C1064">_xlfn.IFS(Table13_1[[#This Row],[Round BMI]]&lt;18.5,"Underweight",AND(Table13_1[[#This Row],[Round BMI]]&gt;=18.5,Table13_1[[#This Row],[Round BMI]] &lt;=24.9),"Healthy Weight",AND(Table13_1[[#This Row],[Round BMI]]&gt;=25,Table13_1[[#This Row],[Round BMI]]&lt;=29.9),"Overweight",Table13_1[[#This Row],[Round BMI]]&gt;=30,"Obese")</f>
        <v>Obese</v>
      </c>
      <c r="D1064" s="4" t="s">
        <v>8</v>
      </c>
      <c r="E1064" s="4" t="str">
        <f>IF(Table13_1[[#This Row],[smoker]]="yes","smoker","non-smoker")</f>
        <v>smoker</v>
      </c>
      <c r="F1064" s="4" t="s">
        <v>12</v>
      </c>
      <c r="G1064" s="5">
        <v>59</v>
      </c>
      <c r="H1064" s="5">
        <f>IF(Table13_1[[#This Row],[smoker]]="yes",1,0)</f>
        <v>1</v>
      </c>
      <c r="I1064" s="4">
        <v>41.14</v>
      </c>
      <c r="J1064" s="4">
        <v>1</v>
      </c>
      <c r="K1064" s="12">
        <v>48970.247600000002</v>
      </c>
      <c r="N1064">
        <v>909</v>
      </c>
      <c r="O1064">
        <v>18371.942363339396</v>
      </c>
      <c r="P1064">
        <v>-3201.8733633393967</v>
      </c>
    </row>
    <row r="1065" spans="1:16" x14ac:dyDescent="0.25">
      <c r="A1065" s="4" t="s">
        <v>10</v>
      </c>
      <c r="B1065" s="4">
        <f>ROUND(Table13_1[[#This Row],[bmi]],1)</f>
        <v>28.6</v>
      </c>
      <c r="C1065" s="4" t="str" cm="1">
        <f t="array" ref="C1065">_xlfn.IFS(Table13_1[[#This Row],[Round BMI]]&lt;18.5,"Underweight",AND(Table13_1[[#This Row],[Round BMI]]&gt;=18.5,Table13_1[[#This Row],[Round BMI]] &lt;=24.9),"Healthy Weight",AND(Table13_1[[#This Row],[Round BMI]]&gt;=25,Table13_1[[#This Row],[Round BMI]]&lt;=29.9),"Overweight",Table13_1[[#This Row],[Round BMI]]&gt;=30,"Obese")</f>
        <v>Overweight</v>
      </c>
      <c r="D1065" s="4" t="s">
        <v>11</v>
      </c>
      <c r="E1065" s="4" t="str">
        <f>IF(Table13_1[[#This Row],[smoker]]="yes","smoker","non-smoker")</f>
        <v>non-smoker</v>
      </c>
      <c r="F1065" s="4" t="s">
        <v>13</v>
      </c>
      <c r="G1065" s="5">
        <v>36</v>
      </c>
      <c r="H1065" s="5">
        <f>IF(Table13_1[[#This Row],[smoker]]="yes",1,0)</f>
        <v>0</v>
      </c>
      <c r="I1065" s="4">
        <v>28.594999999999999</v>
      </c>
      <c r="J1065" s="4">
        <v>3</v>
      </c>
      <c r="K1065" s="12">
        <v>6548.1949999999997</v>
      </c>
      <c r="N1065">
        <v>910</v>
      </c>
      <c r="O1065">
        <v>27877.35921228999</v>
      </c>
      <c r="P1065">
        <v>-10381.053212289989</v>
      </c>
    </row>
    <row r="1066" spans="1:16" x14ac:dyDescent="0.25">
      <c r="A1066" s="4" t="s">
        <v>7</v>
      </c>
      <c r="B1066" s="4">
        <f>ROUND(Table13_1[[#This Row],[bmi]],1)</f>
        <v>25.6</v>
      </c>
      <c r="C1066" s="4" t="str" cm="1">
        <f t="array" ref="C1066">_xlfn.IFS(Table13_1[[#This Row],[Round BMI]]&lt;18.5,"Underweight",AND(Table13_1[[#This Row],[Round BMI]]&gt;=18.5,Table13_1[[#This Row],[Round BMI]] &lt;=24.9),"Healthy Weight",AND(Table13_1[[#This Row],[Round BMI]]&gt;=25,Table13_1[[#This Row],[Round BMI]]&lt;=29.9),"Overweight",Table13_1[[#This Row],[Round BMI]]&gt;=30,"Obese")</f>
        <v>Overweight</v>
      </c>
      <c r="D1066" s="4" t="s">
        <v>11</v>
      </c>
      <c r="E1066" s="4" t="str">
        <f>IF(Table13_1[[#This Row],[smoker]]="yes","smoker","non-smoker")</f>
        <v>non-smoker</v>
      </c>
      <c r="F1066" s="4" t="s">
        <v>9</v>
      </c>
      <c r="G1066" s="5">
        <v>29</v>
      </c>
      <c r="H1066" s="5">
        <f>IF(Table13_1[[#This Row],[smoker]]="yes",1,0)</f>
        <v>0</v>
      </c>
      <c r="I1066" s="4">
        <v>25.6</v>
      </c>
      <c r="J1066" s="4">
        <v>4</v>
      </c>
      <c r="K1066" s="12">
        <v>5708.8670000000002</v>
      </c>
      <c r="N1066">
        <v>911</v>
      </c>
      <c r="O1066">
        <v>3155.0353130576282</v>
      </c>
      <c r="P1066">
        <v>-515.99241305762826</v>
      </c>
    </row>
    <row r="1067" spans="1:16" x14ac:dyDescent="0.25">
      <c r="A1067" s="4" t="s">
        <v>7</v>
      </c>
      <c r="B1067" s="4">
        <f>ROUND(Table13_1[[#This Row],[bmi]],1)</f>
        <v>25.3</v>
      </c>
      <c r="C1067" s="4" t="str" cm="1">
        <f t="array" ref="C1067">_xlfn.IFS(Table13_1[[#This Row],[Round BMI]]&lt;18.5,"Underweight",AND(Table13_1[[#This Row],[Round BMI]]&gt;=18.5,Table13_1[[#This Row],[Round BMI]] &lt;=24.9),"Healthy Weight",AND(Table13_1[[#This Row],[Round BMI]]&gt;=25,Table13_1[[#This Row],[Round BMI]]&lt;=29.9),"Overweight",Table13_1[[#This Row],[Round BMI]]&gt;=30,"Obese")</f>
        <v>Overweight</v>
      </c>
      <c r="D1067" s="4" t="s">
        <v>11</v>
      </c>
      <c r="E1067" s="4" t="str">
        <f>IF(Table13_1[[#This Row],[smoker]]="yes","smoker","non-smoker")</f>
        <v>non-smoker</v>
      </c>
      <c r="F1067" s="4" t="s">
        <v>9</v>
      </c>
      <c r="G1067" s="5">
        <v>42</v>
      </c>
      <c r="H1067" s="5">
        <f>IF(Table13_1[[#This Row],[smoker]]="yes",1,0)</f>
        <v>0</v>
      </c>
      <c r="I1067" s="4">
        <v>25.3</v>
      </c>
      <c r="J1067" s="4">
        <v>1</v>
      </c>
      <c r="K1067" s="12">
        <v>7045.4989999999998</v>
      </c>
      <c r="N1067">
        <v>912</v>
      </c>
      <c r="O1067">
        <v>26562.266611922852</v>
      </c>
      <c r="P1067">
        <v>7170.4200880771459</v>
      </c>
    </row>
    <row r="1068" spans="1:16" x14ac:dyDescent="0.25">
      <c r="A1068" s="4" t="s">
        <v>10</v>
      </c>
      <c r="B1068" s="4">
        <f>ROUND(Table13_1[[#This Row],[bmi]],1)</f>
        <v>37.299999999999997</v>
      </c>
      <c r="C1068" s="4" t="str" cm="1">
        <f t="array" ref="C1068">_xlfn.IFS(Table13_1[[#This Row],[Round BMI]]&lt;18.5,"Underweight",AND(Table13_1[[#This Row],[Round BMI]]&gt;=18.5,Table13_1[[#This Row],[Round BMI]] &lt;=24.9),"Healthy Weight",AND(Table13_1[[#This Row],[Round BMI]]&gt;=25,Table13_1[[#This Row],[Round BMI]]&lt;=29.9),"Overweight",Table13_1[[#This Row],[Round BMI]]&gt;=30,"Obese")</f>
        <v>Obese</v>
      </c>
      <c r="D1068" s="4" t="s">
        <v>11</v>
      </c>
      <c r="E1068" s="4" t="str">
        <f>IF(Table13_1[[#This Row],[smoker]]="yes","smoker","non-smoker")</f>
        <v>non-smoker</v>
      </c>
      <c r="F1068" s="4" t="s">
        <v>12</v>
      </c>
      <c r="G1068" s="5">
        <v>48</v>
      </c>
      <c r="H1068" s="5">
        <f>IF(Table13_1[[#This Row],[smoker]]="yes",1,0)</f>
        <v>0</v>
      </c>
      <c r="I1068" s="4">
        <v>37.29</v>
      </c>
      <c r="J1068" s="4">
        <v>2</v>
      </c>
      <c r="K1068" s="12">
        <v>8978.1851000000006</v>
      </c>
      <c r="N1068">
        <v>913</v>
      </c>
      <c r="O1068">
        <v>13122.681699783887</v>
      </c>
      <c r="P1068">
        <v>1260.0273002161139</v>
      </c>
    </row>
    <row r="1069" spans="1:16" x14ac:dyDescent="0.25">
      <c r="A1069" s="4" t="s">
        <v>10</v>
      </c>
      <c r="B1069" s="4">
        <f>ROUND(Table13_1[[#This Row],[bmi]],1)</f>
        <v>42.7</v>
      </c>
      <c r="C1069" s="4" t="str" cm="1">
        <f t="array" ref="C1069">_xlfn.IFS(Table13_1[[#This Row],[Round BMI]]&lt;18.5,"Underweight",AND(Table13_1[[#This Row],[Round BMI]]&gt;=18.5,Table13_1[[#This Row],[Round BMI]] &lt;=24.9),"Healthy Weight",AND(Table13_1[[#This Row],[Round BMI]]&gt;=25,Table13_1[[#This Row],[Round BMI]]&lt;=29.9),"Overweight",Table13_1[[#This Row],[Round BMI]]&gt;=30,"Obese")</f>
        <v>Obese</v>
      </c>
      <c r="D1069" s="4" t="s">
        <v>11</v>
      </c>
      <c r="E1069" s="4" t="str">
        <f>IF(Table13_1[[#This Row],[smoker]]="yes","smoker","non-smoker")</f>
        <v>non-smoker</v>
      </c>
      <c r="F1069" s="4" t="s">
        <v>14</v>
      </c>
      <c r="G1069" s="5">
        <v>39</v>
      </c>
      <c r="H1069" s="5">
        <f>IF(Table13_1[[#This Row],[smoker]]="yes",1,0)</f>
        <v>0</v>
      </c>
      <c r="I1069" s="4">
        <v>42.655000000000001</v>
      </c>
      <c r="J1069" s="4">
        <v>0</v>
      </c>
      <c r="K1069" s="12">
        <v>5757.4134000000004</v>
      </c>
      <c r="N1069">
        <v>914</v>
      </c>
      <c r="O1069">
        <v>8567.0248380240773</v>
      </c>
      <c r="P1069">
        <v>-940.03183802407693</v>
      </c>
    </row>
    <row r="1070" spans="1:16" x14ac:dyDescent="0.25">
      <c r="A1070" s="4" t="s">
        <v>10</v>
      </c>
      <c r="B1070" s="4">
        <f>ROUND(Table13_1[[#This Row],[bmi]],1)</f>
        <v>21.7</v>
      </c>
      <c r="C1070" s="4" t="str" cm="1">
        <f t="array" ref="C1070">_xlfn.IFS(Table13_1[[#This Row],[Round BMI]]&lt;18.5,"Underweight",AND(Table13_1[[#This Row],[Round BMI]]&gt;=18.5,Table13_1[[#This Row],[Round BMI]] &lt;=24.9),"Healthy Weight",AND(Table13_1[[#This Row],[Round BMI]]&gt;=25,Table13_1[[#This Row],[Round BMI]]&lt;=29.9),"Overweight",Table13_1[[#This Row],[Round BMI]]&gt;=30,"Obese")</f>
        <v>Healthy Weight</v>
      </c>
      <c r="D1070" s="4" t="s">
        <v>11</v>
      </c>
      <c r="E1070" s="4" t="str">
        <f>IF(Table13_1[[#This Row],[smoker]]="yes","smoker","non-smoker")</f>
        <v>non-smoker</v>
      </c>
      <c r="F1070" s="4" t="s">
        <v>13</v>
      </c>
      <c r="G1070" s="5">
        <v>63</v>
      </c>
      <c r="H1070" s="5">
        <f>IF(Table13_1[[#This Row],[smoker]]="yes",1,0)</f>
        <v>0</v>
      </c>
      <c r="I1070" s="4">
        <v>21.66</v>
      </c>
      <c r="J1070" s="4">
        <v>1</v>
      </c>
      <c r="K1070" s="12">
        <v>14349.8544</v>
      </c>
      <c r="N1070">
        <v>915</v>
      </c>
      <c r="O1070">
        <v>5272.4227617106753</v>
      </c>
      <c r="P1070">
        <v>-14.914761710675521</v>
      </c>
    </row>
    <row r="1071" spans="1:16" x14ac:dyDescent="0.25">
      <c r="A1071" s="4" t="s">
        <v>7</v>
      </c>
      <c r="B1071" s="4">
        <f>ROUND(Table13_1[[#This Row],[bmi]],1)</f>
        <v>31.9</v>
      </c>
      <c r="C1071" s="4" t="str" cm="1">
        <f t="array" ref="C1071">_xlfn.IFS(Table13_1[[#This Row],[Round BMI]]&lt;18.5,"Underweight",AND(Table13_1[[#This Row],[Round BMI]]&gt;=18.5,Table13_1[[#This Row],[Round BMI]] &lt;=24.9),"Healthy Weight",AND(Table13_1[[#This Row],[Round BMI]]&gt;=25,Table13_1[[#This Row],[Round BMI]]&lt;=29.9),"Overweight",Table13_1[[#This Row],[Round BMI]]&gt;=30,"Obese")</f>
        <v>Obese</v>
      </c>
      <c r="D1071" s="4" t="s">
        <v>11</v>
      </c>
      <c r="E1071" s="4" t="str">
        <f>IF(Table13_1[[#This Row],[smoker]]="yes","smoker","non-smoker")</f>
        <v>non-smoker</v>
      </c>
      <c r="F1071" s="4" t="s">
        <v>12</v>
      </c>
      <c r="G1071" s="5">
        <v>54</v>
      </c>
      <c r="H1071" s="5">
        <f>IF(Table13_1[[#This Row],[smoker]]="yes",1,0)</f>
        <v>0</v>
      </c>
      <c r="I1071" s="4">
        <v>31.9</v>
      </c>
      <c r="J1071" s="4">
        <v>1</v>
      </c>
      <c r="K1071" s="12">
        <v>10928.849</v>
      </c>
      <c r="N1071">
        <v>916</v>
      </c>
      <c r="O1071">
        <v>5025.3479803106038</v>
      </c>
      <c r="P1071">
        <v>-2552.0138803106038</v>
      </c>
    </row>
    <row r="1072" spans="1:16" x14ac:dyDescent="0.25">
      <c r="A1072" s="4" t="s">
        <v>10</v>
      </c>
      <c r="B1072" s="4">
        <f>ROUND(Table13_1[[#This Row],[bmi]],1)</f>
        <v>37.1</v>
      </c>
      <c r="C1072" s="4" t="str" cm="1">
        <f t="array" ref="C1072">_xlfn.IFS(Table13_1[[#This Row],[Round BMI]]&lt;18.5,"Underweight",AND(Table13_1[[#This Row],[Round BMI]]&gt;=18.5,Table13_1[[#This Row],[Round BMI]] &lt;=24.9),"Healthy Weight",AND(Table13_1[[#This Row],[Round BMI]]&gt;=25,Table13_1[[#This Row],[Round BMI]]&lt;=29.9),"Overweight",Table13_1[[#This Row],[Round BMI]]&gt;=30,"Obese")</f>
        <v>Obese</v>
      </c>
      <c r="D1072" s="4" t="s">
        <v>8</v>
      </c>
      <c r="E1072" s="4" t="str">
        <f>IF(Table13_1[[#This Row],[smoker]]="yes","smoker","non-smoker")</f>
        <v>smoker</v>
      </c>
      <c r="F1072" s="4" t="s">
        <v>12</v>
      </c>
      <c r="G1072" s="5">
        <v>37</v>
      </c>
      <c r="H1072" s="5">
        <f>IF(Table13_1[[#This Row],[smoker]]="yes",1,0)</f>
        <v>1</v>
      </c>
      <c r="I1072" s="4">
        <v>37.07</v>
      </c>
      <c r="J1072" s="4">
        <v>1</v>
      </c>
      <c r="K1072" s="12">
        <v>39871.704299999998</v>
      </c>
      <c r="N1072">
        <v>917</v>
      </c>
      <c r="O1072">
        <v>31449.134248416078</v>
      </c>
      <c r="P1072">
        <v>-9674.8120484160791</v>
      </c>
    </row>
    <row r="1073" spans="1:16" x14ac:dyDescent="0.25">
      <c r="A1073" s="4" t="s">
        <v>10</v>
      </c>
      <c r="B1073" s="4">
        <f>ROUND(Table13_1[[#This Row],[bmi]],1)</f>
        <v>31.4</v>
      </c>
      <c r="C1073" s="4" t="str" cm="1">
        <f t="array" ref="C1073">_xlfn.IFS(Table13_1[[#This Row],[Round BMI]]&lt;18.5,"Underweight",AND(Table13_1[[#This Row],[Round BMI]]&gt;=18.5,Table13_1[[#This Row],[Round BMI]] &lt;=24.9),"Healthy Weight",AND(Table13_1[[#This Row],[Round BMI]]&gt;=25,Table13_1[[#This Row],[Round BMI]]&lt;=29.9),"Overweight",Table13_1[[#This Row],[Round BMI]]&gt;=30,"Obese")</f>
        <v>Obese</v>
      </c>
      <c r="D1073" s="4" t="s">
        <v>11</v>
      </c>
      <c r="E1073" s="4" t="str">
        <f>IF(Table13_1[[#This Row],[smoker]]="yes","smoker","non-smoker")</f>
        <v>non-smoker</v>
      </c>
      <c r="F1073" s="4" t="s">
        <v>14</v>
      </c>
      <c r="G1073" s="5">
        <v>63</v>
      </c>
      <c r="H1073" s="5">
        <f>IF(Table13_1[[#This Row],[smoker]]="yes",1,0)</f>
        <v>0</v>
      </c>
      <c r="I1073" s="4">
        <v>31.445</v>
      </c>
      <c r="J1073" s="4">
        <v>0</v>
      </c>
      <c r="K1073" s="12">
        <v>13974.455599999999</v>
      </c>
      <c r="N1073">
        <v>918</v>
      </c>
      <c r="O1073">
        <v>30680.646165740349</v>
      </c>
      <c r="P1073">
        <v>4388.7283342596493</v>
      </c>
    </row>
    <row r="1074" spans="1:16" x14ac:dyDescent="0.25">
      <c r="A1074" s="4" t="s">
        <v>10</v>
      </c>
      <c r="B1074" s="4">
        <f>ROUND(Table13_1[[#This Row],[bmi]],1)</f>
        <v>31.3</v>
      </c>
      <c r="C1074" s="4" t="str" cm="1">
        <f t="array" ref="C1074">_xlfn.IFS(Table13_1[[#This Row],[Round BMI]]&lt;18.5,"Underweight",AND(Table13_1[[#This Row],[Round BMI]]&gt;=18.5,Table13_1[[#This Row],[Round BMI]] &lt;=24.9),"Healthy Weight",AND(Table13_1[[#This Row],[Round BMI]]&gt;=25,Table13_1[[#This Row],[Round BMI]]&lt;=29.9),"Overweight",Table13_1[[#This Row],[Round BMI]]&gt;=30,"Obese")</f>
        <v>Obese</v>
      </c>
      <c r="D1074" s="4" t="s">
        <v>11</v>
      </c>
      <c r="E1074" s="4" t="str">
        <f>IF(Table13_1[[#This Row],[smoker]]="yes","smoker","non-smoker")</f>
        <v>non-smoker</v>
      </c>
      <c r="F1074" s="4" t="s">
        <v>13</v>
      </c>
      <c r="G1074" s="5">
        <v>21</v>
      </c>
      <c r="H1074" s="5">
        <f>IF(Table13_1[[#This Row],[smoker]]="yes",1,0)</f>
        <v>0</v>
      </c>
      <c r="I1074" s="4">
        <v>31.254999999999999</v>
      </c>
      <c r="J1074" s="4">
        <v>0</v>
      </c>
      <c r="K1074" s="12">
        <v>1909.5273999999999</v>
      </c>
      <c r="N1074">
        <v>919</v>
      </c>
      <c r="O1074">
        <v>12702.260129083154</v>
      </c>
      <c r="P1074">
        <v>339.66087091684676</v>
      </c>
    </row>
    <row r="1075" spans="1:16" x14ac:dyDescent="0.25">
      <c r="A1075" s="4" t="s">
        <v>7</v>
      </c>
      <c r="B1075" s="4">
        <f>ROUND(Table13_1[[#This Row],[bmi]],1)</f>
        <v>28.9</v>
      </c>
      <c r="C1075" s="4" t="str" cm="1">
        <f t="array" ref="C1075">_xlfn.IFS(Table13_1[[#This Row],[Round BMI]]&lt;18.5,"Underweight",AND(Table13_1[[#This Row],[Round BMI]]&gt;=18.5,Table13_1[[#This Row],[Round BMI]] &lt;=24.9),"Healthy Weight",AND(Table13_1[[#This Row],[Round BMI]]&gt;=25,Table13_1[[#This Row],[Round BMI]]&lt;=29.9),"Overweight",Table13_1[[#This Row],[Round BMI]]&gt;=30,"Obese")</f>
        <v>Overweight</v>
      </c>
      <c r="D1075" s="4" t="s">
        <v>11</v>
      </c>
      <c r="E1075" s="4" t="str">
        <f>IF(Table13_1[[#This Row],[smoker]]="yes","smoker","non-smoker")</f>
        <v>non-smoker</v>
      </c>
      <c r="F1075" s="4" t="s">
        <v>14</v>
      </c>
      <c r="G1075" s="5">
        <v>54</v>
      </c>
      <c r="H1075" s="5">
        <f>IF(Table13_1[[#This Row],[smoker]]="yes",1,0)</f>
        <v>0</v>
      </c>
      <c r="I1075" s="4">
        <v>28.88</v>
      </c>
      <c r="J1075" s="4">
        <v>2</v>
      </c>
      <c r="K1075" s="12">
        <v>12096.6512</v>
      </c>
      <c r="N1075">
        <v>920</v>
      </c>
      <c r="O1075">
        <v>8406.0021851154106</v>
      </c>
      <c r="P1075">
        <v>-3160.775285115411</v>
      </c>
    </row>
    <row r="1076" spans="1:16" x14ac:dyDescent="0.25">
      <c r="A1076" s="4" t="s">
        <v>7</v>
      </c>
      <c r="B1076" s="4">
        <f>ROUND(Table13_1[[#This Row],[bmi]],1)</f>
        <v>18.3</v>
      </c>
      <c r="C1076" s="4" t="str" cm="1">
        <f t="array" ref="C1076">_xlfn.IFS(Table13_1[[#This Row],[Round BMI]]&lt;18.5,"Underweight",AND(Table13_1[[#This Row],[Round BMI]]&gt;=18.5,Table13_1[[#This Row],[Round BMI]] &lt;=24.9),"Healthy Weight",AND(Table13_1[[#This Row],[Round BMI]]&gt;=25,Table13_1[[#This Row],[Round BMI]]&lt;=29.9),"Overweight",Table13_1[[#This Row],[Round BMI]]&gt;=30,"Obese")</f>
        <v>Underweight</v>
      </c>
      <c r="D1076" s="4" t="s">
        <v>11</v>
      </c>
      <c r="E1076" s="4" t="str">
        <f>IF(Table13_1[[#This Row],[smoker]]="yes","smoker","non-smoker")</f>
        <v>non-smoker</v>
      </c>
      <c r="F1076" s="4" t="s">
        <v>14</v>
      </c>
      <c r="G1076" s="5">
        <v>60</v>
      </c>
      <c r="H1076" s="5">
        <f>IF(Table13_1[[#This Row],[smoker]]="yes",1,0)</f>
        <v>0</v>
      </c>
      <c r="I1076" s="4">
        <v>18.335000000000001</v>
      </c>
      <c r="J1076" s="4">
        <v>0</v>
      </c>
      <c r="K1076" s="12">
        <v>13204.285599999999</v>
      </c>
      <c r="N1076">
        <v>921</v>
      </c>
      <c r="O1076">
        <v>11930.18514732163</v>
      </c>
      <c r="P1076">
        <v>1520.9368526783692</v>
      </c>
    </row>
    <row r="1077" spans="1:16" x14ac:dyDescent="0.25">
      <c r="A1077" s="4" t="s">
        <v>7</v>
      </c>
      <c r="B1077" s="4">
        <f>ROUND(Table13_1[[#This Row],[bmi]],1)</f>
        <v>29.6</v>
      </c>
      <c r="C1077" s="4" t="str" cm="1">
        <f t="array" ref="C1077">_xlfn.IFS(Table13_1[[#This Row],[Round BMI]]&lt;18.5,"Underweight",AND(Table13_1[[#This Row],[Round BMI]]&gt;=18.5,Table13_1[[#This Row],[Round BMI]] &lt;=24.9),"Healthy Weight",AND(Table13_1[[#This Row],[Round BMI]]&gt;=25,Table13_1[[#This Row],[Round BMI]]&lt;=29.9),"Overweight",Table13_1[[#This Row],[Round BMI]]&gt;=30,"Obese")</f>
        <v>Overweight</v>
      </c>
      <c r="D1077" s="4" t="s">
        <v>11</v>
      </c>
      <c r="E1077" s="4" t="str">
        <f>IF(Table13_1[[#This Row],[smoker]]="yes","smoker","non-smoker")</f>
        <v>non-smoker</v>
      </c>
      <c r="F1077" s="4" t="s">
        <v>12</v>
      </c>
      <c r="G1077" s="5">
        <v>32</v>
      </c>
      <c r="H1077" s="5">
        <f>IF(Table13_1[[#This Row],[smoker]]="yes",1,0)</f>
        <v>0</v>
      </c>
      <c r="I1077" s="4">
        <v>29.59</v>
      </c>
      <c r="J1077" s="4">
        <v>1</v>
      </c>
      <c r="K1077" s="12">
        <v>4562.8420999999998</v>
      </c>
      <c r="N1077">
        <v>922</v>
      </c>
      <c r="O1077">
        <v>14569.366650619573</v>
      </c>
      <c r="P1077">
        <v>-1106.8466506195728</v>
      </c>
    </row>
    <row r="1078" spans="1:16" x14ac:dyDescent="0.25">
      <c r="A1078" s="4" t="s">
        <v>7</v>
      </c>
      <c r="B1078" s="4">
        <f>ROUND(Table13_1[[#This Row],[bmi]],1)</f>
        <v>32</v>
      </c>
      <c r="C1078" s="4" t="str" cm="1">
        <f t="array" ref="C1078">_xlfn.IFS(Table13_1[[#This Row],[Round BMI]]&lt;18.5,"Underweight",AND(Table13_1[[#This Row],[Round BMI]]&gt;=18.5,Table13_1[[#This Row],[Round BMI]] &lt;=24.9),"Healthy Weight",AND(Table13_1[[#This Row],[Round BMI]]&gt;=25,Table13_1[[#This Row],[Round BMI]]&lt;=29.9),"Overweight",Table13_1[[#This Row],[Round BMI]]&gt;=30,"Obese")</f>
        <v>Obese</v>
      </c>
      <c r="D1078" s="4" t="s">
        <v>11</v>
      </c>
      <c r="E1078" s="4" t="str">
        <f>IF(Table13_1[[#This Row],[smoker]]="yes","smoker","non-smoker")</f>
        <v>non-smoker</v>
      </c>
      <c r="F1078" s="4" t="s">
        <v>9</v>
      </c>
      <c r="G1078" s="5">
        <v>47</v>
      </c>
      <c r="H1078" s="5">
        <f>IF(Table13_1[[#This Row],[smoker]]="yes",1,0)</f>
        <v>0</v>
      </c>
      <c r="I1078" s="4">
        <v>32</v>
      </c>
      <c r="J1078" s="4">
        <v>1</v>
      </c>
      <c r="K1078" s="12">
        <v>8551.3469999999998</v>
      </c>
      <c r="N1078">
        <v>923</v>
      </c>
      <c r="O1078">
        <v>8146.407703986185</v>
      </c>
      <c r="P1078">
        <v>-2658.1457039861853</v>
      </c>
    </row>
    <row r="1079" spans="1:16" x14ac:dyDescent="0.25">
      <c r="A1079" s="4" t="s">
        <v>10</v>
      </c>
      <c r="B1079" s="4">
        <f>ROUND(Table13_1[[#This Row],[bmi]],1)</f>
        <v>26</v>
      </c>
      <c r="C1079" s="4" t="str" cm="1">
        <f t="array" ref="C1079">_xlfn.IFS(Table13_1[[#This Row],[Round BMI]]&lt;18.5,"Underweight",AND(Table13_1[[#This Row],[Round BMI]]&gt;=18.5,Table13_1[[#This Row],[Round BMI]] &lt;=24.9),"Healthy Weight",AND(Table13_1[[#This Row],[Round BMI]]&gt;=25,Table13_1[[#This Row],[Round BMI]]&lt;=29.9),"Overweight",Table13_1[[#This Row],[Round BMI]]&gt;=30,"Obese")</f>
        <v>Overweight</v>
      </c>
      <c r="D1079" s="4" t="s">
        <v>11</v>
      </c>
      <c r="E1079" s="4" t="str">
        <f>IF(Table13_1[[#This Row],[smoker]]="yes","smoker","non-smoker")</f>
        <v>non-smoker</v>
      </c>
      <c r="F1079" s="4" t="s">
        <v>14</v>
      </c>
      <c r="G1079" s="5">
        <v>21</v>
      </c>
      <c r="H1079" s="5">
        <f>IF(Table13_1[[#This Row],[smoker]]="yes",1,0)</f>
        <v>0</v>
      </c>
      <c r="I1079" s="4">
        <v>26.03</v>
      </c>
      <c r="J1079" s="4">
        <v>0</v>
      </c>
      <c r="K1079" s="12">
        <v>2102.2647000000002</v>
      </c>
      <c r="N1079">
        <v>924</v>
      </c>
      <c r="O1079">
        <v>8191.2218637993738</v>
      </c>
      <c r="P1079">
        <v>-3870.8110637993741</v>
      </c>
    </row>
    <row r="1080" spans="1:16" x14ac:dyDescent="0.25">
      <c r="A1080" s="4" t="s">
        <v>10</v>
      </c>
      <c r="B1080" s="4">
        <f>ROUND(Table13_1[[#This Row],[bmi]],1)</f>
        <v>31.7</v>
      </c>
      <c r="C1080" s="4" t="str" cm="1">
        <f t="array" ref="C1080">_xlfn.IFS(Table13_1[[#This Row],[Round BMI]]&lt;18.5,"Underweight",AND(Table13_1[[#This Row],[Round BMI]]&gt;=18.5,Table13_1[[#This Row],[Round BMI]] &lt;=24.9),"Healthy Weight",AND(Table13_1[[#This Row],[Round BMI]]&gt;=25,Table13_1[[#This Row],[Round BMI]]&lt;=29.9),"Overweight",Table13_1[[#This Row],[Round BMI]]&gt;=30,"Obese")</f>
        <v>Obese</v>
      </c>
      <c r="D1080" s="4" t="s">
        <v>8</v>
      </c>
      <c r="E1080" s="4" t="str">
        <f>IF(Table13_1[[#This Row],[smoker]]="yes","smoker","non-smoker")</f>
        <v>smoker</v>
      </c>
      <c r="F1080" s="4" t="s">
        <v>12</v>
      </c>
      <c r="G1080" s="5">
        <v>28</v>
      </c>
      <c r="H1080" s="5">
        <f>IF(Table13_1[[#This Row],[smoker]]="yes",1,0)</f>
        <v>1</v>
      </c>
      <c r="I1080" s="4">
        <v>31.68</v>
      </c>
      <c r="J1080" s="4">
        <v>0</v>
      </c>
      <c r="K1080" s="12">
        <v>34672.147199999999</v>
      </c>
      <c r="N1080">
        <v>925</v>
      </c>
      <c r="O1080">
        <v>6451.711982930683</v>
      </c>
      <c r="P1080">
        <v>-201.27698293068261</v>
      </c>
    </row>
    <row r="1081" spans="1:16" x14ac:dyDescent="0.25">
      <c r="A1081" s="4" t="s">
        <v>10</v>
      </c>
      <c r="B1081" s="4">
        <f>ROUND(Table13_1[[#This Row],[bmi]],1)</f>
        <v>33.700000000000003</v>
      </c>
      <c r="C1081" s="4" t="str" cm="1">
        <f t="array" ref="C1081">_xlfn.IFS(Table13_1[[#This Row],[Round BMI]]&lt;18.5,"Underweight",AND(Table13_1[[#This Row],[Round BMI]]&gt;=18.5,Table13_1[[#This Row],[Round BMI]] &lt;=24.9),"Healthy Weight",AND(Table13_1[[#This Row],[Round BMI]]&gt;=25,Table13_1[[#This Row],[Round BMI]]&lt;=29.9),"Overweight",Table13_1[[#This Row],[Round BMI]]&gt;=30,"Obese")</f>
        <v>Obese</v>
      </c>
      <c r="D1081" s="4" t="s">
        <v>11</v>
      </c>
      <c r="E1081" s="4" t="str">
        <f>IF(Table13_1[[#This Row],[smoker]]="yes","smoker","non-smoker")</f>
        <v>non-smoker</v>
      </c>
      <c r="F1081" s="4" t="s">
        <v>12</v>
      </c>
      <c r="G1081" s="5">
        <v>63</v>
      </c>
      <c r="H1081" s="5">
        <f>IF(Table13_1[[#This Row],[smoker]]="yes",1,0)</f>
        <v>0</v>
      </c>
      <c r="I1081" s="4">
        <v>33.659999999999997</v>
      </c>
      <c r="J1081" s="4">
        <v>3</v>
      </c>
      <c r="K1081" s="12">
        <v>15161.5344</v>
      </c>
      <c r="N1081">
        <v>926</v>
      </c>
      <c r="O1081">
        <v>12071.359164650024</v>
      </c>
      <c r="P1081">
        <v>13261.973635349976</v>
      </c>
    </row>
    <row r="1082" spans="1:16" x14ac:dyDescent="0.25">
      <c r="A1082" s="4" t="s">
        <v>10</v>
      </c>
      <c r="B1082" s="4">
        <f>ROUND(Table13_1[[#This Row],[bmi]],1)</f>
        <v>21.8</v>
      </c>
      <c r="C1082" s="4" t="str" cm="1">
        <f t="array" ref="C1082">_xlfn.IFS(Table13_1[[#This Row],[Round BMI]]&lt;18.5,"Underweight",AND(Table13_1[[#This Row],[Round BMI]]&gt;=18.5,Table13_1[[#This Row],[Round BMI]] &lt;=24.9),"Healthy Weight",AND(Table13_1[[#This Row],[Round BMI]]&gt;=25,Table13_1[[#This Row],[Round BMI]]&lt;=29.9),"Overweight",Table13_1[[#This Row],[Round BMI]]&gt;=30,"Obese")</f>
        <v>Healthy Weight</v>
      </c>
      <c r="D1082" s="4" t="s">
        <v>11</v>
      </c>
      <c r="E1082" s="4" t="str">
        <f>IF(Table13_1[[#This Row],[smoker]]="yes","smoker","non-smoker")</f>
        <v>non-smoker</v>
      </c>
      <c r="F1082" s="4" t="s">
        <v>12</v>
      </c>
      <c r="G1082" s="5">
        <v>18</v>
      </c>
      <c r="H1082" s="5">
        <f>IF(Table13_1[[#This Row],[smoker]]="yes",1,0)</f>
        <v>0</v>
      </c>
      <c r="I1082" s="4">
        <v>21.78</v>
      </c>
      <c r="J1082" s="4">
        <v>2</v>
      </c>
      <c r="K1082" s="12">
        <v>11884.0486</v>
      </c>
      <c r="N1082">
        <v>927</v>
      </c>
      <c r="O1082">
        <v>1274.6987186620297</v>
      </c>
      <c r="P1082">
        <v>1638.8702813379703</v>
      </c>
    </row>
    <row r="1083" spans="1:16" x14ac:dyDescent="0.25">
      <c r="A1083" s="4" t="s">
        <v>10</v>
      </c>
      <c r="B1083" s="4">
        <f>ROUND(Table13_1[[#This Row],[bmi]],1)</f>
        <v>27.8</v>
      </c>
      <c r="C1083" s="4" t="str" cm="1">
        <f t="array" ref="C1083">_xlfn.IFS(Table13_1[[#This Row],[Round BMI]]&lt;18.5,"Underweight",AND(Table13_1[[#This Row],[Round BMI]]&gt;=18.5,Table13_1[[#This Row],[Round BMI]] &lt;=24.9),"Healthy Weight",AND(Table13_1[[#This Row],[Round BMI]]&gt;=25,Table13_1[[#This Row],[Round BMI]]&lt;=29.9),"Overweight",Table13_1[[#This Row],[Round BMI]]&gt;=30,"Obese")</f>
        <v>Overweight</v>
      </c>
      <c r="D1083" s="4" t="s">
        <v>11</v>
      </c>
      <c r="E1083" s="4" t="str">
        <f>IF(Table13_1[[#This Row],[smoker]]="yes","smoker","non-smoker")</f>
        <v>non-smoker</v>
      </c>
      <c r="F1083" s="4" t="s">
        <v>13</v>
      </c>
      <c r="G1083" s="5">
        <v>32</v>
      </c>
      <c r="H1083" s="5">
        <f>IF(Table13_1[[#This Row],[smoker]]="yes",1,0)</f>
        <v>0</v>
      </c>
      <c r="I1083" s="4">
        <v>27.835000000000001</v>
      </c>
      <c r="J1083" s="4">
        <v>1</v>
      </c>
      <c r="K1083" s="12">
        <v>4454.4026000000003</v>
      </c>
      <c r="N1083">
        <v>928</v>
      </c>
      <c r="O1083">
        <v>9537.3680522937302</v>
      </c>
      <c r="P1083">
        <v>2494.9579477062689</v>
      </c>
    </row>
    <row r="1084" spans="1:16" x14ac:dyDescent="0.25">
      <c r="A1084" s="4" t="s">
        <v>10</v>
      </c>
      <c r="B1084" s="4">
        <f>ROUND(Table13_1[[#This Row],[bmi]],1)</f>
        <v>20</v>
      </c>
      <c r="C1084" s="4" t="str" cm="1">
        <f t="array" ref="C1084">_xlfn.IFS(Table13_1[[#This Row],[Round BMI]]&lt;18.5,"Underweight",AND(Table13_1[[#This Row],[Round BMI]]&gt;=18.5,Table13_1[[#This Row],[Round BMI]] &lt;=24.9),"Healthy Weight",AND(Table13_1[[#This Row],[Round BMI]]&gt;=25,Table13_1[[#This Row],[Round BMI]]&lt;=29.9),"Overweight",Table13_1[[#This Row],[Round BMI]]&gt;=30,"Obese")</f>
        <v>Healthy Weight</v>
      </c>
      <c r="D1084" s="4" t="s">
        <v>11</v>
      </c>
      <c r="E1084" s="4" t="str">
        <f>IF(Table13_1[[#This Row],[smoker]]="yes","smoker","non-smoker")</f>
        <v>non-smoker</v>
      </c>
      <c r="F1084" s="4" t="s">
        <v>13</v>
      </c>
      <c r="G1084" s="5">
        <v>38</v>
      </c>
      <c r="H1084" s="5">
        <f>IF(Table13_1[[#This Row],[smoker]]="yes",1,0)</f>
        <v>0</v>
      </c>
      <c r="I1084" s="4">
        <v>19.95</v>
      </c>
      <c r="J1084" s="4">
        <v>1</v>
      </c>
      <c r="K1084" s="12">
        <v>5855.9025000000001</v>
      </c>
      <c r="N1084">
        <v>929</v>
      </c>
      <c r="O1084">
        <v>16487.601011553197</v>
      </c>
      <c r="P1084">
        <v>-3016.7966115531963</v>
      </c>
    </row>
    <row r="1085" spans="1:16" x14ac:dyDescent="0.25">
      <c r="A1085" s="4" t="s">
        <v>10</v>
      </c>
      <c r="B1085" s="4">
        <f>ROUND(Table13_1[[#This Row],[bmi]],1)</f>
        <v>31.5</v>
      </c>
      <c r="C1085" s="4" t="str" cm="1">
        <f t="array" ref="C1085">_xlfn.IFS(Table13_1[[#This Row],[Round BMI]]&lt;18.5,"Underweight",AND(Table13_1[[#This Row],[Round BMI]]&gt;=18.5,Table13_1[[#This Row],[Round BMI]] &lt;=24.9),"Healthy Weight",AND(Table13_1[[#This Row],[Round BMI]]&gt;=25,Table13_1[[#This Row],[Round BMI]]&lt;=29.9),"Overweight",Table13_1[[#This Row],[Round BMI]]&gt;=30,"Obese")</f>
        <v>Obese</v>
      </c>
      <c r="D1085" s="4" t="s">
        <v>11</v>
      </c>
      <c r="E1085" s="4" t="str">
        <f>IF(Table13_1[[#This Row],[smoker]]="yes","smoker","non-smoker")</f>
        <v>non-smoker</v>
      </c>
      <c r="F1085" s="4" t="s">
        <v>9</v>
      </c>
      <c r="G1085" s="5">
        <v>32</v>
      </c>
      <c r="H1085" s="5">
        <f>IF(Table13_1[[#This Row],[smoker]]="yes",1,0)</f>
        <v>0</v>
      </c>
      <c r="I1085" s="4">
        <v>31.5</v>
      </c>
      <c r="J1085" s="4">
        <v>1</v>
      </c>
      <c r="K1085" s="12">
        <v>4076.4969999999998</v>
      </c>
      <c r="N1085">
        <v>930</v>
      </c>
      <c r="O1085">
        <v>9953.0992290975464</v>
      </c>
      <c r="P1085">
        <v>-3663.3443290975465</v>
      </c>
    </row>
    <row r="1086" spans="1:16" x14ac:dyDescent="0.25">
      <c r="A1086" s="4" t="s">
        <v>7</v>
      </c>
      <c r="B1086" s="4">
        <f>ROUND(Table13_1[[#This Row],[bmi]],1)</f>
        <v>30.5</v>
      </c>
      <c r="C1086" s="4" t="str" cm="1">
        <f t="array" ref="C1086">_xlfn.IFS(Table13_1[[#This Row],[Round BMI]]&lt;18.5,"Underweight",AND(Table13_1[[#This Row],[Round BMI]]&gt;=18.5,Table13_1[[#This Row],[Round BMI]] &lt;=24.9),"Healthy Weight",AND(Table13_1[[#This Row],[Round BMI]]&gt;=25,Table13_1[[#This Row],[Round BMI]]&lt;=29.9),"Overweight",Table13_1[[#This Row],[Round BMI]]&gt;=30,"Obese")</f>
        <v>Obese</v>
      </c>
      <c r="D1086" s="4" t="s">
        <v>11</v>
      </c>
      <c r="E1086" s="4" t="str">
        <f>IF(Table13_1[[#This Row],[smoker]]="yes","smoker","non-smoker")</f>
        <v>non-smoker</v>
      </c>
      <c r="F1086" s="4" t="s">
        <v>13</v>
      </c>
      <c r="G1086" s="5">
        <v>62</v>
      </c>
      <c r="H1086" s="5">
        <f>IF(Table13_1[[#This Row],[smoker]]="yes",1,0)</f>
        <v>0</v>
      </c>
      <c r="I1086" s="4">
        <v>30.495000000000001</v>
      </c>
      <c r="J1086" s="4">
        <v>2</v>
      </c>
      <c r="K1086" s="12">
        <v>15019.76</v>
      </c>
      <c r="N1086">
        <v>931</v>
      </c>
      <c r="O1086">
        <v>10050.565902145945</v>
      </c>
      <c r="P1086">
        <v>-7123.5012021459452</v>
      </c>
    </row>
    <row r="1087" spans="1:16" x14ac:dyDescent="0.25">
      <c r="A1087" s="4" t="s">
        <v>7</v>
      </c>
      <c r="B1087" s="4">
        <f>ROUND(Table13_1[[#This Row],[bmi]],1)</f>
        <v>18.3</v>
      </c>
      <c r="C1087" s="4" t="str" cm="1">
        <f t="array" ref="C1087">_xlfn.IFS(Table13_1[[#This Row],[Round BMI]]&lt;18.5,"Underweight",AND(Table13_1[[#This Row],[Round BMI]]&gt;=18.5,Table13_1[[#This Row],[Round BMI]] &lt;=24.9),"Healthy Weight",AND(Table13_1[[#This Row],[Round BMI]]&gt;=25,Table13_1[[#This Row],[Round BMI]]&lt;=29.9),"Overweight",Table13_1[[#This Row],[Round BMI]]&gt;=30,"Obese")</f>
        <v>Underweight</v>
      </c>
      <c r="D1087" s="4" t="s">
        <v>8</v>
      </c>
      <c r="E1087" s="4" t="str">
        <f>IF(Table13_1[[#This Row],[smoker]]="yes","smoker","non-smoker")</f>
        <v>smoker</v>
      </c>
      <c r="F1087" s="4" t="s">
        <v>9</v>
      </c>
      <c r="G1087" s="5">
        <v>39</v>
      </c>
      <c r="H1087" s="5">
        <f>IF(Table13_1[[#This Row],[smoker]]="yes",1,0)</f>
        <v>1</v>
      </c>
      <c r="I1087" s="4">
        <v>18.3</v>
      </c>
      <c r="J1087" s="4">
        <v>5</v>
      </c>
      <c r="K1087" s="12">
        <v>19023.259999999998</v>
      </c>
      <c r="N1087">
        <v>932</v>
      </c>
      <c r="O1087">
        <v>8887.0343155783612</v>
      </c>
      <c r="P1087">
        <v>-2648.7363155783614</v>
      </c>
    </row>
    <row r="1088" spans="1:16" x14ac:dyDescent="0.25">
      <c r="A1088" s="4" t="s">
        <v>10</v>
      </c>
      <c r="B1088" s="4">
        <f>ROUND(Table13_1[[#This Row],[bmi]],1)</f>
        <v>29</v>
      </c>
      <c r="C1088" s="4" t="str" cm="1">
        <f t="array" ref="C1088">_xlfn.IFS(Table13_1[[#This Row],[Round BMI]]&lt;18.5,"Underweight",AND(Table13_1[[#This Row],[Round BMI]]&gt;=18.5,Table13_1[[#This Row],[Round BMI]] &lt;=24.9),"Healthy Weight",AND(Table13_1[[#This Row],[Round BMI]]&gt;=25,Table13_1[[#This Row],[Round BMI]]&lt;=29.9),"Overweight",Table13_1[[#This Row],[Round BMI]]&gt;=30,"Obese")</f>
        <v>Overweight</v>
      </c>
      <c r="D1088" s="4" t="s">
        <v>11</v>
      </c>
      <c r="E1088" s="4" t="str">
        <f>IF(Table13_1[[#This Row],[smoker]]="yes","smoker","non-smoker")</f>
        <v>non-smoker</v>
      </c>
      <c r="F1088" s="4" t="s">
        <v>14</v>
      </c>
      <c r="G1088" s="5">
        <v>55</v>
      </c>
      <c r="H1088" s="5">
        <f>IF(Table13_1[[#This Row],[smoker]]="yes",1,0)</f>
        <v>0</v>
      </c>
      <c r="I1088" s="4">
        <v>28.975000000000001</v>
      </c>
      <c r="J1088" s="4">
        <v>0</v>
      </c>
      <c r="K1088" s="12">
        <v>10796.350200000001</v>
      </c>
      <c r="N1088">
        <v>933</v>
      </c>
      <c r="O1088">
        <v>10429.585730038019</v>
      </c>
      <c r="P1088">
        <v>-332.61573003802005</v>
      </c>
    </row>
    <row r="1089" spans="1:16" x14ac:dyDescent="0.25">
      <c r="A1089" s="4" t="s">
        <v>10</v>
      </c>
      <c r="B1089" s="4">
        <f>ROUND(Table13_1[[#This Row],[bmi]],1)</f>
        <v>31.5</v>
      </c>
      <c r="C1089" s="4" t="str" cm="1">
        <f t="array" ref="C1089">_xlfn.IFS(Table13_1[[#This Row],[Round BMI]]&lt;18.5,"Underweight",AND(Table13_1[[#This Row],[Round BMI]]&gt;=18.5,Table13_1[[#This Row],[Round BMI]] &lt;=24.9),"Healthy Weight",AND(Table13_1[[#This Row],[Round BMI]]&gt;=25,Table13_1[[#This Row],[Round BMI]]&lt;=29.9),"Overweight",Table13_1[[#This Row],[Round BMI]]&gt;=30,"Obese")</f>
        <v>Obese</v>
      </c>
      <c r="D1089" s="4" t="s">
        <v>11</v>
      </c>
      <c r="E1089" s="4" t="str">
        <f>IF(Table13_1[[#This Row],[smoker]]="yes","smoker","non-smoker")</f>
        <v>non-smoker</v>
      </c>
      <c r="F1089" s="4" t="s">
        <v>13</v>
      </c>
      <c r="G1089" s="5">
        <v>57</v>
      </c>
      <c r="H1089" s="5">
        <f>IF(Table13_1[[#This Row],[smoker]]="yes",1,0)</f>
        <v>0</v>
      </c>
      <c r="I1089" s="4">
        <v>31.54</v>
      </c>
      <c r="J1089" s="4">
        <v>0</v>
      </c>
      <c r="K1089" s="12">
        <v>11353.2276</v>
      </c>
      <c r="N1089">
        <v>934</v>
      </c>
      <c r="O1089">
        <v>10861.812971970066</v>
      </c>
      <c r="P1089">
        <v>-3513.6709719700666</v>
      </c>
    </row>
    <row r="1090" spans="1:16" x14ac:dyDescent="0.25">
      <c r="A1090" s="4" t="s">
        <v>10</v>
      </c>
      <c r="B1090" s="4">
        <f>ROUND(Table13_1[[#This Row],[bmi]],1)</f>
        <v>47.7</v>
      </c>
      <c r="C1090" s="4" t="str" cm="1">
        <f t="array" ref="C1090">_xlfn.IFS(Table13_1[[#This Row],[Round BMI]]&lt;18.5,"Underweight",AND(Table13_1[[#This Row],[Round BMI]]&gt;=18.5,Table13_1[[#This Row],[Round BMI]] &lt;=24.9),"Healthy Weight",AND(Table13_1[[#This Row],[Round BMI]]&gt;=25,Table13_1[[#This Row],[Round BMI]]&lt;=29.9),"Overweight",Table13_1[[#This Row],[Round BMI]]&gt;=30,"Obese")</f>
        <v>Obese</v>
      </c>
      <c r="D1090" s="4" t="s">
        <v>11</v>
      </c>
      <c r="E1090" s="4" t="str">
        <f>IF(Table13_1[[#This Row],[smoker]]="yes","smoker","non-smoker")</f>
        <v>non-smoker</v>
      </c>
      <c r="F1090" s="4" t="s">
        <v>12</v>
      </c>
      <c r="G1090" s="5">
        <v>52</v>
      </c>
      <c r="H1090" s="5">
        <f>IF(Table13_1[[#This Row],[smoker]]="yes",1,0)</f>
        <v>0</v>
      </c>
      <c r="I1090" s="4">
        <v>47.74</v>
      </c>
      <c r="J1090" s="4">
        <v>1</v>
      </c>
      <c r="K1090" s="12">
        <v>9748.9105999999992</v>
      </c>
      <c r="N1090">
        <v>935</v>
      </c>
      <c r="O1090">
        <v>9061.854645108564</v>
      </c>
      <c r="P1090">
        <v>-4388.4624451085638</v>
      </c>
    </row>
    <row r="1091" spans="1:16" x14ac:dyDescent="0.25">
      <c r="A1091" s="4" t="s">
        <v>10</v>
      </c>
      <c r="B1091" s="4">
        <f>ROUND(Table13_1[[#This Row],[bmi]],1)</f>
        <v>22.1</v>
      </c>
      <c r="C1091" s="4" t="str" cm="1">
        <f t="array" ref="C1091">_xlfn.IFS(Table13_1[[#This Row],[Round BMI]]&lt;18.5,"Underweight",AND(Table13_1[[#This Row],[Round BMI]]&gt;=18.5,Table13_1[[#This Row],[Round BMI]] &lt;=24.9),"Healthy Weight",AND(Table13_1[[#This Row],[Round BMI]]&gt;=25,Table13_1[[#This Row],[Round BMI]]&lt;=29.9),"Overweight",Table13_1[[#This Row],[Round BMI]]&gt;=30,"Obese")</f>
        <v>Healthy Weight</v>
      </c>
      <c r="D1091" s="4" t="s">
        <v>11</v>
      </c>
      <c r="E1091" s="4" t="str">
        <f>IF(Table13_1[[#This Row],[smoker]]="yes","smoker","non-smoker")</f>
        <v>non-smoker</v>
      </c>
      <c r="F1091" s="4" t="s">
        <v>9</v>
      </c>
      <c r="G1091" s="5">
        <v>56</v>
      </c>
      <c r="H1091" s="5">
        <f>IF(Table13_1[[#This Row],[smoker]]="yes",1,0)</f>
        <v>0</v>
      </c>
      <c r="I1091" s="4">
        <v>22.1</v>
      </c>
      <c r="J1091" s="4">
        <v>0</v>
      </c>
      <c r="K1091" s="12">
        <v>10577.087</v>
      </c>
      <c r="N1091">
        <v>936</v>
      </c>
      <c r="O1091">
        <v>11961.265132433593</v>
      </c>
      <c r="P1091">
        <v>272.56286756640657</v>
      </c>
    </row>
    <row r="1092" spans="1:16" x14ac:dyDescent="0.25">
      <c r="A1092" s="4" t="s">
        <v>10</v>
      </c>
      <c r="B1092" s="4">
        <f>ROUND(Table13_1[[#This Row],[bmi]],1)</f>
        <v>36.200000000000003</v>
      </c>
      <c r="C1092" s="4" t="str" cm="1">
        <f t="array" ref="C1092">_xlfn.IFS(Table13_1[[#This Row],[Round BMI]]&lt;18.5,"Underweight",AND(Table13_1[[#This Row],[Round BMI]]&gt;=18.5,Table13_1[[#This Row],[Round BMI]] &lt;=24.9),"Healthy Weight",AND(Table13_1[[#This Row],[Round BMI]]&gt;=25,Table13_1[[#This Row],[Round BMI]]&lt;=29.9),"Overweight",Table13_1[[#This Row],[Round BMI]]&gt;=30,"Obese")</f>
        <v>Obese</v>
      </c>
      <c r="D1092" s="4" t="s">
        <v>8</v>
      </c>
      <c r="E1092" s="4" t="str">
        <f>IF(Table13_1[[#This Row],[smoker]]="yes","smoker","non-smoker")</f>
        <v>smoker</v>
      </c>
      <c r="F1092" s="4" t="s">
        <v>12</v>
      </c>
      <c r="G1092" s="5">
        <v>47</v>
      </c>
      <c r="H1092" s="5">
        <f>IF(Table13_1[[#This Row],[smoker]]="yes",1,0)</f>
        <v>1</v>
      </c>
      <c r="I1092" s="4">
        <v>36.19</v>
      </c>
      <c r="J1092" s="4">
        <v>0</v>
      </c>
      <c r="K1092" s="12">
        <v>41676.081100000003</v>
      </c>
      <c r="N1092">
        <v>937</v>
      </c>
      <c r="O1092">
        <v>9759.8650389200084</v>
      </c>
      <c r="P1092">
        <v>22348.79776107999</v>
      </c>
    </row>
    <row r="1093" spans="1:16" x14ac:dyDescent="0.25">
      <c r="A1093" s="4" t="s">
        <v>7</v>
      </c>
      <c r="B1093" s="4">
        <f>ROUND(Table13_1[[#This Row],[bmi]],1)</f>
        <v>29.8</v>
      </c>
      <c r="C1093" s="4" t="str" cm="1">
        <f t="array" ref="C1093">_xlfn.IFS(Table13_1[[#This Row],[Round BMI]]&lt;18.5,"Underweight",AND(Table13_1[[#This Row],[Round BMI]]&gt;=18.5,Table13_1[[#This Row],[Round BMI]] &lt;=24.9),"Healthy Weight",AND(Table13_1[[#This Row],[Round BMI]]&gt;=25,Table13_1[[#This Row],[Round BMI]]&lt;=29.9),"Overweight",Table13_1[[#This Row],[Round BMI]]&gt;=30,"Obese")</f>
        <v>Overweight</v>
      </c>
      <c r="D1093" s="4" t="s">
        <v>11</v>
      </c>
      <c r="E1093" s="4" t="str">
        <f>IF(Table13_1[[#This Row],[smoker]]="yes","smoker","non-smoker")</f>
        <v>non-smoker</v>
      </c>
      <c r="F1093" s="4" t="s">
        <v>14</v>
      </c>
      <c r="G1093" s="5">
        <v>55</v>
      </c>
      <c r="H1093" s="5">
        <f>IF(Table13_1[[#This Row],[smoker]]="yes",1,0)</f>
        <v>0</v>
      </c>
      <c r="I1093" s="4">
        <v>29.83</v>
      </c>
      <c r="J1093" s="4">
        <v>0</v>
      </c>
      <c r="K1093" s="12">
        <v>11286.538699999999</v>
      </c>
      <c r="N1093">
        <v>938</v>
      </c>
      <c r="O1093">
        <v>8117.7232192506199</v>
      </c>
      <c r="P1093">
        <v>848.07258074937999</v>
      </c>
    </row>
    <row r="1094" spans="1:16" x14ac:dyDescent="0.25">
      <c r="A1094" s="4" t="s">
        <v>10</v>
      </c>
      <c r="B1094" s="4">
        <f>ROUND(Table13_1[[#This Row],[bmi]],1)</f>
        <v>32.700000000000003</v>
      </c>
      <c r="C1094" s="4" t="str" cm="1">
        <f t="array" ref="C1094">_xlfn.IFS(Table13_1[[#This Row],[Round BMI]]&lt;18.5,"Underweight",AND(Table13_1[[#This Row],[Round BMI]]&gt;=18.5,Table13_1[[#This Row],[Round BMI]] &lt;=24.9),"Healthy Weight",AND(Table13_1[[#This Row],[Round BMI]]&gt;=25,Table13_1[[#This Row],[Round BMI]]&lt;=29.9),"Overweight",Table13_1[[#This Row],[Round BMI]]&gt;=30,"Obese")</f>
        <v>Obese</v>
      </c>
      <c r="D1094" s="4" t="s">
        <v>11</v>
      </c>
      <c r="E1094" s="4" t="str">
        <f>IF(Table13_1[[#This Row],[smoker]]="yes","smoker","non-smoker")</f>
        <v>non-smoker</v>
      </c>
      <c r="F1094" s="4" t="s">
        <v>9</v>
      </c>
      <c r="G1094" s="5">
        <v>23</v>
      </c>
      <c r="H1094" s="5">
        <f>IF(Table13_1[[#This Row],[smoker]]="yes",1,0)</f>
        <v>0</v>
      </c>
      <c r="I1094" s="4">
        <v>32.700000000000003</v>
      </c>
      <c r="J1094" s="4">
        <v>3</v>
      </c>
      <c r="K1094" s="12">
        <v>3591.48</v>
      </c>
      <c r="N1094">
        <v>939</v>
      </c>
      <c r="O1094">
        <v>1911.5961112302455</v>
      </c>
      <c r="P1094">
        <v>392.40608876975443</v>
      </c>
    </row>
    <row r="1095" spans="1:16" x14ac:dyDescent="0.25">
      <c r="A1095" s="4" t="s">
        <v>7</v>
      </c>
      <c r="B1095" s="4">
        <f>ROUND(Table13_1[[#This Row],[bmi]],1)</f>
        <v>30.4</v>
      </c>
      <c r="C1095" s="4" t="str" cm="1">
        <f t="array" ref="C1095">_xlfn.IFS(Table13_1[[#This Row],[Round BMI]]&lt;18.5,"Underweight",AND(Table13_1[[#This Row],[Round BMI]]&gt;=18.5,Table13_1[[#This Row],[Round BMI]] &lt;=24.9),"Healthy Weight",AND(Table13_1[[#This Row],[Round BMI]]&gt;=25,Table13_1[[#This Row],[Round BMI]]&lt;=29.9),"Overweight",Table13_1[[#This Row],[Round BMI]]&gt;=30,"Obese")</f>
        <v>Obese</v>
      </c>
      <c r="D1095" s="4" t="s">
        <v>8</v>
      </c>
      <c r="E1095" s="4" t="str">
        <f>IF(Table13_1[[#This Row],[smoker]]="yes","smoker","non-smoker")</f>
        <v>smoker</v>
      </c>
      <c r="F1095" s="4" t="s">
        <v>13</v>
      </c>
      <c r="G1095" s="5">
        <v>22</v>
      </c>
      <c r="H1095" s="5">
        <f>IF(Table13_1[[#This Row],[smoker]]="yes",1,0)</f>
        <v>1</v>
      </c>
      <c r="I1095" s="4">
        <v>30.4</v>
      </c>
      <c r="J1095" s="4">
        <v>0</v>
      </c>
      <c r="K1095" s="12">
        <v>33907.548000000003</v>
      </c>
      <c r="N1095">
        <v>940</v>
      </c>
      <c r="O1095">
        <v>11051.433866077057</v>
      </c>
      <c r="P1095">
        <v>-1563.7896660770566</v>
      </c>
    </row>
    <row r="1096" spans="1:16" x14ac:dyDescent="0.25">
      <c r="A1096" s="4" t="s">
        <v>7</v>
      </c>
      <c r="B1096" s="4">
        <f>ROUND(Table13_1[[#This Row],[bmi]],1)</f>
        <v>33.700000000000003</v>
      </c>
      <c r="C1096" s="4" t="str" cm="1">
        <f t="array" ref="C1096">_xlfn.IFS(Table13_1[[#This Row],[Round BMI]]&lt;18.5,"Underweight",AND(Table13_1[[#This Row],[Round BMI]]&gt;=18.5,Table13_1[[#This Row],[Round BMI]] &lt;=24.9),"Healthy Weight",AND(Table13_1[[#This Row],[Round BMI]]&gt;=25,Table13_1[[#This Row],[Round BMI]]&lt;=29.9),"Overweight",Table13_1[[#This Row],[Round BMI]]&gt;=30,"Obese")</f>
        <v>Obese</v>
      </c>
      <c r="D1096" s="4" t="s">
        <v>11</v>
      </c>
      <c r="E1096" s="4" t="str">
        <f>IF(Table13_1[[#This Row],[smoker]]="yes","smoker","non-smoker")</f>
        <v>non-smoker</v>
      </c>
      <c r="F1096" s="4" t="s">
        <v>9</v>
      </c>
      <c r="G1096" s="5">
        <v>50</v>
      </c>
      <c r="H1096" s="5">
        <f>IF(Table13_1[[#This Row],[smoker]]="yes",1,0)</f>
        <v>0</v>
      </c>
      <c r="I1096" s="4">
        <v>33.700000000000003</v>
      </c>
      <c r="J1096" s="4">
        <v>4</v>
      </c>
      <c r="K1096" s="12">
        <v>11299.343000000001</v>
      </c>
      <c r="N1096">
        <v>941</v>
      </c>
      <c r="O1096">
        <v>8.692813700197803</v>
      </c>
      <c r="P1096">
        <v>1113.1810862998022</v>
      </c>
    </row>
    <row r="1097" spans="1:16" x14ac:dyDescent="0.25">
      <c r="A1097" s="4" t="s">
        <v>7</v>
      </c>
      <c r="B1097" s="4">
        <f>ROUND(Table13_1[[#This Row],[bmi]],1)</f>
        <v>31.4</v>
      </c>
      <c r="C1097" s="4" t="str" cm="1">
        <f t="array" ref="C1097">_xlfn.IFS(Table13_1[[#This Row],[Round BMI]]&lt;18.5,"Underweight",AND(Table13_1[[#This Row],[Round BMI]]&gt;=18.5,Table13_1[[#This Row],[Round BMI]] &lt;=24.9),"Healthy Weight",AND(Table13_1[[#This Row],[Round BMI]]&gt;=25,Table13_1[[#This Row],[Round BMI]]&lt;=29.9),"Overweight",Table13_1[[#This Row],[Round BMI]]&gt;=30,"Obese")</f>
        <v>Obese</v>
      </c>
      <c r="D1097" s="4" t="s">
        <v>11</v>
      </c>
      <c r="E1097" s="4" t="str">
        <f>IF(Table13_1[[#This Row],[smoker]]="yes","smoker","non-smoker")</f>
        <v>non-smoker</v>
      </c>
      <c r="F1097" s="4" t="s">
        <v>14</v>
      </c>
      <c r="G1097" s="5">
        <v>18</v>
      </c>
      <c r="H1097" s="5">
        <f>IF(Table13_1[[#This Row],[smoker]]="yes",1,0)</f>
        <v>0</v>
      </c>
      <c r="I1097" s="4">
        <v>31.35</v>
      </c>
      <c r="J1097" s="4">
        <v>4</v>
      </c>
      <c r="K1097" s="12">
        <v>4561.1885000000002</v>
      </c>
      <c r="N1097">
        <v>942</v>
      </c>
      <c r="O1097">
        <v>16097.339460824354</v>
      </c>
      <c r="P1097">
        <v>-6547.7743608243545</v>
      </c>
    </row>
    <row r="1098" spans="1:16" x14ac:dyDescent="0.25">
      <c r="A1098" s="4" t="s">
        <v>7</v>
      </c>
      <c r="B1098" s="4">
        <f>ROUND(Table13_1[[#This Row],[bmi]],1)</f>
        <v>35</v>
      </c>
      <c r="C1098" s="4" t="str" cm="1">
        <f t="array" ref="C1098">_xlfn.IFS(Table13_1[[#This Row],[Round BMI]]&lt;18.5,"Underweight",AND(Table13_1[[#This Row],[Round BMI]]&gt;=18.5,Table13_1[[#This Row],[Round BMI]] &lt;=24.9),"Healthy Weight",AND(Table13_1[[#This Row],[Round BMI]]&gt;=25,Table13_1[[#This Row],[Round BMI]]&lt;=29.9),"Overweight",Table13_1[[#This Row],[Round BMI]]&gt;=30,"Obese")</f>
        <v>Obese</v>
      </c>
      <c r="D1098" s="4" t="s">
        <v>8</v>
      </c>
      <c r="E1098" s="4" t="str">
        <f>IF(Table13_1[[#This Row],[smoker]]="yes","smoker","non-smoker")</f>
        <v>smoker</v>
      </c>
      <c r="F1098" s="4" t="s">
        <v>14</v>
      </c>
      <c r="G1098" s="5">
        <v>51</v>
      </c>
      <c r="H1098" s="5">
        <f>IF(Table13_1[[#This Row],[smoker]]="yes",1,0)</f>
        <v>1</v>
      </c>
      <c r="I1098" s="4">
        <v>34.96</v>
      </c>
      <c r="J1098" s="4">
        <v>2</v>
      </c>
      <c r="K1098" s="12">
        <v>44641.197399999997</v>
      </c>
      <c r="N1098">
        <v>943</v>
      </c>
      <c r="O1098">
        <v>5472.1203769297808</v>
      </c>
      <c r="P1098">
        <v>-3254.6511769297808</v>
      </c>
    </row>
    <row r="1099" spans="1:16" x14ac:dyDescent="0.25">
      <c r="A1099" s="4" t="s">
        <v>10</v>
      </c>
      <c r="B1099" s="4">
        <f>ROUND(Table13_1[[#This Row],[bmi]],1)</f>
        <v>33.799999999999997</v>
      </c>
      <c r="C1099" s="4" t="str" cm="1">
        <f t="array" ref="C1099">_xlfn.IFS(Table13_1[[#This Row],[Round BMI]]&lt;18.5,"Underweight",AND(Table13_1[[#This Row],[Round BMI]]&gt;=18.5,Table13_1[[#This Row],[Round BMI]] &lt;=24.9),"Healthy Weight",AND(Table13_1[[#This Row],[Round BMI]]&gt;=25,Table13_1[[#This Row],[Round BMI]]&lt;=29.9),"Overweight",Table13_1[[#This Row],[Round BMI]]&gt;=30,"Obese")</f>
        <v>Obese</v>
      </c>
      <c r="D1099" s="4" t="s">
        <v>11</v>
      </c>
      <c r="E1099" s="4" t="str">
        <f>IF(Table13_1[[#This Row],[smoker]]="yes","smoker","non-smoker")</f>
        <v>non-smoker</v>
      </c>
      <c r="F1099" s="4" t="s">
        <v>12</v>
      </c>
      <c r="G1099" s="5">
        <v>22</v>
      </c>
      <c r="H1099" s="5">
        <f>IF(Table13_1[[#This Row],[smoker]]="yes",1,0)</f>
        <v>0</v>
      </c>
      <c r="I1099" s="4">
        <v>33.770000000000003</v>
      </c>
      <c r="J1099" s="4">
        <v>0</v>
      </c>
      <c r="K1099" s="12">
        <v>1674.6323</v>
      </c>
      <c r="N1099">
        <v>944</v>
      </c>
      <c r="O1099">
        <v>73.431479325825421</v>
      </c>
      <c r="P1099">
        <v>1555.0394206741746</v>
      </c>
    </row>
    <row r="1100" spans="1:16" x14ac:dyDescent="0.25">
      <c r="A1100" s="4" t="s">
        <v>7</v>
      </c>
      <c r="B1100" s="4">
        <f>ROUND(Table13_1[[#This Row],[bmi]],1)</f>
        <v>30.9</v>
      </c>
      <c r="C1100" s="4" t="str" cm="1">
        <f t="array" ref="C1100">_xlfn.IFS(Table13_1[[#This Row],[Round BMI]]&lt;18.5,"Underweight",AND(Table13_1[[#This Row],[Round BMI]]&gt;=18.5,Table13_1[[#This Row],[Round BMI]] &lt;=24.9),"Healthy Weight",AND(Table13_1[[#This Row],[Round BMI]]&gt;=25,Table13_1[[#This Row],[Round BMI]]&lt;=29.9),"Overweight",Table13_1[[#This Row],[Round BMI]]&gt;=30,"Obese")</f>
        <v>Obese</v>
      </c>
      <c r="D1100" s="4" t="s">
        <v>11</v>
      </c>
      <c r="E1100" s="4" t="str">
        <f>IF(Table13_1[[#This Row],[smoker]]="yes","smoker","non-smoker")</f>
        <v>non-smoker</v>
      </c>
      <c r="F1100" s="4" t="s">
        <v>14</v>
      </c>
      <c r="G1100" s="5">
        <v>52</v>
      </c>
      <c r="H1100" s="5">
        <f>IF(Table13_1[[#This Row],[smoker]]="yes",1,0)</f>
        <v>0</v>
      </c>
      <c r="I1100" s="4">
        <v>30.875</v>
      </c>
      <c r="J1100" s="4">
        <v>0</v>
      </c>
      <c r="K1100" s="12">
        <v>23045.566200000001</v>
      </c>
      <c r="N1100">
        <v>945</v>
      </c>
      <c r="O1100">
        <v>16735.426591740932</v>
      </c>
      <c r="P1100">
        <v>-3752.5518917409318</v>
      </c>
    </row>
    <row r="1101" spans="1:16" x14ac:dyDescent="0.25">
      <c r="A1101" s="4" t="s">
        <v>7</v>
      </c>
      <c r="B1101" s="4">
        <f>ROUND(Table13_1[[#This Row],[bmi]],1)</f>
        <v>34</v>
      </c>
      <c r="C1101" s="4" t="str" cm="1">
        <f t="array" ref="C1101">_xlfn.IFS(Table13_1[[#This Row],[Round BMI]]&lt;18.5,"Underweight",AND(Table13_1[[#This Row],[Round BMI]]&gt;=18.5,Table13_1[[#This Row],[Round BMI]] &lt;=24.9),"Healthy Weight",AND(Table13_1[[#This Row],[Round BMI]]&gt;=25,Table13_1[[#This Row],[Round BMI]]&lt;=29.9),"Overweight",Table13_1[[#This Row],[Round BMI]]&gt;=30,"Obese")</f>
        <v>Obese</v>
      </c>
      <c r="D1101" s="4" t="s">
        <v>11</v>
      </c>
      <c r="E1101" s="4" t="str">
        <f>IF(Table13_1[[#This Row],[smoker]]="yes","smoker","non-smoker")</f>
        <v>non-smoker</v>
      </c>
      <c r="F1101" s="4" t="s">
        <v>12</v>
      </c>
      <c r="G1101" s="5">
        <v>25</v>
      </c>
      <c r="H1101" s="5">
        <f>IF(Table13_1[[#This Row],[smoker]]="yes",1,0)</f>
        <v>0</v>
      </c>
      <c r="I1101" s="4">
        <v>33.99</v>
      </c>
      <c r="J1101" s="4">
        <v>1</v>
      </c>
      <c r="K1101" s="12">
        <v>3227.1210999999998</v>
      </c>
      <c r="N1101">
        <v>946</v>
      </c>
      <c r="O1101">
        <v>14332.585569570412</v>
      </c>
      <c r="P1101">
        <v>-2658.455569570413</v>
      </c>
    </row>
    <row r="1102" spans="1:16" x14ac:dyDescent="0.25">
      <c r="A1102" s="4" t="s">
        <v>7</v>
      </c>
      <c r="B1102" s="4">
        <f>ROUND(Table13_1[[#This Row],[bmi]],1)</f>
        <v>19.100000000000001</v>
      </c>
      <c r="C1102" s="4" t="str" cm="1">
        <f t="array" ref="C1102">_xlfn.IFS(Table13_1[[#This Row],[Round BMI]]&lt;18.5,"Underweight",AND(Table13_1[[#This Row],[Round BMI]]&gt;=18.5,Table13_1[[#This Row],[Round BMI]] &lt;=24.9),"Healthy Weight",AND(Table13_1[[#This Row],[Round BMI]]&gt;=25,Table13_1[[#This Row],[Round BMI]]&lt;=29.9),"Overweight",Table13_1[[#This Row],[Round BMI]]&gt;=30,"Obese")</f>
        <v>Healthy Weight</v>
      </c>
      <c r="D1102" s="4" t="s">
        <v>8</v>
      </c>
      <c r="E1102" s="4" t="str">
        <f>IF(Table13_1[[#This Row],[smoker]]="yes","smoker","non-smoker")</f>
        <v>smoker</v>
      </c>
      <c r="F1102" s="4" t="s">
        <v>14</v>
      </c>
      <c r="G1102" s="5">
        <v>33</v>
      </c>
      <c r="H1102" s="5">
        <f>IF(Table13_1[[#This Row],[smoker]]="yes",1,0)</f>
        <v>1</v>
      </c>
      <c r="I1102" s="4">
        <v>19.094999999999999</v>
      </c>
      <c r="J1102" s="4">
        <v>2</v>
      </c>
      <c r="K1102" s="12">
        <v>16776.304</v>
      </c>
      <c r="N1102">
        <v>947</v>
      </c>
      <c r="O1102">
        <v>11196.194782491251</v>
      </c>
      <c r="P1102">
        <v>-4036.1007824912513</v>
      </c>
    </row>
    <row r="1103" spans="1:16" x14ac:dyDescent="0.25">
      <c r="A1103" s="4" t="s">
        <v>10</v>
      </c>
      <c r="B1103" s="4">
        <f>ROUND(Table13_1[[#This Row],[bmi]],1)</f>
        <v>28.6</v>
      </c>
      <c r="C1103" s="4" t="str" cm="1">
        <f t="array" ref="C1103">_xlfn.IFS(Table13_1[[#This Row],[Round BMI]]&lt;18.5,"Underweight",AND(Table13_1[[#This Row],[Round BMI]]&gt;=18.5,Table13_1[[#This Row],[Round BMI]] &lt;=24.9),"Healthy Weight",AND(Table13_1[[#This Row],[Round BMI]]&gt;=25,Table13_1[[#This Row],[Round BMI]]&lt;=29.9),"Overweight",Table13_1[[#This Row],[Round BMI]]&gt;=30,"Obese")</f>
        <v>Overweight</v>
      </c>
      <c r="D1103" s="4" t="s">
        <v>11</v>
      </c>
      <c r="E1103" s="4" t="str">
        <f>IF(Table13_1[[#This Row],[smoker]]="yes","smoker","non-smoker")</f>
        <v>non-smoker</v>
      </c>
      <c r="F1103" s="4" t="s">
        <v>9</v>
      </c>
      <c r="G1103" s="5">
        <v>53</v>
      </c>
      <c r="H1103" s="5">
        <f>IF(Table13_1[[#This Row],[smoker]]="yes",1,0)</f>
        <v>0</v>
      </c>
      <c r="I1103" s="4">
        <v>28.6</v>
      </c>
      <c r="J1103" s="4">
        <v>3</v>
      </c>
      <c r="K1103" s="12">
        <v>11253.421</v>
      </c>
      <c r="N1103">
        <v>948</v>
      </c>
      <c r="O1103">
        <v>32729.882531763233</v>
      </c>
      <c r="P1103">
        <v>6317.4024682367708</v>
      </c>
    </row>
    <row r="1104" spans="1:16" x14ac:dyDescent="0.25">
      <c r="A1104" s="4" t="s">
        <v>10</v>
      </c>
      <c r="B1104" s="4">
        <f>ROUND(Table13_1[[#This Row],[bmi]],1)</f>
        <v>38.9</v>
      </c>
      <c r="C1104" s="4" t="str" cm="1">
        <f t="array" ref="C1104">_xlfn.IFS(Table13_1[[#This Row],[Round BMI]]&lt;18.5,"Underweight",AND(Table13_1[[#This Row],[Round BMI]]&gt;=18.5,Table13_1[[#This Row],[Round BMI]] &lt;=24.9),"Healthy Weight",AND(Table13_1[[#This Row],[Round BMI]]&gt;=25,Table13_1[[#This Row],[Round BMI]]&lt;=29.9),"Overweight",Table13_1[[#This Row],[Round BMI]]&gt;=30,"Obese")</f>
        <v>Obese</v>
      </c>
      <c r="D1104" s="4" t="s">
        <v>11</v>
      </c>
      <c r="E1104" s="4" t="str">
        <f>IF(Table13_1[[#This Row],[smoker]]="yes","smoker","non-smoker")</f>
        <v>non-smoker</v>
      </c>
      <c r="F1104" s="4" t="s">
        <v>12</v>
      </c>
      <c r="G1104" s="5">
        <v>29</v>
      </c>
      <c r="H1104" s="5">
        <f>IF(Table13_1[[#This Row],[smoker]]="yes",1,0)</f>
        <v>0</v>
      </c>
      <c r="I1104" s="4">
        <v>38.94</v>
      </c>
      <c r="J1104" s="4">
        <v>1</v>
      </c>
      <c r="K1104" s="12">
        <v>3471.4096</v>
      </c>
      <c r="N1104">
        <v>949</v>
      </c>
      <c r="O1104">
        <v>8786.3755254862954</v>
      </c>
      <c r="P1104">
        <v>-2427.5991254862956</v>
      </c>
    </row>
    <row r="1105" spans="1:16" x14ac:dyDescent="0.25">
      <c r="A1105" s="4" t="s">
        <v>10</v>
      </c>
      <c r="B1105" s="4">
        <f>ROUND(Table13_1[[#This Row],[bmi]],1)</f>
        <v>36.1</v>
      </c>
      <c r="C1105" s="4" t="str" cm="1">
        <f t="array" ref="C1105">_xlfn.IFS(Table13_1[[#This Row],[Round BMI]]&lt;18.5,"Underweight",AND(Table13_1[[#This Row],[Round BMI]]&gt;=18.5,Table13_1[[#This Row],[Round BMI]] &lt;=24.9),"Healthy Weight",AND(Table13_1[[#This Row],[Round BMI]]&gt;=25,Table13_1[[#This Row],[Round BMI]]&lt;=29.9),"Overweight",Table13_1[[#This Row],[Round BMI]]&gt;=30,"Obese")</f>
        <v>Obese</v>
      </c>
      <c r="D1105" s="4" t="s">
        <v>11</v>
      </c>
      <c r="E1105" s="4" t="str">
        <f>IF(Table13_1[[#This Row],[smoker]]="yes","smoker","non-smoker")</f>
        <v>non-smoker</v>
      </c>
      <c r="F1105" s="4" t="s">
        <v>12</v>
      </c>
      <c r="G1105" s="5">
        <v>58</v>
      </c>
      <c r="H1105" s="5">
        <f>IF(Table13_1[[#This Row],[smoker]]="yes",1,0)</f>
        <v>0</v>
      </c>
      <c r="I1105" s="4">
        <v>36.08</v>
      </c>
      <c r="J1105" s="4">
        <v>0</v>
      </c>
      <c r="K1105" s="12">
        <v>11363.2832</v>
      </c>
      <c r="N1105">
        <v>950</v>
      </c>
      <c r="O1105">
        <v>29134.361762105153</v>
      </c>
      <c r="P1105">
        <v>-9200.9037621051539</v>
      </c>
    </row>
    <row r="1106" spans="1:16" x14ac:dyDescent="0.25">
      <c r="A1106" s="4" t="s">
        <v>10</v>
      </c>
      <c r="B1106" s="4">
        <f>ROUND(Table13_1[[#This Row],[bmi]],1)</f>
        <v>29.8</v>
      </c>
      <c r="C1106" s="4" t="str" cm="1">
        <f t="array" ref="C1106">_xlfn.IFS(Table13_1[[#This Row],[Round BMI]]&lt;18.5,"Underweight",AND(Table13_1[[#This Row],[Round BMI]]&gt;=18.5,Table13_1[[#This Row],[Round BMI]] &lt;=24.9),"Healthy Weight",AND(Table13_1[[#This Row],[Round BMI]]&gt;=25,Table13_1[[#This Row],[Round BMI]]&lt;=29.9),"Overweight",Table13_1[[#This Row],[Round BMI]]&gt;=30,"Obese")</f>
        <v>Overweight</v>
      </c>
      <c r="D1106" s="4" t="s">
        <v>11</v>
      </c>
      <c r="E1106" s="4" t="str">
        <f>IF(Table13_1[[#This Row],[smoker]]="yes","smoker","non-smoker")</f>
        <v>non-smoker</v>
      </c>
      <c r="F1106" s="4" t="s">
        <v>9</v>
      </c>
      <c r="G1106" s="5">
        <v>37</v>
      </c>
      <c r="H1106" s="5">
        <f>IF(Table13_1[[#This Row],[smoker]]="yes",1,0)</f>
        <v>0</v>
      </c>
      <c r="I1106" s="4">
        <v>29.8</v>
      </c>
      <c r="J1106" s="4">
        <v>0</v>
      </c>
      <c r="K1106" s="12">
        <v>20420.604599999999</v>
      </c>
      <c r="N1106">
        <v>951</v>
      </c>
      <c r="O1106">
        <v>8495.7980107331678</v>
      </c>
      <c r="P1106">
        <v>3039.0745892668328</v>
      </c>
    </row>
    <row r="1107" spans="1:16" x14ac:dyDescent="0.25">
      <c r="A1107" s="4" t="s">
        <v>7</v>
      </c>
      <c r="B1107" s="4">
        <f>ROUND(Table13_1[[#This Row],[bmi]],1)</f>
        <v>31.2</v>
      </c>
      <c r="C1107" s="4" t="str" cm="1">
        <f t="array" ref="C1107">_xlfn.IFS(Table13_1[[#This Row],[Round BMI]]&lt;18.5,"Underweight",AND(Table13_1[[#This Row],[Round BMI]]&gt;=18.5,Table13_1[[#This Row],[Round BMI]] &lt;=24.9),"Healthy Weight",AND(Table13_1[[#This Row],[Round BMI]]&gt;=25,Table13_1[[#This Row],[Round BMI]]&lt;=29.9),"Overweight",Table13_1[[#This Row],[Round BMI]]&gt;=30,"Obese")</f>
        <v>Obese</v>
      </c>
      <c r="D1107" s="4" t="s">
        <v>11</v>
      </c>
      <c r="E1107" s="4" t="str">
        <f>IF(Table13_1[[#This Row],[smoker]]="yes","smoker","non-smoker")</f>
        <v>non-smoker</v>
      </c>
      <c r="F1107" s="4" t="s">
        <v>12</v>
      </c>
      <c r="G1107" s="5">
        <v>54</v>
      </c>
      <c r="H1107" s="5">
        <f>IF(Table13_1[[#This Row],[smoker]]="yes",1,0)</f>
        <v>0</v>
      </c>
      <c r="I1107" s="4">
        <v>31.24</v>
      </c>
      <c r="J1107" s="4">
        <v>0</v>
      </c>
      <c r="K1107" s="12">
        <v>10338.9316</v>
      </c>
      <c r="N1107">
        <v>952</v>
      </c>
      <c r="O1107">
        <v>39613.385154652584</v>
      </c>
      <c r="P1107">
        <v>7849.5088453474164</v>
      </c>
    </row>
    <row r="1108" spans="1:16" x14ac:dyDescent="0.25">
      <c r="A1108" s="4" t="s">
        <v>7</v>
      </c>
      <c r="B1108" s="4">
        <f>ROUND(Table13_1[[#This Row],[bmi]],1)</f>
        <v>29.9</v>
      </c>
      <c r="C1108" s="4" t="str" cm="1">
        <f t="array" ref="C1108">_xlfn.IFS(Table13_1[[#This Row],[Round BMI]]&lt;18.5,"Underweight",AND(Table13_1[[#This Row],[Round BMI]]&gt;=18.5,Table13_1[[#This Row],[Round BMI]] &lt;=24.9),"Healthy Weight",AND(Table13_1[[#This Row],[Round BMI]]&gt;=25,Table13_1[[#This Row],[Round BMI]]&lt;=29.9),"Overweight",Table13_1[[#This Row],[Round BMI]]&gt;=30,"Obese")</f>
        <v>Overweight</v>
      </c>
      <c r="D1108" s="4" t="s">
        <v>11</v>
      </c>
      <c r="E1108" s="4" t="str">
        <f>IF(Table13_1[[#This Row],[smoker]]="yes","smoker","non-smoker")</f>
        <v>non-smoker</v>
      </c>
      <c r="F1108" s="4" t="s">
        <v>13</v>
      </c>
      <c r="G1108" s="5">
        <v>49</v>
      </c>
      <c r="H1108" s="5">
        <f>IF(Table13_1[[#This Row],[smoker]]="yes",1,0)</f>
        <v>0</v>
      </c>
      <c r="I1108" s="4">
        <v>29.925000000000001</v>
      </c>
      <c r="J1108" s="4">
        <v>0</v>
      </c>
      <c r="K1108" s="12">
        <v>8988.1587999999992</v>
      </c>
      <c r="N1108">
        <v>953</v>
      </c>
      <c r="O1108">
        <v>5248.4072549703906</v>
      </c>
      <c r="P1108">
        <v>-721.22425497039058</v>
      </c>
    </row>
    <row r="1109" spans="1:16" x14ac:dyDescent="0.25">
      <c r="A1109" s="4" t="s">
        <v>7</v>
      </c>
      <c r="B1109" s="4">
        <f>ROUND(Table13_1[[#This Row],[bmi]],1)</f>
        <v>26.2</v>
      </c>
      <c r="C1109" s="4" t="str" cm="1">
        <f t="array" ref="C1109">_xlfn.IFS(Table13_1[[#This Row],[Round BMI]]&lt;18.5,"Underweight",AND(Table13_1[[#This Row],[Round BMI]]&gt;=18.5,Table13_1[[#This Row],[Round BMI]] &lt;=24.9),"Healthy Weight",AND(Table13_1[[#This Row],[Round BMI]]&gt;=25,Table13_1[[#This Row],[Round BMI]]&lt;=29.9),"Overweight",Table13_1[[#This Row],[Round BMI]]&gt;=30,"Obese")</f>
        <v>Overweight</v>
      </c>
      <c r="D1109" s="4" t="s">
        <v>11</v>
      </c>
      <c r="E1109" s="4" t="str">
        <f>IF(Table13_1[[#This Row],[smoker]]="yes","smoker","non-smoker")</f>
        <v>non-smoker</v>
      </c>
      <c r="F1109" s="4" t="s">
        <v>13</v>
      </c>
      <c r="G1109" s="5">
        <v>50</v>
      </c>
      <c r="H1109" s="5">
        <f>IF(Table13_1[[#This Row],[smoker]]="yes",1,0)</f>
        <v>0</v>
      </c>
      <c r="I1109" s="4">
        <v>26.22</v>
      </c>
      <c r="J1109" s="4">
        <v>2</v>
      </c>
      <c r="K1109" s="12">
        <v>10493.9458</v>
      </c>
      <c r="N1109">
        <v>954</v>
      </c>
      <c r="O1109">
        <v>33720.925787256696</v>
      </c>
      <c r="P1109">
        <v>5277.6202127433062</v>
      </c>
    </row>
    <row r="1110" spans="1:16" x14ac:dyDescent="0.25">
      <c r="A1110" s="4" t="s">
        <v>10</v>
      </c>
      <c r="B1110" s="4">
        <f>ROUND(Table13_1[[#This Row],[bmi]],1)</f>
        <v>30</v>
      </c>
      <c r="C1110" s="4" t="str" cm="1">
        <f t="array" ref="C1110">_xlfn.IFS(Table13_1[[#This Row],[Round BMI]]&lt;18.5,"Underweight",AND(Table13_1[[#This Row],[Round BMI]]&gt;=18.5,Table13_1[[#This Row],[Round BMI]] &lt;=24.9),"Healthy Weight",AND(Table13_1[[#This Row],[Round BMI]]&gt;=25,Table13_1[[#This Row],[Round BMI]]&lt;=29.9),"Overweight",Table13_1[[#This Row],[Round BMI]]&gt;=30,"Obese")</f>
        <v>Obese</v>
      </c>
      <c r="D1110" s="4" t="s">
        <v>11</v>
      </c>
      <c r="E1110" s="4" t="str">
        <f>IF(Table13_1[[#This Row],[smoker]]="yes","smoker","non-smoker")</f>
        <v>non-smoker</v>
      </c>
      <c r="F1110" s="4" t="s">
        <v>9</v>
      </c>
      <c r="G1110" s="5">
        <v>26</v>
      </c>
      <c r="H1110" s="5">
        <f>IF(Table13_1[[#This Row],[smoker]]="yes",1,0)</f>
        <v>0</v>
      </c>
      <c r="I1110" s="4">
        <v>30</v>
      </c>
      <c r="J1110" s="4">
        <v>1</v>
      </c>
      <c r="K1110" s="12">
        <v>2904.0880000000002</v>
      </c>
      <c r="N1110">
        <v>955</v>
      </c>
      <c r="O1110">
        <v>29907.749830687844</v>
      </c>
      <c r="P1110">
        <v>-9898.1162306878432</v>
      </c>
    </row>
    <row r="1111" spans="1:16" x14ac:dyDescent="0.25">
      <c r="A1111" s="4" t="s">
        <v>10</v>
      </c>
      <c r="B1111" s="4">
        <f>ROUND(Table13_1[[#This Row],[bmi]],1)</f>
        <v>20.399999999999999</v>
      </c>
      <c r="C1111" s="4" t="str" cm="1">
        <f t="array" ref="C1111">_xlfn.IFS(Table13_1[[#This Row],[Round BMI]]&lt;18.5,"Underweight",AND(Table13_1[[#This Row],[Round BMI]]&gt;=18.5,Table13_1[[#This Row],[Round BMI]] &lt;=24.9),"Healthy Weight",AND(Table13_1[[#This Row],[Round BMI]]&gt;=25,Table13_1[[#This Row],[Round BMI]]&lt;=29.9),"Overweight",Table13_1[[#This Row],[Round BMI]]&gt;=30,"Obese")</f>
        <v>Healthy Weight</v>
      </c>
      <c r="D1111" s="4" t="s">
        <v>11</v>
      </c>
      <c r="E1111" s="4" t="str">
        <f>IF(Table13_1[[#This Row],[smoker]]="yes","smoker","non-smoker")</f>
        <v>non-smoker</v>
      </c>
      <c r="F1111" s="4" t="s">
        <v>12</v>
      </c>
      <c r="G1111" s="5">
        <v>45</v>
      </c>
      <c r="H1111" s="5">
        <f>IF(Table13_1[[#This Row],[smoker]]="yes",1,0)</f>
        <v>0</v>
      </c>
      <c r="I1111" s="4">
        <v>20.350000000000001</v>
      </c>
      <c r="J1111" s="4">
        <v>3</v>
      </c>
      <c r="K1111" s="12">
        <v>8605.3615000000009</v>
      </c>
      <c r="N1111">
        <v>956</v>
      </c>
      <c r="O1111">
        <v>9073.9795627955882</v>
      </c>
      <c r="P1111">
        <v>-5198.2454627955885</v>
      </c>
    </row>
    <row r="1112" spans="1:16" x14ac:dyDescent="0.25">
      <c r="A1112" s="4" t="s">
        <v>7</v>
      </c>
      <c r="B1112" s="4">
        <f>ROUND(Table13_1[[#This Row],[bmi]],1)</f>
        <v>32.299999999999997</v>
      </c>
      <c r="C1112" s="4" t="str" cm="1">
        <f t="array" ref="C1112">_xlfn.IFS(Table13_1[[#This Row],[Round BMI]]&lt;18.5,"Underweight",AND(Table13_1[[#This Row],[Round BMI]]&gt;=18.5,Table13_1[[#This Row],[Round BMI]] &lt;=24.9),"Healthy Weight",AND(Table13_1[[#This Row],[Round BMI]]&gt;=25,Table13_1[[#This Row],[Round BMI]]&lt;=29.9),"Overweight",Table13_1[[#This Row],[Round BMI]]&gt;=30,"Obese")</f>
        <v>Obese</v>
      </c>
      <c r="D1112" s="4" t="s">
        <v>11</v>
      </c>
      <c r="E1112" s="4" t="str">
        <f>IF(Table13_1[[#This Row],[smoker]]="yes","smoker","non-smoker")</f>
        <v>non-smoker</v>
      </c>
      <c r="F1112" s="4" t="s">
        <v>14</v>
      </c>
      <c r="G1112" s="5">
        <v>54</v>
      </c>
      <c r="H1112" s="5">
        <f>IF(Table13_1[[#This Row],[smoker]]="yes",1,0)</f>
        <v>0</v>
      </c>
      <c r="I1112" s="4">
        <v>32.299999999999997</v>
      </c>
      <c r="J1112" s="4">
        <v>1</v>
      </c>
      <c r="K1112" s="12">
        <v>11512.405000000001</v>
      </c>
      <c r="N1112">
        <v>957</v>
      </c>
      <c r="O1112">
        <v>36019.029386719165</v>
      </c>
      <c r="P1112">
        <v>5980.4906132808319</v>
      </c>
    </row>
    <row r="1113" spans="1:16" x14ac:dyDescent="0.25">
      <c r="A1113" s="4" t="s">
        <v>10</v>
      </c>
      <c r="B1113" s="4">
        <f>ROUND(Table13_1[[#This Row],[bmi]],1)</f>
        <v>38.4</v>
      </c>
      <c r="C1113" s="4" t="str" cm="1">
        <f t="array" ref="C1113">_xlfn.IFS(Table13_1[[#This Row],[Round BMI]]&lt;18.5,"Underweight",AND(Table13_1[[#This Row],[Round BMI]]&gt;=18.5,Table13_1[[#This Row],[Round BMI]] &lt;=24.9),"Healthy Weight",AND(Table13_1[[#This Row],[Round BMI]]&gt;=25,Table13_1[[#This Row],[Round BMI]]&lt;=29.9),"Overweight",Table13_1[[#This Row],[Round BMI]]&gt;=30,"Obese")</f>
        <v>Obese</v>
      </c>
      <c r="D1113" s="4" t="s">
        <v>8</v>
      </c>
      <c r="E1113" s="4" t="str">
        <f>IF(Table13_1[[#This Row],[smoker]]="yes","smoker","non-smoker")</f>
        <v>smoker</v>
      </c>
      <c r="F1113" s="4" t="s">
        <v>12</v>
      </c>
      <c r="G1113" s="5">
        <v>38</v>
      </c>
      <c r="H1113" s="5">
        <f>IF(Table13_1[[#This Row],[smoker]]="yes",1,0)</f>
        <v>1</v>
      </c>
      <c r="I1113" s="4">
        <v>38.39</v>
      </c>
      <c r="J1113" s="4">
        <v>3</v>
      </c>
      <c r="K1113" s="12">
        <v>41949.244100000004</v>
      </c>
      <c r="N1113">
        <v>958</v>
      </c>
      <c r="O1113">
        <v>3181.5201953996961</v>
      </c>
      <c r="P1113">
        <v>9428.366804600304</v>
      </c>
    </row>
    <row r="1114" spans="1:16" x14ac:dyDescent="0.25">
      <c r="A1114" s="4" t="s">
        <v>7</v>
      </c>
      <c r="B1114" s="4">
        <f>ROUND(Table13_1[[#This Row],[bmi]],1)</f>
        <v>25.9</v>
      </c>
      <c r="C1114" s="4" t="str" cm="1">
        <f t="array" ref="C1114">_xlfn.IFS(Table13_1[[#This Row],[Round BMI]]&lt;18.5,"Underweight",AND(Table13_1[[#This Row],[Round BMI]]&gt;=18.5,Table13_1[[#This Row],[Round BMI]] &lt;=24.9),"Healthy Weight",AND(Table13_1[[#This Row],[Round BMI]]&gt;=25,Table13_1[[#This Row],[Round BMI]]&lt;=29.9),"Overweight",Table13_1[[#This Row],[Round BMI]]&gt;=30,"Obese")</f>
        <v>Overweight</v>
      </c>
      <c r="D1114" s="4" t="s">
        <v>8</v>
      </c>
      <c r="E1114" s="4" t="str">
        <f>IF(Table13_1[[#This Row],[smoker]]="yes","smoker","non-smoker")</f>
        <v>smoker</v>
      </c>
      <c r="F1114" s="4" t="s">
        <v>12</v>
      </c>
      <c r="G1114" s="5">
        <v>48</v>
      </c>
      <c r="H1114" s="5">
        <f>IF(Table13_1[[#This Row],[smoker]]="yes",1,0)</f>
        <v>1</v>
      </c>
      <c r="I1114" s="4">
        <v>25.85</v>
      </c>
      <c r="J1114" s="4">
        <v>3</v>
      </c>
      <c r="K1114" s="12">
        <v>24180.933499999999</v>
      </c>
      <c r="N1114">
        <v>959</v>
      </c>
      <c r="O1114">
        <v>34521.586641904694</v>
      </c>
      <c r="P1114">
        <v>6512.6347580953079</v>
      </c>
    </row>
    <row r="1115" spans="1:16" x14ac:dyDescent="0.25">
      <c r="A1115" s="4" t="s">
        <v>7</v>
      </c>
      <c r="B1115" s="4">
        <f>ROUND(Table13_1[[#This Row],[bmi]],1)</f>
        <v>26.3</v>
      </c>
      <c r="C1115" s="4" t="str" cm="1">
        <f t="array" ref="C1115">_xlfn.IFS(Table13_1[[#This Row],[Round BMI]]&lt;18.5,"Underweight",AND(Table13_1[[#This Row],[Round BMI]]&gt;=18.5,Table13_1[[#This Row],[Round BMI]] &lt;=24.9),"Healthy Weight",AND(Table13_1[[#This Row],[Round BMI]]&gt;=25,Table13_1[[#This Row],[Round BMI]]&lt;=29.9),"Overweight",Table13_1[[#This Row],[Round BMI]]&gt;=30,"Obese")</f>
        <v>Overweight</v>
      </c>
      <c r="D1115" s="4" t="s">
        <v>11</v>
      </c>
      <c r="E1115" s="4" t="str">
        <f>IF(Table13_1[[#This Row],[smoker]]="yes","smoker","non-smoker")</f>
        <v>non-smoker</v>
      </c>
      <c r="F1115" s="4" t="s">
        <v>13</v>
      </c>
      <c r="G1115" s="5">
        <v>28</v>
      </c>
      <c r="H1115" s="5">
        <f>IF(Table13_1[[#This Row],[smoker]]="yes",1,0)</f>
        <v>0</v>
      </c>
      <c r="I1115" s="4">
        <v>26.315000000000001</v>
      </c>
      <c r="J1115" s="4">
        <v>3</v>
      </c>
      <c r="K1115" s="12">
        <v>5312.1697999999997</v>
      </c>
      <c r="N1115">
        <v>960</v>
      </c>
      <c r="O1115">
        <v>12549.80023139942</v>
      </c>
      <c r="P1115">
        <v>15919.118768600581</v>
      </c>
    </row>
    <row r="1116" spans="1:16" x14ac:dyDescent="0.25">
      <c r="A1116" s="4" t="s">
        <v>10</v>
      </c>
      <c r="B1116" s="4">
        <f>ROUND(Table13_1[[#This Row],[bmi]],1)</f>
        <v>24.5</v>
      </c>
      <c r="C1116" s="4" t="str" cm="1">
        <f t="array" ref="C1116">_xlfn.IFS(Table13_1[[#This Row],[Round BMI]]&lt;18.5,"Underweight",AND(Table13_1[[#This Row],[Round BMI]]&gt;=18.5,Table13_1[[#This Row],[Round BMI]] &lt;=24.9),"Healthy Weight",AND(Table13_1[[#This Row],[Round BMI]]&gt;=25,Table13_1[[#This Row],[Round BMI]]&lt;=29.9),"Overweight",Table13_1[[#This Row],[Round BMI]]&gt;=30,"Obese")</f>
        <v>Healthy Weight</v>
      </c>
      <c r="D1116" s="4" t="s">
        <v>11</v>
      </c>
      <c r="E1116" s="4" t="str">
        <f>IF(Table13_1[[#This Row],[smoker]]="yes","smoker","non-smoker")</f>
        <v>non-smoker</v>
      </c>
      <c r="F1116" s="4" t="s">
        <v>14</v>
      </c>
      <c r="G1116" s="5">
        <v>23</v>
      </c>
      <c r="H1116" s="5">
        <f>IF(Table13_1[[#This Row],[smoker]]="yes",1,0)</f>
        <v>0</v>
      </c>
      <c r="I1116" s="4">
        <v>24.51</v>
      </c>
      <c r="J1116" s="4">
        <v>0</v>
      </c>
      <c r="K1116" s="12">
        <v>2396.0958999999998</v>
      </c>
      <c r="N1116">
        <v>961</v>
      </c>
      <c r="O1116">
        <v>6020.016900186467</v>
      </c>
      <c r="P1116">
        <v>-3289.9091001864667</v>
      </c>
    </row>
    <row r="1117" spans="1:16" x14ac:dyDescent="0.25">
      <c r="A1117" s="4" t="s">
        <v>10</v>
      </c>
      <c r="B1117" s="4">
        <f>ROUND(Table13_1[[#This Row],[bmi]],1)</f>
        <v>32.700000000000003</v>
      </c>
      <c r="C1117" s="4" t="str" cm="1">
        <f t="array" ref="C1117">_xlfn.IFS(Table13_1[[#This Row],[Round BMI]]&lt;18.5,"Underweight",AND(Table13_1[[#This Row],[Round BMI]]&gt;=18.5,Table13_1[[#This Row],[Round BMI]] &lt;=24.9),"Healthy Weight",AND(Table13_1[[#This Row],[Round BMI]]&gt;=25,Table13_1[[#This Row],[Round BMI]]&lt;=29.9),"Overweight",Table13_1[[#This Row],[Round BMI]]&gt;=30,"Obese")</f>
        <v>Obese</v>
      </c>
      <c r="D1117" s="4" t="s">
        <v>11</v>
      </c>
      <c r="E1117" s="4" t="str">
        <f>IF(Table13_1[[#This Row],[smoker]]="yes","smoker","non-smoker")</f>
        <v>non-smoker</v>
      </c>
      <c r="F1117" s="4" t="s">
        <v>12</v>
      </c>
      <c r="G1117" s="5">
        <v>55</v>
      </c>
      <c r="H1117" s="5">
        <f>IF(Table13_1[[#This Row],[smoker]]="yes",1,0)</f>
        <v>0</v>
      </c>
      <c r="I1117" s="4">
        <v>32.67</v>
      </c>
      <c r="J1117" s="4">
        <v>1</v>
      </c>
      <c r="K1117" s="12">
        <v>10807.4863</v>
      </c>
      <c r="N1117">
        <v>962</v>
      </c>
      <c r="O1117">
        <v>3710.8176679769731</v>
      </c>
      <c r="P1117">
        <v>-357.53366797697299</v>
      </c>
    </row>
    <row r="1118" spans="1:16" x14ac:dyDescent="0.25">
      <c r="A1118" s="4" t="s">
        <v>10</v>
      </c>
      <c r="B1118" s="4">
        <f>ROUND(Table13_1[[#This Row],[bmi]],1)</f>
        <v>29.6</v>
      </c>
      <c r="C1118" s="4" t="str" cm="1">
        <f t="array" ref="C1118">_xlfn.IFS(Table13_1[[#This Row],[Round BMI]]&lt;18.5,"Underweight",AND(Table13_1[[#This Row],[Round BMI]]&gt;=18.5,Table13_1[[#This Row],[Round BMI]] &lt;=24.9),"Healthy Weight",AND(Table13_1[[#This Row],[Round BMI]]&gt;=25,Table13_1[[#This Row],[Round BMI]]&lt;=29.9),"Overweight",Table13_1[[#This Row],[Round BMI]]&gt;=30,"Obese")</f>
        <v>Overweight</v>
      </c>
      <c r="D1118" s="4" t="s">
        <v>11</v>
      </c>
      <c r="E1118" s="4" t="str">
        <f>IF(Table13_1[[#This Row],[smoker]]="yes","smoker","non-smoker")</f>
        <v>non-smoker</v>
      </c>
      <c r="F1118" s="4" t="s">
        <v>14</v>
      </c>
      <c r="G1118" s="5">
        <v>41</v>
      </c>
      <c r="H1118" s="5">
        <f>IF(Table13_1[[#This Row],[smoker]]="yes",1,0)</f>
        <v>0</v>
      </c>
      <c r="I1118" s="4">
        <v>29.64</v>
      </c>
      <c r="J1118" s="4">
        <v>5</v>
      </c>
      <c r="K1118" s="12">
        <v>9222.4025999999994</v>
      </c>
      <c r="N1118">
        <v>963</v>
      </c>
      <c r="O1118">
        <v>15944.421279178177</v>
      </c>
      <c r="P1118">
        <v>-1469.7462791781782</v>
      </c>
    </row>
    <row r="1119" spans="1:16" x14ac:dyDescent="0.25">
      <c r="A1119" s="4" t="s">
        <v>10</v>
      </c>
      <c r="B1119" s="4">
        <f>ROUND(Table13_1[[#This Row],[bmi]],1)</f>
        <v>33.299999999999997</v>
      </c>
      <c r="C1119" s="4" t="str" cm="1">
        <f t="array" ref="C1119">_xlfn.IFS(Table13_1[[#This Row],[Round BMI]]&lt;18.5,"Underweight",AND(Table13_1[[#This Row],[Round BMI]]&gt;=18.5,Table13_1[[#This Row],[Round BMI]] &lt;=24.9),"Healthy Weight",AND(Table13_1[[#This Row],[Round BMI]]&gt;=25,Table13_1[[#This Row],[Round BMI]]&lt;=29.9),"Overweight",Table13_1[[#This Row],[Round BMI]]&gt;=30,"Obese")</f>
        <v>Obese</v>
      </c>
      <c r="D1119" s="4" t="s">
        <v>8</v>
      </c>
      <c r="E1119" s="4" t="str">
        <f>IF(Table13_1[[#This Row],[smoker]]="yes","smoker","non-smoker")</f>
        <v>smoker</v>
      </c>
      <c r="F1119" s="4" t="s">
        <v>12</v>
      </c>
      <c r="G1119" s="5">
        <v>25</v>
      </c>
      <c r="H1119" s="5">
        <f>IF(Table13_1[[#This Row],[smoker]]="yes",1,0)</f>
        <v>1</v>
      </c>
      <c r="I1119" s="4">
        <v>33.33</v>
      </c>
      <c r="J1119" s="4">
        <v>2</v>
      </c>
      <c r="K1119" s="12">
        <v>36124.573700000001</v>
      </c>
      <c r="N1119">
        <v>964</v>
      </c>
      <c r="O1119">
        <v>9159.1204390909552</v>
      </c>
      <c r="P1119">
        <v>341.45256090904513</v>
      </c>
    </row>
    <row r="1120" spans="1:16" x14ac:dyDescent="0.25">
      <c r="A1120" s="4" t="s">
        <v>10</v>
      </c>
      <c r="B1120" s="4">
        <f>ROUND(Table13_1[[#This Row],[bmi]],1)</f>
        <v>35.799999999999997</v>
      </c>
      <c r="C1120" s="4" t="str" cm="1">
        <f t="array" ref="C1120">_xlfn.IFS(Table13_1[[#This Row],[Round BMI]]&lt;18.5,"Underweight",AND(Table13_1[[#This Row],[Round BMI]]&gt;=18.5,Table13_1[[#This Row],[Round BMI]] &lt;=24.9),"Healthy Weight",AND(Table13_1[[#This Row],[Round BMI]]&gt;=25,Table13_1[[#This Row],[Round BMI]]&lt;=29.9),"Overweight",Table13_1[[#This Row],[Round BMI]]&gt;=30,"Obese")</f>
        <v>Obese</v>
      </c>
      <c r="D1120" s="4" t="s">
        <v>8</v>
      </c>
      <c r="E1120" s="4" t="str">
        <f>IF(Table13_1[[#This Row],[smoker]]="yes","smoker","non-smoker")</f>
        <v>smoker</v>
      </c>
      <c r="F1120" s="4" t="s">
        <v>12</v>
      </c>
      <c r="G1120" s="5">
        <v>33</v>
      </c>
      <c r="H1120" s="5">
        <f>IF(Table13_1[[#This Row],[smoker]]="yes",1,0)</f>
        <v>1</v>
      </c>
      <c r="I1120" s="4">
        <v>35.75</v>
      </c>
      <c r="J1120" s="4">
        <v>1</v>
      </c>
      <c r="K1120" s="12">
        <v>38282.749499999998</v>
      </c>
      <c r="N1120">
        <v>965</v>
      </c>
      <c r="O1120">
        <v>14085.276459536581</v>
      </c>
      <c r="P1120">
        <v>12381.820940463418</v>
      </c>
    </row>
    <row r="1121" spans="1:16" x14ac:dyDescent="0.25">
      <c r="A1121" s="4" t="s">
        <v>7</v>
      </c>
      <c r="B1121" s="4">
        <f>ROUND(Table13_1[[#This Row],[bmi]],1)</f>
        <v>20</v>
      </c>
      <c r="C1121" s="4" t="str" cm="1">
        <f t="array" ref="C1121">_xlfn.IFS(Table13_1[[#This Row],[Round BMI]]&lt;18.5,"Underweight",AND(Table13_1[[#This Row],[Round BMI]]&gt;=18.5,Table13_1[[#This Row],[Round BMI]] &lt;=24.9),"Healthy Weight",AND(Table13_1[[#This Row],[Round BMI]]&gt;=25,Table13_1[[#This Row],[Round BMI]]&lt;=29.9),"Overweight",Table13_1[[#This Row],[Round BMI]]&gt;=30,"Obese")</f>
        <v>Healthy Weight</v>
      </c>
      <c r="D1121" s="4" t="s">
        <v>11</v>
      </c>
      <c r="E1121" s="4" t="str">
        <f>IF(Table13_1[[#This Row],[smoker]]="yes","smoker","non-smoker")</f>
        <v>non-smoker</v>
      </c>
      <c r="F1121" s="4" t="s">
        <v>13</v>
      </c>
      <c r="G1121" s="5">
        <v>30</v>
      </c>
      <c r="H1121" s="5">
        <f>IF(Table13_1[[#This Row],[smoker]]="yes",1,0)</f>
        <v>0</v>
      </c>
      <c r="I1121" s="4">
        <v>19.95</v>
      </c>
      <c r="J1121" s="4">
        <v>3</v>
      </c>
      <c r="K1121" s="12">
        <v>5693.4305000000004</v>
      </c>
      <c r="N1121">
        <v>966</v>
      </c>
      <c r="O1121">
        <v>6117.638710914388</v>
      </c>
      <c r="P1121">
        <v>-1371.2947109143879</v>
      </c>
    </row>
    <row r="1122" spans="1:16" x14ac:dyDescent="0.25">
      <c r="A1122" s="4" t="s">
        <v>7</v>
      </c>
      <c r="B1122" s="4">
        <f>ROUND(Table13_1[[#This Row],[bmi]],1)</f>
        <v>31.4</v>
      </c>
      <c r="C1122" s="4" t="str" cm="1">
        <f t="array" ref="C1122">_xlfn.IFS(Table13_1[[#This Row],[Round BMI]]&lt;18.5,"Underweight",AND(Table13_1[[#This Row],[Round BMI]]&gt;=18.5,Table13_1[[#This Row],[Round BMI]] &lt;=24.9),"Healthy Weight",AND(Table13_1[[#This Row],[Round BMI]]&gt;=25,Table13_1[[#This Row],[Round BMI]]&lt;=29.9),"Overweight",Table13_1[[#This Row],[Round BMI]]&gt;=30,"Obese")</f>
        <v>Obese</v>
      </c>
      <c r="D1122" s="4" t="s">
        <v>8</v>
      </c>
      <c r="E1122" s="4" t="str">
        <f>IF(Table13_1[[#This Row],[smoker]]="yes","smoker","non-smoker")</f>
        <v>smoker</v>
      </c>
      <c r="F1122" s="4" t="s">
        <v>9</v>
      </c>
      <c r="G1122" s="5">
        <v>23</v>
      </c>
      <c r="H1122" s="5">
        <f>IF(Table13_1[[#This Row],[smoker]]="yes",1,0)</f>
        <v>1</v>
      </c>
      <c r="I1122" s="4">
        <v>31.4</v>
      </c>
      <c r="J1122" s="4">
        <v>0</v>
      </c>
      <c r="K1122" s="12">
        <v>34166.273000000001</v>
      </c>
      <c r="N1122">
        <v>967</v>
      </c>
      <c r="O1122">
        <v>33786.265506212432</v>
      </c>
      <c r="P1122">
        <v>-9818.8825062124306</v>
      </c>
    </row>
    <row r="1123" spans="1:16" x14ac:dyDescent="0.25">
      <c r="A1123" s="4" t="s">
        <v>10</v>
      </c>
      <c r="B1123" s="4">
        <f>ROUND(Table13_1[[#This Row],[bmi]],1)</f>
        <v>38.200000000000003</v>
      </c>
      <c r="C1123" s="4" t="str" cm="1">
        <f t="array" ref="C1123">_xlfn.IFS(Table13_1[[#This Row],[Round BMI]]&lt;18.5,"Underweight",AND(Table13_1[[#This Row],[Round BMI]]&gt;=18.5,Table13_1[[#This Row],[Round BMI]] &lt;=24.9),"Healthy Weight",AND(Table13_1[[#This Row],[Round BMI]]&gt;=25,Table13_1[[#This Row],[Round BMI]]&lt;=29.9),"Overweight",Table13_1[[#This Row],[Round BMI]]&gt;=30,"Obese")</f>
        <v>Obese</v>
      </c>
      <c r="D1123" s="4" t="s">
        <v>11</v>
      </c>
      <c r="E1123" s="4" t="str">
        <f>IF(Table13_1[[#This Row],[smoker]]="yes","smoker","non-smoker")</f>
        <v>non-smoker</v>
      </c>
      <c r="F1123" s="4" t="s">
        <v>12</v>
      </c>
      <c r="G1123" s="5">
        <v>46</v>
      </c>
      <c r="H1123" s="5">
        <f>IF(Table13_1[[#This Row],[smoker]]="yes",1,0)</f>
        <v>0</v>
      </c>
      <c r="I1123" s="4">
        <v>38.17</v>
      </c>
      <c r="J1123" s="4">
        <v>2</v>
      </c>
      <c r="K1123" s="12">
        <v>8347.1643000000004</v>
      </c>
      <c r="N1123">
        <v>968</v>
      </c>
      <c r="O1123">
        <v>7879.8720929580868</v>
      </c>
      <c r="P1123">
        <v>-361.84669295808635</v>
      </c>
    </row>
    <row r="1124" spans="1:16" x14ac:dyDescent="0.25">
      <c r="A1124" s="4" t="s">
        <v>7</v>
      </c>
      <c r="B1124" s="4">
        <f>ROUND(Table13_1[[#This Row],[bmi]],1)</f>
        <v>36.9</v>
      </c>
      <c r="C1124" s="4" t="str" cm="1">
        <f t="array" ref="C1124">_xlfn.IFS(Table13_1[[#This Row],[Round BMI]]&lt;18.5,"Underweight",AND(Table13_1[[#This Row],[Round BMI]]&gt;=18.5,Table13_1[[#This Row],[Round BMI]] &lt;=24.9),"Healthy Weight",AND(Table13_1[[#This Row],[Round BMI]]&gt;=25,Table13_1[[#This Row],[Round BMI]]&lt;=29.9),"Overweight",Table13_1[[#This Row],[Round BMI]]&gt;=30,"Obese")</f>
        <v>Obese</v>
      </c>
      <c r="D1124" s="4" t="s">
        <v>8</v>
      </c>
      <c r="E1124" s="4" t="str">
        <f>IF(Table13_1[[#This Row],[smoker]]="yes","smoker","non-smoker")</f>
        <v>smoker</v>
      </c>
      <c r="F1124" s="4" t="s">
        <v>13</v>
      </c>
      <c r="G1124" s="5">
        <v>53</v>
      </c>
      <c r="H1124" s="5">
        <f>IF(Table13_1[[#This Row],[smoker]]="yes",1,0)</f>
        <v>1</v>
      </c>
      <c r="I1124" s="4">
        <v>36.86</v>
      </c>
      <c r="J1124" s="4">
        <v>3</v>
      </c>
      <c r="K1124" s="12">
        <v>46661.4424</v>
      </c>
      <c r="N1124">
        <v>969</v>
      </c>
      <c r="O1124">
        <v>2545.139272985386</v>
      </c>
      <c r="P1124">
        <v>734.72932701461377</v>
      </c>
    </row>
    <row r="1125" spans="1:16" x14ac:dyDescent="0.25">
      <c r="A1125" s="4" t="s">
        <v>7</v>
      </c>
      <c r="B1125" s="4">
        <f>ROUND(Table13_1[[#This Row],[bmi]],1)</f>
        <v>32.4</v>
      </c>
      <c r="C1125" s="4" t="str" cm="1">
        <f t="array" ref="C1125">_xlfn.IFS(Table13_1[[#This Row],[Round BMI]]&lt;18.5,"Underweight",AND(Table13_1[[#This Row],[Round BMI]]&gt;=18.5,Table13_1[[#This Row],[Round BMI]] &lt;=24.9),"Healthy Weight",AND(Table13_1[[#This Row],[Round BMI]]&gt;=25,Table13_1[[#This Row],[Round BMI]]&lt;=29.9),"Overweight",Table13_1[[#This Row],[Round BMI]]&gt;=30,"Obese")</f>
        <v>Obese</v>
      </c>
      <c r="D1125" s="4" t="s">
        <v>11</v>
      </c>
      <c r="E1125" s="4" t="str">
        <f>IF(Table13_1[[#This Row],[smoker]]="yes","smoker","non-smoker")</f>
        <v>non-smoker</v>
      </c>
      <c r="F1125" s="4" t="s">
        <v>14</v>
      </c>
      <c r="G1125" s="5">
        <v>27</v>
      </c>
      <c r="H1125" s="5">
        <f>IF(Table13_1[[#This Row],[smoker]]="yes",1,0)</f>
        <v>0</v>
      </c>
      <c r="I1125" s="4">
        <v>32.395000000000003</v>
      </c>
      <c r="J1125" s="4">
        <v>1</v>
      </c>
      <c r="K1125" s="12">
        <v>18903.491399999999</v>
      </c>
      <c r="N1125">
        <v>970</v>
      </c>
      <c r="O1125">
        <v>11366.81313093266</v>
      </c>
      <c r="P1125">
        <v>-2769.9853309326609</v>
      </c>
    </row>
    <row r="1126" spans="1:16" x14ac:dyDescent="0.25">
      <c r="A1126" s="4" t="s">
        <v>7</v>
      </c>
      <c r="B1126" s="4">
        <f>ROUND(Table13_1[[#This Row],[bmi]],1)</f>
        <v>42.8</v>
      </c>
      <c r="C1126" s="4" t="str" cm="1">
        <f t="array" ref="C1126">_xlfn.IFS(Table13_1[[#This Row],[Round BMI]]&lt;18.5,"Underweight",AND(Table13_1[[#This Row],[Round BMI]]&gt;=18.5,Table13_1[[#This Row],[Round BMI]] &lt;=24.9),"Healthy Weight",AND(Table13_1[[#This Row],[Round BMI]]&gt;=25,Table13_1[[#This Row],[Round BMI]]&lt;=29.9),"Overweight",Table13_1[[#This Row],[Round BMI]]&gt;=30,"Obese")</f>
        <v>Obese</v>
      </c>
      <c r="D1126" s="4" t="s">
        <v>8</v>
      </c>
      <c r="E1126" s="4" t="str">
        <f>IF(Table13_1[[#This Row],[smoker]]="yes","smoker","non-smoker")</f>
        <v>smoker</v>
      </c>
      <c r="F1126" s="4" t="s">
        <v>14</v>
      </c>
      <c r="G1126" s="5">
        <v>23</v>
      </c>
      <c r="H1126" s="5">
        <f>IF(Table13_1[[#This Row],[smoker]]="yes",1,0)</f>
        <v>1</v>
      </c>
      <c r="I1126" s="4">
        <v>42.75</v>
      </c>
      <c r="J1126" s="4">
        <v>1</v>
      </c>
      <c r="K1126" s="12">
        <v>40904.199500000002</v>
      </c>
      <c r="N1126">
        <v>971</v>
      </c>
      <c r="O1126">
        <v>11273.548438973059</v>
      </c>
      <c r="P1126">
        <v>-570.90603897305846</v>
      </c>
    </row>
    <row r="1127" spans="1:16" x14ac:dyDescent="0.25">
      <c r="A1127" s="4" t="s">
        <v>7</v>
      </c>
      <c r="B1127" s="4">
        <f>ROUND(Table13_1[[#This Row],[bmi]],1)</f>
        <v>25.1</v>
      </c>
      <c r="C1127" s="4" t="str" cm="1">
        <f t="array" ref="C1127">_xlfn.IFS(Table13_1[[#This Row],[Round BMI]]&lt;18.5,"Underweight",AND(Table13_1[[#This Row],[Round BMI]]&gt;=18.5,Table13_1[[#This Row],[Round BMI]] &lt;=24.9),"Healthy Weight",AND(Table13_1[[#This Row],[Round BMI]]&gt;=25,Table13_1[[#This Row],[Round BMI]]&lt;=29.9),"Overweight",Table13_1[[#This Row],[Round BMI]]&gt;=30,"Obese")</f>
        <v>Overweight</v>
      </c>
      <c r="D1127" s="4" t="s">
        <v>11</v>
      </c>
      <c r="E1127" s="4" t="str">
        <f>IF(Table13_1[[#This Row],[smoker]]="yes","smoker","non-smoker")</f>
        <v>non-smoker</v>
      </c>
      <c r="F1127" s="4" t="s">
        <v>13</v>
      </c>
      <c r="G1127" s="5">
        <v>63</v>
      </c>
      <c r="H1127" s="5">
        <f>IF(Table13_1[[#This Row],[smoker]]="yes",1,0)</f>
        <v>0</v>
      </c>
      <c r="I1127" s="4">
        <v>25.08</v>
      </c>
      <c r="J1127" s="4">
        <v>0</v>
      </c>
      <c r="K1127" s="12">
        <v>14254.608200000001</v>
      </c>
      <c r="N1127">
        <v>972</v>
      </c>
      <c r="O1127">
        <v>4246.9329219803158</v>
      </c>
      <c r="P1127">
        <v>745.44347801968433</v>
      </c>
    </row>
    <row r="1128" spans="1:16" x14ac:dyDescent="0.25">
      <c r="A1128" s="4" t="s">
        <v>10</v>
      </c>
      <c r="B1128" s="4">
        <f>ROUND(Table13_1[[#This Row],[bmi]],1)</f>
        <v>29.9</v>
      </c>
      <c r="C1128" s="4" t="str" cm="1">
        <f t="array" ref="C1128">_xlfn.IFS(Table13_1[[#This Row],[Round BMI]]&lt;18.5,"Underweight",AND(Table13_1[[#This Row],[Round BMI]]&gt;=18.5,Table13_1[[#This Row],[Round BMI]] &lt;=24.9),"Healthy Weight",AND(Table13_1[[#This Row],[Round BMI]]&gt;=25,Table13_1[[#This Row],[Round BMI]]&lt;=29.9),"Overweight",Table13_1[[#This Row],[Round BMI]]&gt;=30,"Obese")</f>
        <v>Overweight</v>
      </c>
      <c r="D1128" s="4" t="s">
        <v>11</v>
      </c>
      <c r="E1128" s="4" t="str">
        <f>IF(Table13_1[[#This Row],[smoker]]="yes","smoker","non-smoker")</f>
        <v>non-smoker</v>
      </c>
      <c r="F1128" s="4" t="s">
        <v>9</v>
      </c>
      <c r="G1128" s="5">
        <v>55</v>
      </c>
      <c r="H1128" s="5">
        <f>IF(Table13_1[[#This Row],[smoker]]="yes",1,0)</f>
        <v>0</v>
      </c>
      <c r="I1128" s="4">
        <v>29.9</v>
      </c>
      <c r="J1128" s="4">
        <v>0</v>
      </c>
      <c r="K1128" s="12">
        <v>10214.636</v>
      </c>
      <c r="N1128">
        <v>973</v>
      </c>
      <c r="O1128">
        <v>82.582919569013029</v>
      </c>
      <c r="P1128">
        <v>2445.235680430987</v>
      </c>
    </row>
    <row r="1129" spans="1:16" x14ac:dyDescent="0.25">
      <c r="A1129" s="4" t="s">
        <v>7</v>
      </c>
      <c r="B1129" s="4">
        <f>ROUND(Table13_1[[#This Row],[bmi]],1)</f>
        <v>35.9</v>
      </c>
      <c r="C1129" s="4" t="str" cm="1">
        <f t="array" ref="C1129">_xlfn.IFS(Table13_1[[#This Row],[Round BMI]]&lt;18.5,"Underweight",AND(Table13_1[[#This Row],[Round BMI]]&gt;=18.5,Table13_1[[#This Row],[Round BMI]] &lt;=24.9),"Healthy Weight",AND(Table13_1[[#This Row],[Round BMI]]&gt;=25,Table13_1[[#This Row],[Round BMI]]&lt;=29.9),"Overweight",Table13_1[[#This Row],[Round BMI]]&gt;=30,"Obese")</f>
        <v>Obese</v>
      </c>
      <c r="D1129" s="4" t="s">
        <v>11</v>
      </c>
      <c r="E1129" s="4" t="str">
        <f>IF(Table13_1[[#This Row],[smoker]]="yes","smoker","non-smoker")</f>
        <v>non-smoker</v>
      </c>
      <c r="F1129" s="4" t="s">
        <v>12</v>
      </c>
      <c r="G1129" s="5">
        <v>35</v>
      </c>
      <c r="H1129" s="5">
        <f>IF(Table13_1[[#This Row],[smoker]]="yes",1,0)</f>
        <v>0</v>
      </c>
      <c r="I1129" s="4">
        <v>35.86</v>
      </c>
      <c r="J1129" s="4">
        <v>2</v>
      </c>
      <c r="K1129" s="12">
        <v>5836.5204000000003</v>
      </c>
      <c r="N1129">
        <v>974</v>
      </c>
      <c r="O1129">
        <v>5831.3530761551165</v>
      </c>
      <c r="P1129">
        <v>-4072.0150761551167</v>
      </c>
    </row>
    <row r="1130" spans="1:16" x14ac:dyDescent="0.25">
      <c r="A1130" s="4" t="s">
        <v>10</v>
      </c>
      <c r="B1130" s="4">
        <f>ROUND(Table13_1[[#This Row],[bmi]],1)</f>
        <v>32.799999999999997</v>
      </c>
      <c r="C1130" s="4" t="str" cm="1">
        <f t="array" ref="C1130">_xlfn.IFS(Table13_1[[#This Row],[Round BMI]]&lt;18.5,"Underweight",AND(Table13_1[[#This Row],[Round BMI]]&gt;=18.5,Table13_1[[#This Row],[Round BMI]] &lt;=24.9),"Healthy Weight",AND(Table13_1[[#This Row],[Round BMI]]&gt;=25,Table13_1[[#This Row],[Round BMI]]&lt;=29.9),"Overweight",Table13_1[[#This Row],[Round BMI]]&gt;=30,"Obese")</f>
        <v>Obese</v>
      </c>
      <c r="D1130" s="4" t="s">
        <v>11</v>
      </c>
      <c r="E1130" s="4" t="str">
        <f>IF(Table13_1[[#This Row],[smoker]]="yes","smoker","non-smoker")</f>
        <v>non-smoker</v>
      </c>
      <c r="F1130" s="4" t="s">
        <v>9</v>
      </c>
      <c r="G1130" s="5">
        <v>34</v>
      </c>
      <c r="H1130" s="5">
        <f>IF(Table13_1[[#This Row],[smoker]]="yes",1,0)</f>
        <v>0</v>
      </c>
      <c r="I1130" s="4">
        <v>32.799999999999997</v>
      </c>
      <c r="J1130" s="4">
        <v>1</v>
      </c>
      <c r="K1130" s="12">
        <v>14358.3644</v>
      </c>
      <c r="N1130">
        <v>975</v>
      </c>
      <c r="O1130">
        <v>6001.2945010342501</v>
      </c>
      <c r="P1130">
        <v>-3678.6727010342502</v>
      </c>
    </row>
    <row r="1131" spans="1:16" x14ac:dyDescent="0.25">
      <c r="A1131" s="4" t="s">
        <v>7</v>
      </c>
      <c r="B1131" s="4">
        <f>ROUND(Table13_1[[#This Row],[bmi]],1)</f>
        <v>18.600000000000001</v>
      </c>
      <c r="C1131" s="4" t="str" cm="1">
        <f t="array" ref="C1131">_xlfn.IFS(Table13_1[[#This Row],[Round BMI]]&lt;18.5,"Underweight",AND(Table13_1[[#This Row],[Round BMI]]&gt;=18.5,Table13_1[[#This Row],[Round BMI]] &lt;=24.9),"Healthy Weight",AND(Table13_1[[#This Row],[Round BMI]]&gt;=25,Table13_1[[#This Row],[Round BMI]]&lt;=29.9),"Overweight",Table13_1[[#This Row],[Round BMI]]&gt;=30,"Obese")</f>
        <v>Healthy Weight</v>
      </c>
      <c r="D1131" s="4" t="s">
        <v>11</v>
      </c>
      <c r="E1131" s="4" t="str">
        <f>IF(Table13_1[[#This Row],[smoker]]="yes","smoker","non-smoker")</f>
        <v>non-smoker</v>
      </c>
      <c r="F1131" s="4" t="s">
        <v>9</v>
      </c>
      <c r="G1131" s="5">
        <v>19</v>
      </c>
      <c r="H1131" s="5">
        <f>IF(Table13_1[[#This Row],[smoker]]="yes",1,0)</f>
        <v>0</v>
      </c>
      <c r="I1131" s="4">
        <v>18.600000000000001</v>
      </c>
      <c r="J1131" s="4">
        <v>0</v>
      </c>
      <c r="K1131" s="12">
        <v>1728.8969999999999</v>
      </c>
      <c r="N1131">
        <v>976</v>
      </c>
      <c r="O1131">
        <v>26555.054048454655</v>
      </c>
      <c r="P1131">
        <v>-10416.292048454654</v>
      </c>
    </row>
    <row r="1132" spans="1:16" x14ac:dyDescent="0.25">
      <c r="A1132" s="4" t="s">
        <v>7</v>
      </c>
      <c r="B1132" s="4">
        <f>ROUND(Table13_1[[#This Row],[bmi]],1)</f>
        <v>23.9</v>
      </c>
      <c r="C1132" s="4" t="str" cm="1">
        <f t="array" ref="C1132">_xlfn.IFS(Table13_1[[#This Row],[Round BMI]]&lt;18.5,"Underweight",AND(Table13_1[[#This Row],[Round BMI]]&gt;=18.5,Table13_1[[#This Row],[Round BMI]] &lt;=24.9),"Healthy Weight",AND(Table13_1[[#This Row],[Round BMI]]&gt;=25,Table13_1[[#This Row],[Round BMI]]&lt;=29.9),"Overweight",Table13_1[[#This Row],[Round BMI]]&gt;=30,"Obese")</f>
        <v>Healthy Weight</v>
      </c>
      <c r="D1132" s="4" t="s">
        <v>11</v>
      </c>
      <c r="E1132" s="4" t="str">
        <f>IF(Table13_1[[#This Row],[smoker]]="yes","smoker","non-smoker")</f>
        <v>non-smoker</v>
      </c>
      <c r="F1132" s="4" t="s">
        <v>12</v>
      </c>
      <c r="G1132" s="5">
        <v>39</v>
      </c>
      <c r="H1132" s="5">
        <f>IF(Table13_1[[#This Row],[smoker]]="yes",1,0)</f>
        <v>0</v>
      </c>
      <c r="I1132" s="4">
        <v>23.87</v>
      </c>
      <c r="J1132" s="4">
        <v>5</v>
      </c>
      <c r="K1132" s="12">
        <v>8582.3022999999994</v>
      </c>
      <c r="N1132">
        <v>977</v>
      </c>
      <c r="O1132">
        <v>13196.340797741015</v>
      </c>
      <c r="P1132">
        <v>-5392.1802977410152</v>
      </c>
    </row>
    <row r="1133" spans="1:16" x14ac:dyDescent="0.25">
      <c r="A1133" s="4" t="s">
        <v>10</v>
      </c>
      <c r="B1133" s="4">
        <f>ROUND(Table13_1[[#This Row],[bmi]],1)</f>
        <v>45.9</v>
      </c>
      <c r="C1133" s="4" t="str" cm="1">
        <f t="array" ref="C1133">_xlfn.IFS(Table13_1[[#This Row],[Round BMI]]&lt;18.5,"Underweight",AND(Table13_1[[#This Row],[Round BMI]]&gt;=18.5,Table13_1[[#This Row],[Round BMI]] &lt;=24.9),"Healthy Weight",AND(Table13_1[[#This Row],[Round BMI]]&gt;=25,Table13_1[[#This Row],[Round BMI]]&lt;=29.9),"Overweight",Table13_1[[#This Row],[Round BMI]]&gt;=30,"Obese")</f>
        <v>Obese</v>
      </c>
      <c r="D1133" s="4" t="s">
        <v>11</v>
      </c>
      <c r="E1133" s="4" t="str">
        <f>IF(Table13_1[[#This Row],[smoker]]="yes","smoker","non-smoker")</f>
        <v>non-smoker</v>
      </c>
      <c r="F1133" s="4" t="s">
        <v>9</v>
      </c>
      <c r="G1133" s="5">
        <v>27</v>
      </c>
      <c r="H1133" s="5">
        <f>IF(Table13_1[[#This Row],[smoker]]="yes",1,0)</f>
        <v>0</v>
      </c>
      <c r="I1133" s="4">
        <v>45.9</v>
      </c>
      <c r="J1133" s="4">
        <v>2</v>
      </c>
      <c r="K1133" s="12">
        <v>3693.4279999999999</v>
      </c>
      <c r="N1133">
        <v>978</v>
      </c>
      <c r="O1133">
        <v>4456.78852076567</v>
      </c>
      <c r="P1133">
        <v>-1553.8820207656699</v>
      </c>
    </row>
    <row r="1134" spans="1:16" x14ac:dyDescent="0.25">
      <c r="A1134" s="4" t="s">
        <v>10</v>
      </c>
      <c r="B1134" s="4">
        <f>ROUND(Table13_1[[#This Row],[bmi]],1)</f>
        <v>40.299999999999997</v>
      </c>
      <c r="C1134" s="4" t="str" cm="1">
        <f t="array" ref="C1134">_xlfn.IFS(Table13_1[[#This Row],[Round BMI]]&lt;18.5,"Underweight",AND(Table13_1[[#This Row],[Round BMI]]&gt;=18.5,Table13_1[[#This Row],[Round BMI]] &lt;=24.9),"Healthy Weight",AND(Table13_1[[#This Row],[Round BMI]]&gt;=25,Table13_1[[#This Row],[Round BMI]]&lt;=29.9),"Overweight",Table13_1[[#This Row],[Round BMI]]&gt;=30,"Obese")</f>
        <v>Obese</v>
      </c>
      <c r="D1134" s="4" t="s">
        <v>11</v>
      </c>
      <c r="E1134" s="4" t="str">
        <f>IF(Table13_1[[#This Row],[smoker]]="yes","smoker","non-smoker")</f>
        <v>non-smoker</v>
      </c>
      <c r="F1134" s="4" t="s">
        <v>14</v>
      </c>
      <c r="G1134" s="5">
        <v>57</v>
      </c>
      <c r="H1134" s="5">
        <f>IF(Table13_1[[#This Row],[smoker]]="yes",1,0)</f>
        <v>0</v>
      </c>
      <c r="I1134" s="4">
        <v>40.28</v>
      </c>
      <c r="J1134" s="4">
        <v>0</v>
      </c>
      <c r="K1134" s="12">
        <v>20709.0203</v>
      </c>
      <c r="N1134">
        <v>979</v>
      </c>
      <c r="O1134">
        <v>13793.412254947028</v>
      </c>
      <c r="P1134">
        <v>-4088.7442549470288</v>
      </c>
    </row>
    <row r="1135" spans="1:16" x14ac:dyDescent="0.25">
      <c r="A1135" s="4" t="s">
        <v>7</v>
      </c>
      <c r="B1135" s="4">
        <f>ROUND(Table13_1[[#This Row],[bmi]],1)</f>
        <v>18.3</v>
      </c>
      <c r="C1135" s="4" t="str" cm="1">
        <f t="array" ref="C1135">_xlfn.IFS(Table13_1[[#This Row],[Round BMI]]&lt;18.5,"Underweight",AND(Table13_1[[#This Row],[Round BMI]]&gt;=18.5,Table13_1[[#This Row],[Round BMI]] &lt;=24.9),"Healthy Weight",AND(Table13_1[[#This Row],[Round BMI]]&gt;=25,Table13_1[[#This Row],[Round BMI]]&lt;=29.9),"Overweight",Table13_1[[#This Row],[Round BMI]]&gt;=30,"Obese")</f>
        <v>Underweight</v>
      </c>
      <c r="D1135" s="4" t="s">
        <v>11</v>
      </c>
      <c r="E1135" s="4" t="str">
        <f>IF(Table13_1[[#This Row],[smoker]]="yes","smoker","non-smoker")</f>
        <v>non-smoker</v>
      </c>
      <c r="F1135" s="4" t="s">
        <v>13</v>
      </c>
      <c r="G1135" s="5">
        <v>52</v>
      </c>
      <c r="H1135" s="5">
        <f>IF(Table13_1[[#This Row],[smoker]]="yes",1,0)</f>
        <v>0</v>
      </c>
      <c r="I1135" s="4">
        <v>18.335000000000001</v>
      </c>
      <c r="J1135" s="4">
        <v>0</v>
      </c>
      <c r="K1135" s="12">
        <v>9991.0375999999997</v>
      </c>
      <c r="N1135">
        <v>980</v>
      </c>
      <c r="O1135">
        <v>6809.6068587111404</v>
      </c>
      <c r="P1135">
        <v>-1920.5700587111405</v>
      </c>
    </row>
    <row r="1136" spans="1:16" x14ac:dyDescent="0.25">
      <c r="A1136" s="4" t="s">
        <v>10</v>
      </c>
      <c r="B1136" s="4">
        <f>ROUND(Table13_1[[#This Row],[bmi]],1)</f>
        <v>33.799999999999997</v>
      </c>
      <c r="C1136" s="4" t="str" cm="1">
        <f t="array" ref="C1136">_xlfn.IFS(Table13_1[[#This Row],[Round BMI]]&lt;18.5,"Underweight",AND(Table13_1[[#This Row],[Round BMI]]&gt;=18.5,Table13_1[[#This Row],[Round BMI]] &lt;=24.9),"Healthy Weight",AND(Table13_1[[#This Row],[Round BMI]]&gt;=25,Table13_1[[#This Row],[Round BMI]]&lt;=29.9),"Overweight",Table13_1[[#This Row],[Round BMI]]&gt;=30,"Obese")</f>
        <v>Obese</v>
      </c>
      <c r="D1136" s="4" t="s">
        <v>11</v>
      </c>
      <c r="E1136" s="4" t="str">
        <f>IF(Table13_1[[#This Row],[smoker]]="yes","smoker","non-smoker")</f>
        <v>non-smoker</v>
      </c>
      <c r="F1136" s="4" t="s">
        <v>13</v>
      </c>
      <c r="G1136" s="5">
        <v>28</v>
      </c>
      <c r="H1136" s="5">
        <f>IF(Table13_1[[#This Row],[smoker]]="yes",1,0)</f>
        <v>0</v>
      </c>
      <c r="I1136" s="4">
        <v>33.82</v>
      </c>
      <c r="J1136" s="4">
        <v>0</v>
      </c>
      <c r="K1136" s="12">
        <v>19673.3357</v>
      </c>
      <c r="N1136">
        <v>981</v>
      </c>
      <c r="O1136">
        <v>10488.943049531563</v>
      </c>
      <c r="P1136">
        <v>15028.170550468438</v>
      </c>
    </row>
    <row r="1137" spans="1:16" x14ac:dyDescent="0.25">
      <c r="A1137" s="4" t="s">
        <v>7</v>
      </c>
      <c r="B1137" s="4">
        <f>ROUND(Table13_1[[#This Row],[bmi]],1)</f>
        <v>28.1</v>
      </c>
      <c r="C1137" s="4" t="str" cm="1">
        <f t="array" ref="C1137">_xlfn.IFS(Table13_1[[#This Row],[Round BMI]]&lt;18.5,"Underweight",AND(Table13_1[[#This Row],[Round BMI]]&gt;=18.5,Table13_1[[#This Row],[Round BMI]] &lt;=24.9),"Healthy Weight",AND(Table13_1[[#This Row],[Round BMI]]&gt;=25,Table13_1[[#This Row],[Round BMI]]&lt;=29.9),"Overweight",Table13_1[[#This Row],[Round BMI]]&gt;=30,"Obese")</f>
        <v>Overweight</v>
      </c>
      <c r="D1137" s="4" t="s">
        <v>11</v>
      </c>
      <c r="E1137" s="4" t="str">
        <f>IF(Table13_1[[#This Row],[smoker]]="yes","smoker","non-smoker")</f>
        <v>non-smoker</v>
      </c>
      <c r="F1137" s="4" t="s">
        <v>13</v>
      </c>
      <c r="G1137" s="5">
        <v>50</v>
      </c>
      <c r="H1137" s="5">
        <f>IF(Table13_1[[#This Row],[smoker]]="yes",1,0)</f>
        <v>0</v>
      </c>
      <c r="I1137" s="4">
        <v>28.12</v>
      </c>
      <c r="J1137" s="4">
        <v>3</v>
      </c>
      <c r="K1137" s="12">
        <v>11085.586799999999</v>
      </c>
      <c r="N1137">
        <v>982</v>
      </c>
      <c r="O1137">
        <v>3543.687606772266</v>
      </c>
      <c r="P1137">
        <v>956.65159322773434</v>
      </c>
    </row>
    <row r="1138" spans="1:16" x14ac:dyDescent="0.25">
      <c r="A1138" s="4" t="s">
        <v>7</v>
      </c>
      <c r="B1138" s="4">
        <f>ROUND(Table13_1[[#This Row],[bmi]],1)</f>
        <v>25</v>
      </c>
      <c r="C1138" s="4" t="str" cm="1">
        <f t="array" ref="C1138">_xlfn.IFS(Table13_1[[#This Row],[Round BMI]]&lt;18.5,"Underweight",AND(Table13_1[[#This Row],[Round BMI]]&gt;=18.5,Table13_1[[#This Row],[Round BMI]] &lt;=24.9),"Healthy Weight",AND(Table13_1[[#This Row],[Round BMI]]&gt;=25,Table13_1[[#This Row],[Round BMI]]&lt;=29.9),"Overweight",Table13_1[[#This Row],[Round BMI]]&gt;=30,"Obese")</f>
        <v>Overweight</v>
      </c>
      <c r="D1138" s="4" t="s">
        <v>11</v>
      </c>
      <c r="E1138" s="4" t="str">
        <f>IF(Table13_1[[#This Row],[smoker]]="yes","smoker","non-smoker")</f>
        <v>non-smoker</v>
      </c>
      <c r="F1138" s="4" t="s">
        <v>9</v>
      </c>
      <c r="G1138" s="5">
        <v>44</v>
      </c>
      <c r="H1138" s="5">
        <f>IF(Table13_1[[#This Row],[smoker]]="yes",1,0)</f>
        <v>0</v>
      </c>
      <c r="I1138" s="4">
        <v>25</v>
      </c>
      <c r="J1138" s="4">
        <v>1</v>
      </c>
      <c r="K1138" s="12">
        <v>7623.518</v>
      </c>
      <c r="N1138">
        <v>983</v>
      </c>
      <c r="O1138">
        <v>29458.423475290678</v>
      </c>
      <c r="P1138">
        <v>-10258.479475290678</v>
      </c>
    </row>
    <row r="1139" spans="1:16" x14ac:dyDescent="0.25">
      <c r="A1139" s="4" t="s">
        <v>7</v>
      </c>
      <c r="B1139" s="4">
        <f>ROUND(Table13_1[[#This Row],[bmi]],1)</f>
        <v>22.2</v>
      </c>
      <c r="C1139" s="4" t="str" cm="1">
        <f t="array" ref="C1139">_xlfn.IFS(Table13_1[[#This Row],[Round BMI]]&lt;18.5,"Underweight",AND(Table13_1[[#This Row],[Round BMI]]&gt;=18.5,Table13_1[[#This Row],[Round BMI]] &lt;=24.9),"Healthy Weight",AND(Table13_1[[#This Row],[Round BMI]]&gt;=25,Table13_1[[#This Row],[Round BMI]]&lt;=29.9),"Overweight",Table13_1[[#This Row],[Round BMI]]&gt;=30,"Obese")</f>
        <v>Healthy Weight</v>
      </c>
      <c r="D1139" s="4" t="s">
        <v>11</v>
      </c>
      <c r="E1139" s="4" t="str">
        <f>IF(Table13_1[[#This Row],[smoker]]="yes","smoker","non-smoker")</f>
        <v>non-smoker</v>
      </c>
      <c r="F1139" s="4" t="s">
        <v>13</v>
      </c>
      <c r="G1139" s="5">
        <v>26</v>
      </c>
      <c r="H1139" s="5">
        <f>IF(Table13_1[[#This Row],[smoker]]="yes",1,0)</f>
        <v>0</v>
      </c>
      <c r="I1139" s="4">
        <v>22.23</v>
      </c>
      <c r="J1139" s="4">
        <v>0</v>
      </c>
      <c r="K1139" s="12">
        <v>3176.2876999999999</v>
      </c>
      <c r="N1139">
        <v>984</v>
      </c>
      <c r="O1139">
        <v>5178.1040481873715</v>
      </c>
      <c r="P1139">
        <v>11618.307851812628</v>
      </c>
    </row>
    <row r="1140" spans="1:16" x14ac:dyDescent="0.25">
      <c r="A1140" s="4" t="s">
        <v>10</v>
      </c>
      <c r="B1140" s="4">
        <f>ROUND(Table13_1[[#This Row],[bmi]],1)</f>
        <v>30.3</v>
      </c>
      <c r="C1140" s="4" t="str" cm="1">
        <f t="array" ref="C1140">_xlfn.IFS(Table13_1[[#This Row],[Round BMI]]&lt;18.5,"Underweight",AND(Table13_1[[#This Row],[Round BMI]]&gt;=18.5,Table13_1[[#This Row],[Round BMI]] &lt;=24.9),"Healthy Weight",AND(Table13_1[[#This Row],[Round BMI]]&gt;=25,Table13_1[[#This Row],[Round BMI]]&lt;=29.9),"Overweight",Table13_1[[#This Row],[Round BMI]]&gt;=30,"Obese")</f>
        <v>Obese</v>
      </c>
      <c r="D1140" s="4" t="s">
        <v>11</v>
      </c>
      <c r="E1140" s="4" t="str">
        <f>IF(Table13_1[[#This Row],[smoker]]="yes","smoker","non-smoker")</f>
        <v>non-smoker</v>
      </c>
      <c r="F1140" s="4" t="s">
        <v>12</v>
      </c>
      <c r="G1140" s="5">
        <v>33</v>
      </c>
      <c r="H1140" s="5">
        <f>IF(Table13_1[[#This Row],[smoker]]="yes",1,0)</f>
        <v>0</v>
      </c>
      <c r="I1140" s="4">
        <v>30.25</v>
      </c>
      <c r="J1140" s="4">
        <v>0</v>
      </c>
      <c r="K1140" s="12">
        <v>3704.3544999999999</v>
      </c>
      <c r="N1140">
        <v>985</v>
      </c>
      <c r="O1140">
        <v>5114.287342708597</v>
      </c>
      <c r="P1140">
        <v>-199.22754270859696</v>
      </c>
    </row>
    <row r="1141" spans="1:16" x14ac:dyDescent="0.25">
      <c r="A1141" s="4" t="s">
        <v>7</v>
      </c>
      <c r="B1141" s="4">
        <f>ROUND(Table13_1[[#This Row],[bmi]],1)</f>
        <v>32.5</v>
      </c>
      <c r="C1141" s="4" t="str" cm="1">
        <f t="array" ref="C1141">_xlfn.IFS(Table13_1[[#This Row],[Round BMI]]&lt;18.5,"Underweight",AND(Table13_1[[#This Row],[Round BMI]]&gt;=18.5,Table13_1[[#This Row],[Round BMI]] &lt;=24.9),"Healthy Weight",AND(Table13_1[[#This Row],[Round BMI]]&gt;=25,Table13_1[[#This Row],[Round BMI]]&lt;=29.9),"Overweight",Table13_1[[#This Row],[Round BMI]]&gt;=30,"Obese")</f>
        <v>Obese</v>
      </c>
      <c r="D1141" s="4" t="s">
        <v>8</v>
      </c>
      <c r="E1141" s="4" t="str">
        <f>IF(Table13_1[[#This Row],[smoker]]="yes","smoker","non-smoker")</f>
        <v>smoker</v>
      </c>
      <c r="F1141" s="4" t="s">
        <v>13</v>
      </c>
      <c r="G1141" s="5">
        <v>19</v>
      </c>
      <c r="H1141" s="5">
        <f>IF(Table13_1[[#This Row],[smoker]]="yes",1,0)</f>
        <v>1</v>
      </c>
      <c r="I1141" s="4">
        <v>32.49</v>
      </c>
      <c r="J1141" s="4">
        <v>0</v>
      </c>
      <c r="K1141" s="12">
        <v>36898.733099999998</v>
      </c>
      <c r="N1141">
        <v>986</v>
      </c>
      <c r="O1141">
        <v>8019.8774531940153</v>
      </c>
      <c r="P1141">
        <v>-395.24745319401518</v>
      </c>
    </row>
    <row r="1142" spans="1:16" x14ac:dyDescent="0.25">
      <c r="A1142" s="4" t="s">
        <v>10</v>
      </c>
      <c r="B1142" s="4">
        <f>ROUND(Table13_1[[#This Row],[bmi]],1)</f>
        <v>37.1</v>
      </c>
      <c r="C1142" s="4" t="str" cm="1">
        <f t="array" ref="C1142">_xlfn.IFS(Table13_1[[#This Row],[Round BMI]]&lt;18.5,"Underweight",AND(Table13_1[[#This Row],[Round BMI]]&gt;=18.5,Table13_1[[#This Row],[Round BMI]] &lt;=24.9),"Healthy Weight",AND(Table13_1[[#This Row],[Round BMI]]&gt;=25,Table13_1[[#This Row],[Round BMI]]&lt;=29.9),"Overweight",Table13_1[[#This Row],[Round BMI]]&gt;=30,"Obese")</f>
        <v>Obese</v>
      </c>
      <c r="D1142" s="4" t="s">
        <v>11</v>
      </c>
      <c r="E1142" s="4" t="str">
        <f>IF(Table13_1[[#This Row],[smoker]]="yes","smoker","non-smoker")</f>
        <v>non-smoker</v>
      </c>
      <c r="F1142" s="4" t="s">
        <v>12</v>
      </c>
      <c r="G1142" s="5">
        <v>50</v>
      </c>
      <c r="H1142" s="5">
        <f>IF(Table13_1[[#This Row],[smoker]]="yes",1,0)</f>
        <v>0</v>
      </c>
      <c r="I1142" s="4">
        <v>37.07</v>
      </c>
      <c r="J1142" s="4">
        <v>1</v>
      </c>
      <c r="K1142" s="12">
        <v>9048.0272999999997</v>
      </c>
      <c r="N1142">
        <v>987</v>
      </c>
      <c r="O1142">
        <v>10097.821380215137</v>
      </c>
      <c r="P1142">
        <v>-1687.7745802151367</v>
      </c>
    </row>
    <row r="1143" spans="1:16" x14ac:dyDescent="0.25">
      <c r="A1143" s="4" t="s">
        <v>7</v>
      </c>
      <c r="B1143" s="4">
        <f>ROUND(Table13_1[[#This Row],[bmi]],1)</f>
        <v>32.6</v>
      </c>
      <c r="C1143" s="4" t="str" cm="1">
        <f t="array" ref="C1143">_xlfn.IFS(Table13_1[[#This Row],[Round BMI]]&lt;18.5,"Underweight",AND(Table13_1[[#This Row],[Round BMI]]&gt;=18.5,Table13_1[[#This Row],[Round BMI]] &lt;=24.9),"Healthy Weight",AND(Table13_1[[#This Row],[Round BMI]]&gt;=25,Table13_1[[#This Row],[Round BMI]]&lt;=29.9),"Overweight",Table13_1[[#This Row],[Round BMI]]&gt;=30,"Obese")</f>
        <v>Obese</v>
      </c>
      <c r="D1143" s="4" t="s">
        <v>11</v>
      </c>
      <c r="E1143" s="4" t="str">
        <f>IF(Table13_1[[#This Row],[smoker]]="yes","smoker","non-smoker")</f>
        <v>non-smoker</v>
      </c>
      <c r="F1143" s="4" t="s">
        <v>9</v>
      </c>
      <c r="G1143" s="5">
        <v>41</v>
      </c>
      <c r="H1143" s="5">
        <f>IF(Table13_1[[#This Row],[smoker]]="yes",1,0)</f>
        <v>0</v>
      </c>
      <c r="I1143" s="4">
        <v>32.6</v>
      </c>
      <c r="J1143" s="4">
        <v>3</v>
      </c>
      <c r="K1143" s="12">
        <v>7954.5169999999998</v>
      </c>
      <c r="N1143">
        <v>988</v>
      </c>
      <c r="O1143">
        <v>8871.5427987664098</v>
      </c>
      <c r="P1143">
        <v>19468.646001233588</v>
      </c>
    </row>
    <row r="1144" spans="1:16" x14ac:dyDescent="0.25">
      <c r="A1144" s="4" t="s">
        <v>7</v>
      </c>
      <c r="B1144" s="4">
        <f>ROUND(Table13_1[[#This Row],[bmi]],1)</f>
        <v>24.9</v>
      </c>
      <c r="C1144" s="4" t="str" cm="1">
        <f t="array" ref="C1144">_xlfn.IFS(Table13_1[[#This Row],[Round BMI]]&lt;18.5,"Underweight",AND(Table13_1[[#This Row],[Round BMI]]&gt;=18.5,Table13_1[[#This Row],[Round BMI]] &lt;=24.9),"Healthy Weight",AND(Table13_1[[#This Row],[Round BMI]]&gt;=25,Table13_1[[#This Row],[Round BMI]]&lt;=29.9),"Overweight",Table13_1[[#This Row],[Round BMI]]&gt;=30,"Obese")</f>
        <v>Healthy Weight</v>
      </c>
      <c r="D1144" s="4" t="s">
        <v>11</v>
      </c>
      <c r="E1144" s="4" t="str">
        <f>IF(Table13_1[[#This Row],[smoker]]="yes","smoker","non-smoker")</f>
        <v>non-smoker</v>
      </c>
      <c r="F1144" s="4" t="s">
        <v>12</v>
      </c>
      <c r="G1144" s="5">
        <v>52</v>
      </c>
      <c r="H1144" s="5">
        <f>IF(Table13_1[[#This Row],[smoker]]="yes",1,0)</f>
        <v>0</v>
      </c>
      <c r="I1144" s="4">
        <v>24.86</v>
      </c>
      <c r="J1144" s="4">
        <v>0</v>
      </c>
      <c r="K1144" s="12">
        <v>27117.9938</v>
      </c>
      <c r="N1144">
        <v>989</v>
      </c>
      <c r="O1144">
        <v>7824.3112645603924</v>
      </c>
      <c r="P1144">
        <v>-3305.4850645603919</v>
      </c>
    </row>
    <row r="1145" spans="1:16" x14ac:dyDescent="0.25">
      <c r="A1145" s="4" t="s">
        <v>10</v>
      </c>
      <c r="B1145" s="4">
        <f>ROUND(Table13_1[[#This Row],[bmi]],1)</f>
        <v>32.299999999999997</v>
      </c>
      <c r="C1145" s="4" t="str" cm="1">
        <f t="array" ref="C1145">_xlfn.IFS(Table13_1[[#This Row],[Round BMI]]&lt;18.5,"Underweight",AND(Table13_1[[#This Row],[Round BMI]]&gt;=18.5,Table13_1[[#This Row],[Round BMI]] &lt;=24.9),"Healthy Weight",AND(Table13_1[[#This Row],[Round BMI]]&gt;=25,Table13_1[[#This Row],[Round BMI]]&lt;=29.9),"Overweight",Table13_1[[#This Row],[Round BMI]]&gt;=30,"Obese")</f>
        <v>Obese</v>
      </c>
      <c r="D1145" s="4" t="s">
        <v>11</v>
      </c>
      <c r="E1145" s="4" t="str">
        <f>IF(Table13_1[[#This Row],[smoker]]="yes","smoker","non-smoker")</f>
        <v>non-smoker</v>
      </c>
      <c r="F1145" s="4" t="s">
        <v>12</v>
      </c>
      <c r="G1145" s="5">
        <v>39</v>
      </c>
      <c r="H1145" s="5">
        <f>IF(Table13_1[[#This Row],[smoker]]="yes",1,0)</f>
        <v>0</v>
      </c>
      <c r="I1145" s="4">
        <v>32.340000000000003</v>
      </c>
      <c r="J1145" s="4">
        <v>2</v>
      </c>
      <c r="K1145" s="12">
        <v>6338.0756000000001</v>
      </c>
      <c r="N1145">
        <v>990</v>
      </c>
      <c r="O1145">
        <v>24501.409430054991</v>
      </c>
      <c r="P1145">
        <v>-9929.5186300549922</v>
      </c>
    </row>
    <row r="1146" spans="1:16" x14ac:dyDescent="0.25">
      <c r="A1146" s="4" t="s">
        <v>10</v>
      </c>
      <c r="B1146" s="4">
        <f>ROUND(Table13_1[[#This Row],[bmi]],1)</f>
        <v>32.299999999999997</v>
      </c>
      <c r="C1146" s="4" t="str" cm="1">
        <f t="array" ref="C1146">_xlfn.IFS(Table13_1[[#This Row],[Round BMI]]&lt;18.5,"Underweight",AND(Table13_1[[#This Row],[Round BMI]]&gt;=18.5,Table13_1[[#This Row],[Round BMI]] &lt;=24.9),"Healthy Weight",AND(Table13_1[[#This Row],[Round BMI]]&gt;=25,Table13_1[[#This Row],[Round BMI]]&lt;=29.9),"Overweight",Table13_1[[#This Row],[Round BMI]]&gt;=30,"Obese")</f>
        <v>Obese</v>
      </c>
      <c r="D1146" s="4" t="s">
        <v>11</v>
      </c>
      <c r="E1146" s="4" t="str">
        <f>IF(Table13_1[[#This Row],[smoker]]="yes","smoker","non-smoker")</f>
        <v>non-smoker</v>
      </c>
      <c r="F1146" s="4" t="s">
        <v>9</v>
      </c>
      <c r="G1146" s="5">
        <v>50</v>
      </c>
      <c r="H1146" s="5">
        <f>IF(Table13_1[[#This Row],[smoker]]="yes",1,0)</f>
        <v>0</v>
      </c>
      <c r="I1146" s="4">
        <v>32.299999999999997</v>
      </c>
      <c r="J1146" s="4">
        <v>2</v>
      </c>
      <c r="K1146" s="12">
        <v>9630.3970000000008</v>
      </c>
      <c r="N1146">
        <v>991</v>
      </c>
      <c r="O1146">
        <v>1447.4779042003333</v>
      </c>
      <c r="P1146">
        <v>1931.4320957996665</v>
      </c>
    </row>
    <row r="1147" spans="1:16" x14ac:dyDescent="0.25">
      <c r="A1147" s="4" t="s">
        <v>10</v>
      </c>
      <c r="B1147" s="4">
        <f>ROUND(Table13_1[[#This Row],[bmi]],1)</f>
        <v>32.799999999999997</v>
      </c>
      <c r="C1147" s="4" t="str" cm="1">
        <f t="array" ref="C1147">_xlfn.IFS(Table13_1[[#This Row],[Round BMI]]&lt;18.5,"Underweight",AND(Table13_1[[#This Row],[Round BMI]]&gt;=18.5,Table13_1[[#This Row],[Round BMI]] &lt;=24.9),"Healthy Weight",AND(Table13_1[[#This Row],[Round BMI]]&gt;=25,Table13_1[[#This Row],[Round BMI]]&lt;=29.9),"Overweight",Table13_1[[#This Row],[Round BMI]]&gt;=30,"Obese")</f>
        <v>Obese</v>
      </c>
      <c r="D1147" s="4" t="s">
        <v>11</v>
      </c>
      <c r="E1147" s="4" t="str">
        <f>IF(Table13_1[[#This Row],[smoker]]="yes","smoker","non-smoker")</f>
        <v>non-smoker</v>
      </c>
      <c r="F1147" s="4" t="s">
        <v>13</v>
      </c>
      <c r="G1147" s="5">
        <v>52</v>
      </c>
      <c r="H1147" s="5">
        <f>IF(Table13_1[[#This Row],[smoker]]="yes",1,0)</f>
        <v>0</v>
      </c>
      <c r="I1147" s="4">
        <v>32.774999999999999</v>
      </c>
      <c r="J1147" s="4">
        <v>3</v>
      </c>
      <c r="K1147" s="12">
        <v>11289.109200000001</v>
      </c>
      <c r="N1147">
        <v>992</v>
      </c>
      <c r="O1147">
        <v>7601.25032953957</v>
      </c>
      <c r="P1147">
        <v>-456.38772953956959</v>
      </c>
    </row>
    <row r="1148" spans="1:16" x14ac:dyDescent="0.25">
      <c r="A1148" s="4" t="s">
        <v>10</v>
      </c>
      <c r="B1148" s="4">
        <f>ROUND(Table13_1[[#This Row],[bmi]],1)</f>
        <v>32.799999999999997</v>
      </c>
      <c r="C1148" s="4" t="str" cm="1">
        <f t="array" ref="C1148">_xlfn.IFS(Table13_1[[#This Row],[Round BMI]]&lt;18.5,"Underweight",AND(Table13_1[[#This Row],[Round BMI]]&gt;=18.5,Table13_1[[#This Row],[Round BMI]] &lt;=24.9),"Healthy Weight",AND(Table13_1[[#This Row],[Round BMI]]&gt;=25,Table13_1[[#This Row],[Round BMI]]&lt;=29.9),"Overweight",Table13_1[[#This Row],[Round BMI]]&gt;=30,"Obese")</f>
        <v>Obese</v>
      </c>
      <c r="D1148" s="4" t="s">
        <v>8</v>
      </c>
      <c r="E1148" s="4" t="str">
        <f>IF(Table13_1[[#This Row],[smoker]]="yes","smoker","non-smoker")</f>
        <v>smoker</v>
      </c>
      <c r="F1148" s="4" t="s">
        <v>9</v>
      </c>
      <c r="G1148" s="5">
        <v>60</v>
      </c>
      <c r="H1148" s="5">
        <f>IF(Table13_1[[#This Row],[smoker]]="yes",1,0)</f>
        <v>1</v>
      </c>
      <c r="I1148" s="4">
        <v>32.799999999999997</v>
      </c>
      <c r="J1148" s="4">
        <v>0</v>
      </c>
      <c r="K1148" s="12">
        <v>52590.829400000002</v>
      </c>
      <c r="N1148">
        <v>993</v>
      </c>
      <c r="O1148">
        <v>11907.214949201007</v>
      </c>
      <c r="P1148">
        <v>-1788.7909492010058</v>
      </c>
    </row>
    <row r="1149" spans="1:16" x14ac:dyDescent="0.25">
      <c r="A1149" s="4" t="s">
        <v>7</v>
      </c>
      <c r="B1149" s="4">
        <f>ROUND(Table13_1[[#This Row],[bmi]],1)</f>
        <v>31.9</v>
      </c>
      <c r="C1149" s="4" t="str" cm="1">
        <f t="array" ref="C1149">_xlfn.IFS(Table13_1[[#This Row],[Round BMI]]&lt;18.5,"Underweight",AND(Table13_1[[#This Row],[Round BMI]]&gt;=18.5,Table13_1[[#This Row],[Round BMI]] &lt;=24.9),"Healthy Weight",AND(Table13_1[[#This Row],[Round BMI]]&gt;=25,Table13_1[[#This Row],[Round BMI]]&lt;=29.9),"Overweight",Table13_1[[#This Row],[Round BMI]]&gt;=30,"Obese")</f>
        <v>Obese</v>
      </c>
      <c r="D1149" s="4" t="s">
        <v>11</v>
      </c>
      <c r="E1149" s="4" t="str">
        <f>IF(Table13_1[[#This Row],[smoker]]="yes","smoker","non-smoker")</f>
        <v>non-smoker</v>
      </c>
      <c r="F1149" s="4" t="s">
        <v>13</v>
      </c>
      <c r="G1149" s="5">
        <v>20</v>
      </c>
      <c r="H1149" s="5">
        <f>IF(Table13_1[[#This Row],[smoker]]="yes",1,0)</f>
        <v>0</v>
      </c>
      <c r="I1149" s="4">
        <v>31.92</v>
      </c>
      <c r="J1149" s="4">
        <v>0</v>
      </c>
      <c r="K1149" s="12">
        <v>2261.5688</v>
      </c>
      <c r="N1149">
        <v>994</v>
      </c>
      <c r="O1149">
        <v>7267.7533742296737</v>
      </c>
      <c r="P1149">
        <v>-1783.2860742296734</v>
      </c>
    </row>
    <row r="1150" spans="1:16" x14ac:dyDescent="0.25">
      <c r="A1150" s="4" t="s">
        <v>10</v>
      </c>
      <c r="B1150" s="4">
        <f>ROUND(Table13_1[[#This Row],[bmi]],1)</f>
        <v>21.5</v>
      </c>
      <c r="C1150" s="4" t="str" cm="1">
        <f t="array" ref="C1150">_xlfn.IFS(Table13_1[[#This Row],[Round BMI]]&lt;18.5,"Underweight",AND(Table13_1[[#This Row],[Round BMI]]&gt;=18.5,Table13_1[[#This Row],[Round BMI]] &lt;=24.9),"Healthy Weight",AND(Table13_1[[#This Row],[Round BMI]]&gt;=25,Table13_1[[#This Row],[Round BMI]]&lt;=29.9),"Overweight",Table13_1[[#This Row],[Round BMI]]&gt;=30,"Obese")</f>
        <v>Healthy Weight</v>
      </c>
      <c r="D1150" s="4" t="s">
        <v>11</v>
      </c>
      <c r="E1150" s="4" t="str">
        <f>IF(Table13_1[[#This Row],[smoker]]="yes","smoker","non-smoker")</f>
        <v>non-smoker</v>
      </c>
      <c r="F1150" s="4" t="s">
        <v>9</v>
      </c>
      <c r="G1150" s="5">
        <v>55</v>
      </c>
      <c r="H1150" s="5">
        <f>IF(Table13_1[[#This Row],[smoker]]="yes",1,0)</f>
        <v>0</v>
      </c>
      <c r="I1150" s="4">
        <v>21.5</v>
      </c>
      <c r="J1150" s="4">
        <v>1</v>
      </c>
      <c r="K1150" s="12">
        <v>10791.96</v>
      </c>
      <c r="N1150">
        <v>995</v>
      </c>
      <c r="O1150">
        <v>26542.585482333958</v>
      </c>
      <c r="P1150">
        <v>-10122.090882333956</v>
      </c>
    </row>
    <row r="1151" spans="1:16" x14ac:dyDescent="0.25">
      <c r="A1151" s="4" t="s">
        <v>10</v>
      </c>
      <c r="B1151" s="4">
        <f>ROUND(Table13_1[[#This Row],[bmi]],1)</f>
        <v>34.1</v>
      </c>
      <c r="C1151" s="4" t="str" cm="1">
        <f t="array" ref="C1151">_xlfn.IFS(Table13_1[[#This Row],[Round BMI]]&lt;18.5,"Underweight",AND(Table13_1[[#This Row],[Round BMI]]&gt;=18.5,Table13_1[[#This Row],[Round BMI]] &lt;=24.9),"Healthy Weight",AND(Table13_1[[#This Row],[Round BMI]]&gt;=25,Table13_1[[#This Row],[Round BMI]]&lt;=29.9),"Overweight",Table13_1[[#This Row],[Round BMI]]&gt;=30,"Obese")</f>
        <v>Obese</v>
      </c>
      <c r="D1151" s="4" t="s">
        <v>11</v>
      </c>
      <c r="E1151" s="4" t="str">
        <f>IF(Table13_1[[#This Row],[smoker]]="yes","smoker","non-smoker")</f>
        <v>non-smoker</v>
      </c>
      <c r="F1151" s="4" t="s">
        <v>9</v>
      </c>
      <c r="G1151" s="5">
        <v>42</v>
      </c>
      <c r="H1151" s="5">
        <f>IF(Table13_1[[#This Row],[smoker]]="yes",1,0)</f>
        <v>0</v>
      </c>
      <c r="I1151" s="4">
        <v>34.1</v>
      </c>
      <c r="J1151" s="4">
        <v>0</v>
      </c>
      <c r="K1151" s="12">
        <v>5979.7309999999998</v>
      </c>
      <c r="N1151">
        <v>996</v>
      </c>
      <c r="O1151">
        <v>6864.9597554598204</v>
      </c>
      <c r="P1151">
        <v>1121.5154445401795</v>
      </c>
    </row>
    <row r="1152" spans="1:16" x14ac:dyDescent="0.25">
      <c r="A1152" s="4" t="s">
        <v>7</v>
      </c>
      <c r="B1152" s="4">
        <f>ROUND(Table13_1[[#This Row],[bmi]],1)</f>
        <v>30.3</v>
      </c>
      <c r="C1152" s="4" t="str" cm="1">
        <f t="array" ref="C1152">_xlfn.IFS(Table13_1[[#This Row],[Round BMI]]&lt;18.5,"Underweight",AND(Table13_1[[#This Row],[Round BMI]]&gt;=18.5,Table13_1[[#This Row],[Round BMI]] &lt;=24.9),"Healthy Weight",AND(Table13_1[[#This Row],[Round BMI]]&gt;=25,Table13_1[[#This Row],[Round BMI]]&lt;=29.9),"Overweight",Table13_1[[#This Row],[Round BMI]]&gt;=30,"Obese")</f>
        <v>Obese</v>
      </c>
      <c r="D1152" s="4" t="s">
        <v>11</v>
      </c>
      <c r="E1152" s="4" t="str">
        <f>IF(Table13_1[[#This Row],[smoker]]="yes","smoker","non-smoker")</f>
        <v>non-smoker</v>
      </c>
      <c r="F1152" s="4" t="s">
        <v>14</v>
      </c>
      <c r="G1152" s="5">
        <v>18</v>
      </c>
      <c r="H1152" s="5">
        <f>IF(Table13_1[[#This Row],[smoker]]="yes",1,0)</f>
        <v>0</v>
      </c>
      <c r="I1152" s="4">
        <v>30.305</v>
      </c>
      <c r="J1152" s="4">
        <v>0</v>
      </c>
      <c r="K1152" s="12">
        <v>2203.7359999999999</v>
      </c>
      <c r="N1152">
        <v>997</v>
      </c>
      <c r="O1152">
        <v>10349.001191215946</v>
      </c>
      <c r="P1152">
        <v>-2930.4791912159462</v>
      </c>
    </row>
    <row r="1153" spans="1:16" x14ac:dyDescent="0.25">
      <c r="A1153" s="4" t="s">
        <v>7</v>
      </c>
      <c r="B1153" s="4">
        <f>ROUND(Table13_1[[#This Row],[bmi]],1)</f>
        <v>36.5</v>
      </c>
      <c r="C1153" s="4" t="str" cm="1">
        <f t="array" ref="C1153">_xlfn.IFS(Table13_1[[#This Row],[Round BMI]]&lt;18.5,"Underweight",AND(Table13_1[[#This Row],[Round BMI]]&gt;=18.5,Table13_1[[#This Row],[Round BMI]] &lt;=24.9),"Healthy Weight",AND(Table13_1[[#This Row],[Round BMI]]&gt;=25,Table13_1[[#This Row],[Round BMI]]&lt;=29.9),"Overweight",Table13_1[[#This Row],[Round BMI]]&gt;=30,"Obese")</f>
        <v>Obese</v>
      </c>
      <c r="D1153" s="4" t="s">
        <v>11</v>
      </c>
      <c r="E1153" s="4" t="str">
        <f>IF(Table13_1[[#This Row],[smoker]]="yes","smoker","non-smoker")</f>
        <v>non-smoker</v>
      </c>
      <c r="F1153" s="4" t="s">
        <v>13</v>
      </c>
      <c r="G1153" s="5">
        <v>58</v>
      </c>
      <c r="H1153" s="5">
        <f>IF(Table13_1[[#This Row],[smoker]]="yes",1,0)</f>
        <v>0</v>
      </c>
      <c r="I1153" s="4">
        <v>36.479999999999997</v>
      </c>
      <c r="J1153" s="4">
        <v>0</v>
      </c>
      <c r="K1153" s="12">
        <v>12235.8392</v>
      </c>
      <c r="N1153">
        <v>998</v>
      </c>
      <c r="O1153">
        <v>16001.973778320353</v>
      </c>
      <c r="P1153">
        <v>-2114.0052783203519</v>
      </c>
    </row>
    <row r="1154" spans="1:16" x14ac:dyDescent="0.25">
      <c r="A1154" s="4" t="s">
        <v>7</v>
      </c>
      <c r="B1154" s="4">
        <f>ROUND(Table13_1[[#This Row],[bmi]],1)</f>
        <v>32.6</v>
      </c>
      <c r="C1154" s="4" t="str" cm="1">
        <f t="array" ref="C1154">_xlfn.IFS(Table13_1[[#This Row],[Round BMI]]&lt;18.5,"Underweight",AND(Table13_1[[#This Row],[Round BMI]]&gt;=18.5,Table13_1[[#This Row],[Round BMI]] &lt;=24.9),"Healthy Weight",AND(Table13_1[[#This Row],[Round BMI]]&gt;=25,Table13_1[[#This Row],[Round BMI]]&lt;=29.9),"Overweight",Table13_1[[#This Row],[Round BMI]]&gt;=30,"Obese")</f>
        <v>Obese</v>
      </c>
      <c r="D1154" s="4" t="s">
        <v>8</v>
      </c>
      <c r="E1154" s="4" t="str">
        <f>IF(Table13_1[[#This Row],[smoker]]="yes","smoker","non-smoker")</f>
        <v>smoker</v>
      </c>
      <c r="F1154" s="4" t="s">
        <v>12</v>
      </c>
      <c r="G1154" s="5">
        <v>43</v>
      </c>
      <c r="H1154" s="5">
        <f>IF(Table13_1[[#This Row],[smoker]]="yes",1,0)</f>
        <v>1</v>
      </c>
      <c r="I1154" s="4">
        <v>32.56</v>
      </c>
      <c r="J1154" s="4">
        <v>3</v>
      </c>
      <c r="K1154" s="12">
        <v>40941.285400000001</v>
      </c>
      <c r="N1154">
        <v>999</v>
      </c>
      <c r="O1154">
        <v>9506.7587194560656</v>
      </c>
      <c r="P1154">
        <v>-2955.0086194560654</v>
      </c>
    </row>
    <row r="1155" spans="1:16" x14ac:dyDescent="0.25">
      <c r="A1155" s="4" t="s">
        <v>7</v>
      </c>
      <c r="B1155" s="4">
        <f>ROUND(Table13_1[[#This Row],[bmi]],1)</f>
        <v>35.799999999999997</v>
      </c>
      <c r="C1155" s="4" t="str" cm="1">
        <f t="array" ref="C1155">_xlfn.IFS(Table13_1[[#This Row],[Round BMI]]&lt;18.5,"Underweight",AND(Table13_1[[#This Row],[Round BMI]]&gt;=18.5,Table13_1[[#This Row],[Round BMI]] &lt;=24.9),"Healthy Weight",AND(Table13_1[[#This Row],[Round BMI]]&gt;=25,Table13_1[[#This Row],[Round BMI]]&lt;=29.9),"Overweight",Table13_1[[#This Row],[Round BMI]]&gt;=30,"Obese")</f>
        <v>Obese</v>
      </c>
      <c r="D1155" s="4" t="s">
        <v>11</v>
      </c>
      <c r="E1155" s="4" t="str">
        <f>IF(Table13_1[[#This Row],[smoker]]="yes","smoker","non-smoker")</f>
        <v>non-smoker</v>
      </c>
      <c r="F1155" s="4" t="s">
        <v>13</v>
      </c>
      <c r="G1155" s="5">
        <v>35</v>
      </c>
      <c r="H1155" s="5">
        <f>IF(Table13_1[[#This Row],[smoker]]="yes",1,0)</f>
        <v>0</v>
      </c>
      <c r="I1155" s="4">
        <v>35.814999999999998</v>
      </c>
      <c r="J1155" s="4">
        <v>1</v>
      </c>
      <c r="K1155" s="12">
        <v>5630.4578000000001</v>
      </c>
      <c r="N1155">
        <v>1000</v>
      </c>
      <c r="O1155">
        <v>5832.7878510880619</v>
      </c>
      <c r="P1155">
        <v>-564.96965108806216</v>
      </c>
    </row>
    <row r="1156" spans="1:16" x14ac:dyDescent="0.25">
      <c r="A1156" s="4" t="s">
        <v>7</v>
      </c>
      <c r="B1156" s="4">
        <f>ROUND(Table13_1[[#This Row],[bmi]],1)</f>
        <v>27.9</v>
      </c>
      <c r="C1156" s="4" t="str" cm="1">
        <f t="array" ref="C1156">_xlfn.IFS(Table13_1[[#This Row],[Round BMI]]&lt;18.5,"Underweight",AND(Table13_1[[#This Row],[Round BMI]]&gt;=18.5,Table13_1[[#This Row],[Round BMI]] &lt;=24.9),"Healthy Weight",AND(Table13_1[[#This Row],[Round BMI]]&gt;=25,Table13_1[[#This Row],[Round BMI]]&lt;=29.9),"Overweight",Table13_1[[#This Row],[Round BMI]]&gt;=30,"Obese")</f>
        <v>Overweight</v>
      </c>
      <c r="D1156" s="4" t="s">
        <v>11</v>
      </c>
      <c r="E1156" s="4" t="str">
        <f>IF(Table13_1[[#This Row],[smoker]]="yes","smoker","non-smoker")</f>
        <v>non-smoker</v>
      </c>
      <c r="F1156" s="4" t="s">
        <v>13</v>
      </c>
      <c r="G1156" s="5">
        <v>48</v>
      </c>
      <c r="H1156" s="5">
        <f>IF(Table13_1[[#This Row],[smoker]]="yes",1,0)</f>
        <v>0</v>
      </c>
      <c r="I1156" s="4">
        <v>27.93</v>
      </c>
      <c r="J1156" s="4">
        <v>4</v>
      </c>
      <c r="K1156" s="12">
        <v>11015.1747</v>
      </c>
      <c r="N1156">
        <v>1001</v>
      </c>
      <c r="O1156">
        <v>27790.484070146569</v>
      </c>
      <c r="P1156">
        <v>-10428.717970146568</v>
      </c>
    </row>
    <row r="1157" spans="1:16" x14ac:dyDescent="0.25">
      <c r="A1157" s="4" t="s">
        <v>7</v>
      </c>
      <c r="B1157" s="4">
        <f>ROUND(Table13_1[[#This Row],[bmi]],1)</f>
        <v>22.1</v>
      </c>
      <c r="C1157" s="4" t="str" cm="1">
        <f t="array" ref="C1157">_xlfn.IFS(Table13_1[[#This Row],[Round BMI]]&lt;18.5,"Underweight",AND(Table13_1[[#This Row],[Round BMI]]&gt;=18.5,Table13_1[[#This Row],[Round BMI]] &lt;=24.9),"Healthy Weight",AND(Table13_1[[#This Row],[Round BMI]]&gt;=25,Table13_1[[#This Row],[Round BMI]]&lt;=29.9),"Overweight",Table13_1[[#This Row],[Round BMI]]&gt;=30,"Obese")</f>
        <v>Healthy Weight</v>
      </c>
      <c r="D1157" s="4" t="s">
        <v>11</v>
      </c>
      <c r="E1157" s="4" t="str">
        <f>IF(Table13_1[[#This Row],[smoker]]="yes","smoker","non-smoker")</f>
        <v>non-smoker</v>
      </c>
      <c r="F1157" s="4" t="s">
        <v>14</v>
      </c>
      <c r="G1157" s="5">
        <v>36</v>
      </c>
      <c r="H1157" s="5">
        <f>IF(Table13_1[[#This Row],[smoker]]="yes",1,0)</f>
        <v>0</v>
      </c>
      <c r="I1157" s="4">
        <v>22.135000000000002</v>
      </c>
      <c r="J1157" s="4">
        <v>3</v>
      </c>
      <c r="K1157" s="12">
        <v>7228.2156000000004</v>
      </c>
      <c r="N1157">
        <v>1002</v>
      </c>
      <c r="O1157">
        <v>28421.559516660964</v>
      </c>
      <c r="P1157">
        <v>6051.2814833390366</v>
      </c>
    </row>
    <row r="1158" spans="1:16" x14ac:dyDescent="0.25">
      <c r="A1158" s="4" t="s">
        <v>10</v>
      </c>
      <c r="B1158" s="4">
        <f>ROUND(Table13_1[[#This Row],[bmi]],1)</f>
        <v>44.9</v>
      </c>
      <c r="C1158" s="4" t="str" cm="1">
        <f t="array" ref="C1158">_xlfn.IFS(Table13_1[[#This Row],[Round BMI]]&lt;18.5,"Underweight",AND(Table13_1[[#This Row],[Round BMI]]&gt;=18.5,Table13_1[[#This Row],[Round BMI]] &lt;=24.9),"Healthy Weight",AND(Table13_1[[#This Row],[Round BMI]]&gt;=25,Table13_1[[#This Row],[Round BMI]]&lt;=29.9),"Overweight",Table13_1[[#This Row],[Round BMI]]&gt;=30,"Obese")</f>
        <v>Obese</v>
      </c>
      <c r="D1158" s="4" t="s">
        <v>8</v>
      </c>
      <c r="E1158" s="4" t="str">
        <f>IF(Table13_1[[#This Row],[smoker]]="yes","smoker","non-smoker")</f>
        <v>smoker</v>
      </c>
      <c r="F1158" s="4" t="s">
        <v>12</v>
      </c>
      <c r="G1158" s="5">
        <v>19</v>
      </c>
      <c r="H1158" s="5">
        <f>IF(Table13_1[[#This Row],[smoker]]="yes",1,0)</f>
        <v>1</v>
      </c>
      <c r="I1158" s="4">
        <v>44.88</v>
      </c>
      <c r="J1158" s="4">
        <v>0</v>
      </c>
      <c r="K1158" s="12">
        <v>39722.746200000001</v>
      </c>
      <c r="N1158">
        <v>1003</v>
      </c>
      <c r="O1158">
        <v>2389.3849910410736</v>
      </c>
      <c r="P1158">
        <v>-416.43499104107354</v>
      </c>
    </row>
    <row r="1159" spans="1:16" x14ac:dyDescent="0.25">
      <c r="A1159" s="4" t="s">
        <v>7</v>
      </c>
      <c r="B1159" s="4">
        <f>ROUND(Table13_1[[#This Row],[bmi]],1)</f>
        <v>23.2</v>
      </c>
      <c r="C1159" s="4" t="str" cm="1">
        <f t="array" ref="C1159">_xlfn.IFS(Table13_1[[#This Row],[Round BMI]]&lt;18.5,"Underweight",AND(Table13_1[[#This Row],[Round BMI]]&gt;=18.5,Table13_1[[#This Row],[Round BMI]] &lt;=24.9),"Healthy Weight",AND(Table13_1[[#This Row],[Round BMI]]&gt;=25,Table13_1[[#This Row],[Round BMI]]&lt;=29.9),"Overweight",Table13_1[[#This Row],[Round BMI]]&gt;=30,"Obese")</f>
        <v>Healthy Weight</v>
      </c>
      <c r="D1159" s="4" t="s">
        <v>11</v>
      </c>
      <c r="E1159" s="4" t="str">
        <f>IF(Table13_1[[#This Row],[smoker]]="yes","smoker","non-smoker")</f>
        <v>non-smoker</v>
      </c>
      <c r="F1159" s="4" t="s">
        <v>13</v>
      </c>
      <c r="G1159" s="5">
        <v>23</v>
      </c>
      <c r="H1159" s="5">
        <f>IF(Table13_1[[#This Row],[smoker]]="yes",1,0)</f>
        <v>0</v>
      </c>
      <c r="I1159" s="4">
        <v>23.18</v>
      </c>
      <c r="J1159" s="4">
        <v>2</v>
      </c>
      <c r="K1159" s="12">
        <v>14426.0738</v>
      </c>
      <c r="N1159">
        <v>1004</v>
      </c>
      <c r="O1159">
        <v>9800.8084977662238</v>
      </c>
      <c r="P1159">
        <v>11431.373802233777</v>
      </c>
    </row>
    <row r="1160" spans="1:16" x14ac:dyDescent="0.25">
      <c r="A1160" s="4" t="s">
        <v>7</v>
      </c>
      <c r="B1160" s="4">
        <f>ROUND(Table13_1[[#This Row],[bmi]],1)</f>
        <v>30.6</v>
      </c>
      <c r="C1160" s="4" t="str" cm="1">
        <f t="array" ref="C1160">_xlfn.IFS(Table13_1[[#This Row],[Round BMI]]&lt;18.5,"Underweight",AND(Table13_1[[#This Row],[Round BMI]]&gt;=18.5,Table13_1[[#This Row],[Round BMI]] &lt;=24.9),"Healthy Weight",AND(Table13_1[[#This Row],[Round BMI]]&gt;=25,Table13_1[[#This Row],[Round BMI]]&lt;=29.9),"Overweight",Table13_1[[#This Row],[Round BMI]]&gt;=30,"Obese")</f>
        <v>Obese</v>
      </c>
      <c r="D1160" s="4" t="s">
        <v>11</v>
      </c>
      <c r="E1160" s="4" t="str">
        <f>IF(Table13_1[[#This Row],[smoker]]="yes","smoker","non-smoker")</f>
        <v>non-smoker</v>
      </c>
      <c r="F1160" s="4" t="s">
        <v>14</v>
      </c>
      <c r="G1160" s="5">
        <v>20</v>
      </c>
      <c r="H1160" s="5">
        <f>IF(Table13_1[[#This Row],[smoker]]="yes",1,0)</f>
        <v>0</v>
      </c>
      <c r="I1160" s="4">
        <v>30.59</v>
      </c>
      <c r="J1160" s="4">
        <v>0</v>
      </c>
      <c r="K1160" s="12">
        <v>2459.7201</v>
      </c>
      <c r="N1160">
        <v>1005</v>
      </c>
      <c r="O1160">
        <v>6665.9882024046683</v>
      </c>
      <c r="P1160">
        <v>1961.5528975953321</v>
      </c>
    </row>
    <row r="1161" spans="1:16" x14ac:dyDescent="0.25">
      <c r="A1161" s="4" t="s">
        <v>7</v>
      </c>
      <c r="B1161" s="4">
        <f>ROUND(Table13_1[[#This Row],[bmi]],1)</f>
        <v>41.1</v>
      </c>
      <c r="C1161" s="4" t="str" cm="1">
        <f t="array" ref="C1161">_xlfn.IFS(Table13_1[[#This Row],[Round BMI]]&lt;18.5,"Underweight",AND(Table13_1[[#This Row],[Round BMI]]&gt;=18.5,Table13_1[[#This Row],[Round BMI]] &lt;=24.9),"Healthy Weight",AND(Table13_1[[#This Row],[Round BMI]]&gt;=25,Table13_1[[#This Row],[Round BMI]]&lt;=29.9),"Overweight",Table13_1[[#This Row],[Round BMI]]&gt;=30,"Obese")</f>
        <v>Obese</v>
      </c>
      <c r="D1161" s="4" t="s">
        <v>11</v>
      </c>
      <c r="E1161" s="4" t="str">
        <f>IF(Table13_1[[#This Row],[smoker]]="yes","smoker","non-smoker")</f>
        <v>non-smoker</v>
      </c>
      <c r="F1161" s="4" t="s">
        <v>9</v>
      </c>
      <c r="G1161" s="5">
        <v>32</v>
      </c>
      <c r="H1161" s="5">
        <f>IF(Table13_1[[#This Row],[smoker]]="yes",1,0)</f>
        <v>0</v>
      </c>
      <c r="I1161" s="4">
        <v>41.1</v>
      </c>
      <c r="J1161" s="4">
        <v>0</v>
      </c>
      <c r="K1161" s="12">
        <v>3989.8409999999999</v>
      </c>
      <c r="N1161">
        <v>1006</v>
      </c>
      <c r="O1161">
        <v>6534.215977632889</v>
      </c>
      <c r="P1161">
        <v>-2100.8282776328888</v>
      </c>
    </row>
    <row r="1162" spans="1:16" x14ac:dyDescent="0.25">
      <c r="A1162" s="4" t="s">
        <v>7</v>
      </c>
      <c r="B1162" s="4">
        <f>ROUND(Table13_1[[#This Row],[bmi]],1)</f>
        <v>34.6</v>
      </c>
      <c r="C1162" s="4" t="str" cm="1">
        <f t="array" ref="C1162">_xlfn.IFS(Table13_1[[#This Row],[Round BMI]]&lt;18.5,"Underweight",AND(Table13_1[[#This Row],[Round BMI]]&gt;=18.5,Table13_1[[#This Row],[Round BMI]] &lt;=24.9),"Healthy Weight",AND(Table13_1[[#This Row],[Round BMI]]&gt;=25,Table13_1[[#This Row],[Round BMI]]&lt;=29.9),"Overweight",Table13_1[[#This Row],[Round BMI]]&gt;=30,"Obese")</f>
        <v>Obese</v>
      </c>
      <c r="D1162" s="4" t="s">
        <v>11</v>
      </c>
      <c r="E1162" s="4" t="str">
        <f>IF(Table13_1[[#This Row],[smoker]]="yes","smoker","non-smoker")</f>
        <v>non-smoker</v>
      </c>
      <c r="F1162" s="4" t="s">
        <v>13</v>
      </c>
      <c r="G1162" s="5">
        <v>43</v>
      </c>
      <c r="H1162" s="5">
        <f>IF(Table13_1[[#This Row],[smoker]]="yes",1,0)</f>
        <v>0</v>
      </c>
      <c r="I1162" s="4">
        <v>34.58</v>
      </c>
      <c r="J1162" s="4">
        <v>1</v>
      </c>
      <c r="K1162" s="12">
        <v>7727.2532000000001</v>
      </c>
      <c r="N1162">
        <v>1007</v>
      </c>
      <c r="O1162">
        <v>5481.3935052847391</v>
      </c>
      <c r="P1162">
        <v>-1043.1301052847393</v>
      </c>
    </row>
    <row r="1163" spans="1:16" x14ac:dyDescent="0.25">
      <c r="A1163" s="4" t="s">
        <v>10</v>
      </c>
      <c r="B1163" s="4">
        <f>ROUND(Table13_1[[#This Row],[bmi]],1)</f>
        <v>42.1</v>
      </c>
      <c r="C1163" s="4" t="str" cm="1">
        <f t="array" ref="C1163">_xlfn.IFS(Table13_1[[#This Row],[Round BMI]]&lt;18.5,"Underweight",AND(Table13_1[[#This Row],[Round BMI]]&gt;=18.5,Table13_1[[#This Row],[Round BMI]] &lt;=24.9),"Healthy Weight",AND(Table13_1[[#This Row],[Round BMI]]&gt;=25,Table13_1[[#This Row],[Round BMI]]&lt;=29.9),"Overweight",Table13_1[[#This Row],[Round BMI]]&gt;=30,"Obese")</f>
        <v>Obese</v>
      </c>
      <c r="D1163" s="4" t="s">
        <v>11</v>
      </c>
      <c r="E1163" s="4" t="str">
        <f>IF(Table13_1[[#This Row],[smoker]]="yes","smoker","non-smoker")</f>
        <v>non-smoker</v>
      </c>
      <c r="F1163" s="4" t="s">
        <v>12</v>
      </c>
      <c r="G1163" s="5">
        <v>34</v>
      </c>
      <c r="H1163" s="5">
        <f>IF(Table13_1[[#This Row],[smoker]]="yes",1,0)</f>
        <v>0</v>
      </c>
      <c r="I1163" s="4">
        <v>42.13</v>
      </c>
      <c r="J1163" s="4">
        <v>2</v>
      </c>
      <c r="K1163" s="12">
        <v>5124.1886999999997</v>
      </c>
      <c r="N1163">
        <v>1008</v>
      </c>
      <c r="O1163">
        <v>34329.101590153776</v>
      </c>
      <c r="P1163">
        <v>-9413.8807901537766</v>
      </c>
    </row>
    <row r="1164" spans="1:16" x14ac:dyDescent="0.25">
      <c r="A1164" s="4" t="s">
        <v>10</v>
      </c>
      <c r="B1164" s="4">
        <f>ROUND(Table13_1[[#This Row],[bmi]],1)</f>
        <v>38.799999999999997</v>
      </c>
      <c r="C1164" s="4" t="str" cm="1">
        <f t="array" ref="C1164">_xlfn.IFS(Table13_1[[#This Row],[Round BMI]]&lt;18.5,"Underweight",AND(Table13_1[[#This Row],[Round BMI]]&gt;=18.5,Table13_1[[#This Row],[Round BMI]] &lt;=24.9),"Healthy Weight",AND(Table13_1[[#This Row],[Round BMI]]&gt;=25,Table13_1[[#This Row],[Round BMI]]&lt;=29.9),"Overweight",Table13_1[[#This Row],[Round BMI]]&gt;=30,"Obese")</f>
        <v>Obese</v>
      </c>
      <c r="D1164" s="4" t="s">
        <v>11</v>
      </c>
      <c r="E1164" s="4" t="str">
        <f>IF(Table13_1[[#This Row],[smoker]]="yes","smoker","non-smoker")</f>
        <v>non-smoker</v>
      </c>
      <c r="F1164" s="4" t="s">
        <v>12</v>
      </c>
      <c r="G1164" s="5">
        <v>30</v>
      </c>
      <c r="H1164" s="5">
        <f>IF(Table13_1[[#This Row],[smoker]]="yes",1,0)</f>
        <v>0</v>
      </c>
      <c r="I1164" s="4">
        <v>38.83</v>
      </c>
      <c r="J1164" s="4">
        <v>1</v>
      </c>
      <c r="K1164" s="12">
        <v>18963.171900000001</v>
      </c>
      <c r="N1164">
        <v>1009</v>
      </c>
      <c r="O1164">
        <v>3331.9302361474874</v>
      </c>
      <c r="P1164">
        <v>19909.544263852513</v>
      </c>
    </row>
    <row r="1165" spans="1:16" x14ac:dyDescent="0.25">
      <c r="A1165" s="4" t="s">
        <v>7</v>
      </c>
      <c r="B1165" s="4">
        <f>ROUND(Table13_1[[#This Row],[bmi]],1)</f>
        <v>28.2</v>
      </c>
      <c r="C1165" s="4" t="str" cm="1">
        <f t="array" ref="C1165">_xlfn.IFS(Table13_1[[#This Row],[Round BMI]]&lt;18.5,"Underweight",AND(Table13_1[[#This Row],[Round BMI]]&gt;=18.5,Table13_1[[#This Row],[Round BMI]] &lt;=24.9),"Healthy Weight",AND(Table13_1[[#This Row],[Round BMI]]&gt;=25,Table13_1[[#This Row],[Round BMI]]&lt;=29.9),"Overweight",Table13_1[[#This Row],[Round BMI]]&gt;=30,"Obese")</f>
        <v>Overweight</v>
      </c>
      <c r="D1165" s="4" t="s">
        <v>11</v>
      </c>
      <c r="E1165" s="4" t="str">
        <f>IF(Table13_1[[#This Row],[smoker]]="yes","smoker","non-smoker")</f>
        <v>non-smoker</v>
      </c>
      <c r="F1165" s="4" t="s">
        <v>14</v>
      </c>
      <c r="G1165" s="5">
        <v>18</v>
      </c>
      <c r="H1165" s="5">
        <f>IF(Table13_1[[#This Row],[smoker]]="yes",1,0)</f>
        <v>0</v>
      </c>
      <c r="I1165" s="4">
        <v>28.215</v>
      </c>
      <c r="J1165" s="4">
        <v>0</v>
      </c>
      <c r="K1165" s="12">
        <v>2200.8308000000002</v>
      </c>
      <c r="N1165">
        <v>1010</v>
      </c>
      <c r="O1165">
        <v>10449.215726018458</v>
      </c>
      <c r="P1165">
        <v>-491.49412601845688</v>
      </c>
    </row>
    <row r="1166" spans="1:16" x14ac:dyDescent="0.25">
      <c r="A1166" s="4" t="s">
        <v>7</v>
      </c>
      <c r="B1166" s="4">
        <f>ROUND(Table13_1[[#This Row],[bmi]],1)</f>
        <v>28.3</v>
      </c>
      <c r="C1166" s="4" t="str" cm="1">
        <f t="array" ref="C1166">_xlfn.IFS(Table13_1[[#This Row],[Round BMI]]&lt;18.5,"Underweight",AND(Table13_1[[#This Row],[Round BMI]]&gt;=18.5,Table13_1[[#This Row],[Round BMI]] &lt;=24.9),"Healthy Weight",AND(Table13_1[[#This Row],[Round BMI]]&gt;=25,Table13_1[[#This Row],[Round BMI]]&lt;=29.9),"Overweight",Table13_1[[#This Row],[Round BMI]]&gt;=30,"Obese")</f>
        <v>Overweight</v>
      </c>
      <c r="D1166" s="4" t="s">
        <v>11</v>
      </c>
      <c r="E1166" s="4" t="str">
        <f>IF(Table13_1[[#This Row],[smoker]]="yes","smoker","non-smoker")</f>
        <v>non-smoker</v>
      </c>
      <c r="F1166" s="4" t="s">
        <v>13</v>
      </c>
      <c r="G1166" s="5">
        <v>41</v>
      </c>
      <c r="H1166" s="5">
        <f>IF(Table13_1[[#This Row],[smoker]]="yes",1,0)</f>
        <v>0</v>
      </c>
      <c r="I1166" s="4">
        <v>28.31</v>
      </c>
      <c r="J1166" s="4">
        <v>1</v>
      </c>
      <c r="K1166" s="12">
        <v>7153.5538999999999</v>
      </c>
      <c r="N1166">
        <v>1011</v>
      </c>
      <c r="O1166">
        <v>7612.2189584459793</v>
      </c>
      <c r="P1166">
        <v>656.82504155402057</v>
      </c>
    </row>
    <row r="1167" spans="1:16" x14ac:dyDescent="0.25">
      <c r="A1167" s="4" t="s">
        <v>7</v>
      </c>
      <c r="B1167" s="4">
        <f>ROUND(Table13_1[[#This Row],[bmi]],1)</f>
        <v>26.1</v>
      </c>
      <c r="C1167" s="4" t="str" cm="1">
        <f t="array" ref="C1167">_xlfn.IFS(Table13_1[[#This Row],[Round BMI]]&lt;18.5,"Underweight",AND(Table13_1[[#This Row],[Round BMI]]&gt;=18.5,Table13_1[[#This Row],[Round BMI]] &lt;=24.9),"Healthy Weight",AND(Table13_1[[#This Row],[Round BMI]]&gt;=25,Table13_1[[#This Row],[Round BMI]]&lt;=29.9),"Overweight",Table13_1[[#This Row],[Round BMI]]&gt;=30,"Obese")</f>
        <v>Overweight</v>
      </c>
      <c r="D1167" s="4" t="s">
        <v>11</v>
      </c>
      <c r="E1167" s="4" t="str">
        <f>IF(Table13_1[[#This Row],[smoker]]="yes","smoker","non-smoker")</f>
        <v>non-smoker</v>
      </c>
      <c r="F1167" s="4" t="s">
        <v>14</v>
      </c>
      <c r="G1167" s="5">
        <v>35</v>
      </c>
      <c r="H1167" s="5">
        <f>IF(Table13_1[[#This Row],[smoker]]="yes",1,0)</f>
        <v>0</v>
      </c>
      <c r="I1167" s="4">
        <v>26.125</v>
      </c>
      <c r="J1167" s="4">
        <v>0</v>
      </c>
      <c r="K1167" s="12">
        <v>5227.9888000000001</v>
      </c>
      <c r="N1167">
        <v>1012</v>
      </c>
      <c r="O1167">
        <v>30222.032653315331</v>
      </c>
      <c r="P1167">
        <v>-11454.29495331533</v>
      </c>
    </row>
    <row r="1168" spans="1:16" x14ac:dyDescent="0.25">
      <c r="A1168" s="4" t="s">
        <v>10</v>
      </c>
      <c r="B1168" s="4">
        <f>ROUND(Table13_1[[#This Row],[bmi]],1)</f>
        <v>40.4</v>
      </c>
      <c r="C1168" s="4" t="str" cm="1">
        <f t="array" ref="C1168">_xlfn.IFS(Table13_1[[#This Row],[Round BMI]]&lt;18.5,"Underweight",AND(Table13_1[[#This Row],[Round BMI]]&gt;=18.5,Table13_1[[#This Row],[Round BMI]] &lt;=24.9),"Healthy Weight",AND(Table13_1[[#This Row],[Round BMI]]&gt;=25,Table13_1[[#This Row],[Round BMI]]&lt;=29.9),"Overweight",Table13_1[[#This Row],[Round BMI]]&gt;=30,"Obese")</f>
        <v>Obese</v>
      </c>
      <c r="D1168" s="4" t="s">
        <v>11</v>
      </c>
      <c r="E1168" s="4" t="str">
        <f>IF(Table13_1[[#This Row],[smoker]]="yes","smoker","non-smoker")</f>
        <v>non-smoker</v>
      </c>
      <c r="F1168" s="4" t="s">
        <v>12</v>
      </c>
      <c r="G1168" s="5">
        <v>57</v>
      </c>
      <c r="H1168" s="5">
        <f>IF(Table13_1[[#This Row],[smoker]]="yes",1,0)</f>
        <v>0</v>
      </c>
      <c r="I1168" s="4">
        <v>40.369999999999997</v>
      </c>
      <c r="J1168" s="4">
        <v>0</v>
      </c>
      <c r="K1168" s="12">
        <v>10982.5013</v>
      </c>
      <c r="N1168">
        <v>1013</v>
      </c>
      <c r="O1168">
        <v>16247.367087841867</v>
      </c>
      <c r="P1168">
        <v>20332.915112158134</v>
      </c>
    </row>
    <row r="1169" spans="1:16" x14ac:dyDescent="0.25">
      <c r="A1169" s="4" t="s">
        <v>7</v>
      </c>
      <c r="B1169" s="4">
        <f>ROUND(Table13_1[[#This Row],[bmi]],1)</f>
        <v>24.6</v>
      </c>
      <c r="C1169" s="4" t="str" cm="1">
        <f t="array" ref="C1169">_xlfn.IFS(Table13_1[[#This Row],[Round BMI]]&lt;18.5,"Underweight",AND(Table13_1[[#This Row],[Round BMI]]&gt;=18.5,Table13_1[[#This Row],[Round BMI]] &lt;=24.9),"Healthy Weight",AND(Table13_1[[#This Row],[Round BMI]]&gt;=25,Table13_1[[#This Row],[Round BMI]]&lt;=29.9),"Overweight",Table13_1[[#This Row],[Round BMI]]&gt;=30,"Obese")</f>
        <v>Healthy Weight</v>
      </c>
      <c r="D1169" s="4" t="s">
        <v>11</v>
      </c>
      <c r="E1169" s="4" t="str">
        <f>IF(Table13_1[[#This Row],[smoker]]="yes","smoker","non-smoker")</f>
        <v>non-smoker</v>
      </c>
      <c r="F1169" s="4" t="s">
        <v>9</v>
      </c>
      <c r="G1169" s="5">
        <v>29</v>
      </c>
      <c r="H1169" s="5">
        <f>IF(Table13_1[[#This Row],[smoker]]="yes",1,0)</f>
        <v>0</v>
      </c>
      <c r="I1169" s="4">
        <v>24.6</v>
      </c>
      <c r="J1169" s="4">
        <v>2</v>
      </c>
      <c r="K1169" s="12">
        <v>4529.4769999999999</v>
      </c>
      <c r="N1169">
        <v>1014</v>
      </c>
      <c r="O1169">
        <v>11143.309600983321</v>
      </c>
      <c r="P1169">
        <v>-2378.0606009833209</v>
      </c>
    </row>
    <row r="1170" spans="1:16" x14ac:dyDescent="0.25">
      <c r="A1170" s="4" t="s">
        <v>10</v>
      </c>
      <c r="B1170" s="4">
        <f>ROUND(Table13_1[[#This Row],[bmi]],1)</f>
        <v>35.200000000000003</v>
      </c>
      <c r="C1170" s="4" t="str" cm="1">
        <f t="array" ref="C1170">_xlfn.IFS(Table13_1[[#This Row],[Round BMI]]&lt;18.5,"Underweight",AND(Table13_1[[#This Row],[Round BMI]]&gt;=18.5,Table13_1[[#This Row],[Round BMI]] &lt;=24.9),"Healthy Weight",AND(Table13_1[[#This Row],[Round BMI]]&gt;=25,Table13_1[[#This Row],[Round BMI]]&lt;=29.9),"Overweight",Table13_1[[#This Row],[Round BMI]]&gt;=30,"Obese")</f>
        <v>Obese</v>
      </c>
      <c r="D1170" s="4" t="s">
        <v>11</v>
      </c>
      <c r="E1170" s="4" t="str">
        <f>IF(Table13_1[[#This Row],[smoker]]="yes","smoker","non-smoker")</f>
        <v>non-smoker</v>
      </c>
      <c r="F1170" s="4" t="s">
        <v>9</v>
      </c>
      <c r="G1170" s="5">
        <v>32</v>
      </c>
      <c r="H1170" s="5">
        <f>IF(Table13_1[[#This Row],[smoker]]="yes",1,0)</f>
        <v>0</v>
      </c>
      <c r="I1170" s="4">
        <v>35.200000000000003</v>
      </c>
      <c r="J1170" s="4">
        <v>2</v>
      </c>
      <c r="K1170" s="12">
        <v>4670.6400000000003</v>
      </c>
      <c r="N1170">
        <v>1015</v>
      </c>
      <c r="O1170">
        <v>6578.6106187802397</v>
      </c>
      <c r="P1170">
        <v>-1195.0746187802397</v>
      </c>
    </row>
    <row r="1171" spans="1:16" x14ac:dyDescent="0.25">
      <c r="A1171" s="4" t="s">
        <v>7</v>
      </c>
      <c r="B1171" s="4">
        <f>ROUND(Table13_1[[#This Row],[bmi]],1)</f>
        <v>34.1</v>
      </c>
      <c r="C1171" s="4" t="str" cm="1">
        <f t="array" ref="C1171">_xlfn.IFS(Table13_1[[#This Row],[Round BMI]]&lt;18.5,"Underweight",AND(Table13_1[[#This Row],[Round BMI]]&gt;=18.5,Table13_1[[#This Row],[Round BMI]] &lt;=24.9),"Healthy Weight",AND(Table13_1[[#This Row],[Round BMI]]&gt;=25,Table13_1[[#This Row],[Round BMI]]&lt;=29.9),"Overweight",Table13_1[[#This Row],[Round BMI]]&gt;=30,"Obese")</f>
        <v>Obese</v>
      </c>
      <c r="D1171" s="4" t="s">
        <v>11</v>
      </c>
      <c r="E1171" s="4" t="str">
        <f>IF(Table13_1[[#This Row],[smoker]]="yes","smoker","non-smoker")</f>
        <v>non-smoker</v>
      </c>
      <c r="F1171" s="4" t="s">
        <v>13</v>
      </c>
      <c r="G1171" s="5">
        <v>37</v>
      </c>
      <c r="H1171" s="5">
        <f>IF(Table13_1[[#This Row],[smoker]]="yes",1,0)</f>
        <v>0</v>
      </c>
      <c r="I1171" s="4">
        <v>34.104999999999997</v>
      </c>
      <c r="J1171" s="4">
        <v>1</v>
      </c>
      <c r="K1171" s="12">
        <v>6112.3530000000001</v>
      </c>
      <c r="N1171">
        <v>1016</v>
      </c>
      <c r="O1171">
        <v>11304.68827063752</v>
      </c>
      <c r="P1171">
        <v>820.30412936247922</v>
      </c>
    </row>
    <row r="1172" spans="1:16" x14ac:dyDescent="0.25">
      <c r="A1172" s="4" t="s">
        <v>10</v>
      </c>
      <c r="B1172" s="4">
        <f>ROUND(Table13_1[[#This Row],[bmi]],1)</f>
        <v>27.4</v>
      </c>
      <c r="C1172" s="4" t="str" cm="1">
        <f t="array" ref="C1172">_xlfn.IFS(Table13_1[[#This Row],[Round BMI]]&lt;18.5,"Underweight",AND(Table13_1[[#This Row],[Round BMI]]&gt;=18.5,Table13_1[[#This Row],[Round BMI]] &lt;=24.9),"Healthy Weight",AND(Table13_1[[#This Row],[Round BMI]]&gt;=25,Table13_1[[#This Row],[Round BMI]]&lt;=29.9),"Overweight",Table13_1[[#This Row],[Round BMI]]&gt;=30,"Obese")</f>
        <v>Overweight</v>
      </c>
      <c r="D1172" s="4" t="s">
        <v>8</v>
      </c>
      <c r="E1172" s="4" t="str">
        <f>IF(Table13_1[[#This Row],[smoker]]="yes","smoker","non-smoker")</f>
        <v>smoker</v>
      </c>
      <c r="F1172" s="4" t="s">
        <v>14</v>
      </c>
      <c r="G1172" s="5">
        <v>18</v>
      </c>
      <c r="H1172" s="5">
        <f>IF(Table13_1[[#This Row],[smoker]]="yes",1,0)</f>
        <v>1</v>
      </c>
      <c r="I1172" s="4">
        <v>27.36</v>
      </c>
      <c r="J1172" s="4">
        <v>1</v>
      </c>
      <c r="K1172" s="12">
        <v>17178.682400000002</v>
      </c>
      <c r="N1172">
        <v>1017</v>
      </c>
      <c r="O1172">
        <v>1189.0273435398681</v>
      </c>
      <c r="P1172">
        <v>1520.2166564601321</v>
      </c>
    </row>
    <row r="1173" spans="1:16" x14ac:dyDescent="0.25">
      <c r="A1173" s="4" t="s">
        <v>7</v>
      </c>
      <c r="B1173" s="4">
        <f>ROUND(Table13_1[[#This Row],[bmi]],1)</f>
        <v>26.7</v>
      </c>
      <c r="C1173" s="4" t="str" cm="1">
        <f t="array" ref="C1173">_xlfn.IFS(Table13_1[[#This Row],[Round BMI]]&lt;18.5,"Underweight",AND(Table13_1[[#This Row],[Round BMI]]&gt;=18.5,Table13_1[[#This Row],[Round BMI]] &lt;=24.9),"Healthy Weight",AND(Table13_1[[#This Row],[Round BMI]]&gt;=25,Table13_1[[#This Row],[Round BMI]]&lt;=29.9),"Overweight",Table13_1[[#This Row],[Round BMI]]&gt;=30,"Obese")</f>
        <v>Overweight</v>
      </c>
      <c r="D1173" s="4" t="s">
        <v>8</v>
      </c>
      <c r="E1173" s="4" t="str">
        <f>IF(Table13_1[[#This Row],[smoker]]="yes","smoker","non-smoker")</f>
        <v>smoker</v>
      </c>
      <c r="F1173" s="4" t="s">
        <v>9</v>
      </c>
      <c r="G1173" s="5">
        <v>43</v>
      </c>
      <c r="H1173" s="5">
        <f>IF(Table13_1[[#This Row],[smoker]]="yes",1,0)</f>
        <v>1</v>
      </c>
      <c r="I1173" s="4">
        <v>26.7</v>
      </c>
      <c r="J1173" s="4">
        <v>2</v>
      </c>
      <c r="K1173" s="12">
        <v>22478.6</v>
      </c>
      <c r="N1173">
        <v>1018</v>
      </c>
      <c r="O1173">
        <v>6555.6404206596171</v>
      </c>
      <c r="P1173">
        <v>-2567.7144206596172</v>
      </c>
    </row>
    <row r="1174" spans="1:16" x14ac:dyDescent="0.25">
      <c r="A1174" s="4" t="s">
        <v>7</v>
      </c>
      <c r="B1174" s="4">
        <f>ROUND(Table13_1[[#This Row],[bmi]],1)</f>
        <v>41.9</v>
      </c>
      <c r="C1174" s="4" t="str" cm="1">
        <f t="array" ref="C1174">_xlfn.IFS(Table13_1[[#This Row],[Round BMI]]&lt;18.5,"Underweight",AND(Table13_1[[#This Row],[Round BMI]]&gt;=18.5,Table13_1[[#This Row],[Round BMI]] &lt;=24.9),"Healthy Weight",AND(Table13_1[[#This Row],[Round BMI]]&gt;=25,Table13_1[[#This Row],[Round BMI]]&lt;=29.9),"Overweight",Table13_1[[#This Row],[Round BMI]]&gt;=30,"Obese")</f>
        <v>Obese</v>
      </c>
      <c r="D1174" s="4" t="s">
        <v>11</v>
      </c>
      <c r="E1174" s="4" t="str">
        <f>IF(Table13_1[[#This Row],[smoker]]="yes","smoker","non-smoker")</f>
        <v>non-smoker</v>
      </c>
      <c r="F1174" s="4" t="s">
        <v>12</v>
      </c>
      <c r="G1174" s="5">
        <v>56</v>
      </c>
      <c r="H1174" s="5">
        <f>IF(Table13_1[[#This Row],[smoker]]="yes",1,0)</f>
        <v>0</v>
      </c>
      <c r="I1174" s="4">
        <v>41.91</v>
      </c>
      <c r="J1174" s="4">
        <v>0</v>
      </c>
      <c r="K1174" s="12">
        <v>11093.6229</v>
      </c>
      <c r="N1174">
        <v>1019</v>
      </c>
      <c r="O1174">
        <v>14768.718957043962</v>
      </c>
      <c r="P1174">
        <v>-2273.4281570439616</v>
      </c>
    </row>
    <row r="1175" spans="1:16" x14ac:dyDescent="0.25">
      <c r="A1175" s="4" t="s">
        <v>10</v>
      </c>
      <c r="B1175" s="4">
        <f>ROUND(Table13_1[[#This Row],[bmi]],1)</f>
        <v>29.3</v>
      </c>
      <c r="C1175" s="4" t="str" cm="1">
        <f t="array" ref="C1175">_xlfn.IFS(Table13_1[[#This Row],[Round BMI]]&lt;18.5,"Underweight",AND(Table13_1[[#This Row],[Round BMI]]&gt;=18.5,Table13_1[[#This Row],[Round BMI]] &lt;=24.9),"Healthy Weight",AND(Table13_1[[#This Row],[Round BMI]]&gt;=25,Table13_1[[#This Row],[Round BMI]]&lt;=29.9),"Overweight",Table13_1[[#This Row],[Round BMI]]&gt;=30,"Obese")</f>
        <v>Overweight</v>
      </c>
      <c r="D1175" s="4" t="s">
        <v>11</v>
      </c>
      <c r="E1175" s="4" t="str">
        <f>IF(Table13_1[[#This Row],[smoker]]="yes","smoker","non-smoker")</f>
        <v>non-smoker</v>
      </c>
      <c r="F1175" s="4" t="s">
        <v>13</v>
      </c>
      <c r="G1175" s="5">
        <v>38</v>
      </c>
      <c r="H1175" s="5">
        <f>IF(Table13_1[[#This Row],[smoker]]="yes",1,0)</f>
        <v>0</v>
      </c>
      <c r="I1175" s="4">
        <v>29.26</v>
      </c>
      <c r="J1175" s="4">
        <v>2</v>
      </c>
      <c r="K1175" s="12">
        <v>6457.8433999999997</v>
      </c>
      <c r="N1175">
        <v>1020</v>
      </c>
      <c r="O1175">
        <v>4777.1787516891936</v>
      </c>
      <c r="P1175">
        <v>21241.771748310806</v>
      </c>
    </row>
    <row r="1176" spans="1:16" x14ac:dyDescent="0.25">
      <c r="A1176" s="4" t="s">
        <v>10</v>
      </c>
      <c r="B1176" s="4">
        <f>ROUND(Table13_1[[#This Row],[bmi]],1)</f>
        <v>32.1</v>
      </c>
      <c r="C1176" s="4" t="str" cm="1">
        <f t="array" ref="C1176">_xlfn.IFS(Table13_1[[#This Row],[Round BMI]]&lt;18.5,"Underweight",AND(Table13_1[[#This Row],[Round BMI]]&gt;=18.5,Table13_1[[#This Row],[Round BMI]] &lt;=24.9),"Healthy Weight",AND(Table13_1[[#This Row],[Round BMI]]&gt;=25,Table13_1[[#This Row],[Round BMI]]&lt;=29.9),"Overweight",Table13_1[[#This Row],[Round BMI]]&gt;=30,"Obese")</f>
        <v>Obese</v>
      </c>
      <c r="D1176" s="4" t="s">
        <v>11</v>
      </c>
      <c r="E1176" s="4" t="str">
        <f>IF(Table13_1[[#This Row],[smoker]]="yes","smoker","non-smoker")</f>
        <v>non-smoker</v>
      </c>
      <c r="F1176" s="4" t="s">
        <v>13</v>
      </c>
      <c r="G1176" s="5">
        <v>29</v>
      </c>
      <c r="H1176" s="5">
        <f>IF(Table13_1[[#This Row],[smoker]]="yes",1,0)</f>
        <v>0</v>
      </c>
      <c r="I1176" s="4">
        <v>32.11</v>
      </c>
      <c r="J1176" s="4">
        <v>2</v>
      </c>
      <c r="K1176" s="12">
        <v>4433.9159</v>
      </c>
      <c r="N1176">
        <v>1021</v>
      </c>
      <c r="O1176">
        <v>12956.057400782263</v>
      </c>
      <c r="P1176">
        <v>-4157.4644007822626</v>
      </c>
    </row>
    <row r="1177" spans="1:16" x14ac:dyDescent="0.25">
      <c r="A1177" s="4" t="s">
        <v>7</v>
      </c>
      <c r="B1177" s="4">
        <f>ROUND(Table13_1[[#This Row],[bmi]],1)</f>
        <v>27.1</v>
      </c>
      <c r="C1177" s="4" t="str" cm="1">
        <f t="array" ref="C1177">_xlfn.IFS(Table13_1[[#This Row],[Round BMI]]&lt;18.5,"Underweight",AND(Table13_1[[#This Row],[Round BMI]]&gt;=18.5,Table13_1[[#This Row],[Round BMI]] &lt;=24.9),"Healthy Weight",AND(Table13_1[[#This Row],[Round BMI]]&gt;=25,Table13_1[[#This Row],[Round BMI]]&lt;=29.9),"Overweight",Table13_1[[#This Row],[Round BMI]]&gt;=30,"Obese")</f>
        <v>Overweight</v>
      </c>
      <c r="D1177" s="4" t="s">
        <v>11</v>
      </c>
      <c r="E1177" s="4" t="str">
        <f>IF(Table13_1[[#This Row],[smoker]]="yes","smoker","non-smoker")</f>
        <v>non-smoker</v>
      </c>
      <c r="F1177" s="4" t="s">
        <v>9</v>
      </c>
      <c r="G1177" s="5">
        <v>22</v>
      </c>
      <c r="H1177" s="5">
        <f>IF(Table13_1[[#This Row],[smoker]]="yes",1,0)</f>
        <v>0</v>
      </c>
      <c r="I1177" s="4">
        <v>27.1</v>
      </c>
      <c r="J1177" s="4">
        <v>0</v>
      </c>
      <c r="K1177" s="12">
        <v>2154.3609999999999</v>
      </c>
      <c r="N1177">
        <v>1022</v>
      </c>
      <c r="O1177">
        <v>28785.657091864487</v>
      </c>
      <c r="P1177">
        <v>6809.932708135515</v>
      </c>
    </row>
    <row r="1178" spans="1:16" x14ac:dyDescent="0.25">
      <c r="A1178" s="4" t="s">
        <v>7</v>
      </c>
      <c r="B1178" s="4">
        <f>ROUND(Table13_1[[#This Row],[bmi]],1)</f>
        <v>24.1</v>
      </c>
      <c r="C1178" s="4" t="str" cm="1">
        <f t="array" ref="C1178">_xlfn.IFS(Table13_1[[#This Row],[Round BMI]]&lt;18.5,"Underweight",AND(Table13_1[[#This Row],[Round BMI]]&gt;=18.5,Table13_1[[#This Row],[Round BMI]] &lt;=24.9),"Healthy Weight",AND(Table13_1[[#This Row],[Round BMI]]&gt;=25,Table13_1[[#This Row],[Round BMI]]&lt;=29.9),"Overweight",Table13_1[[#This Row],[Round BMI]]&gt;=30,"Obese")</f>
        <v>Healthy Weight</v>
      </c>
      <c r="D1178" s="4" t="s">
        <v>8</v>
      </c>
      <c r="E1178" s="4" t="str">
        <f>IF(Table13_1[[#This Row],[smoker]]="yes","smoker","non-smoker")</f>
        <v>smoker</v>
      </c>
      <c r="F1178" s="4" t="s">
        <v>13</v>
      </c>
      <c r="G1178" s="5">
        <v>52</v>
      </c>
      <c r="H1178" s="5">
        <f>IF(Table13_1[[#This Row],[smoker]]="yes",1,0)</f>
        <v>1</v>
      </c>
      <c r="I1178" s="4">
        <v>24.13</v>
      </c>
      <c r="J1178" s="4">
        <v>1</v>
      </c>
      <c r="K1178" s="12">
        <v>23887.662700000001</v>
      </c>
      <c r="N1178">
        <v>1023</v>
      </c>
      <c r="O1178">
        <v>35913.458242408269</v>
      </c>
      <c r="P1178">
        <v>6297.6799575917321</v>
      </c>
    </row>
    <row r="1179" spans="1:16" x14ac:dyDescent="0.25">
      <c r="A1179" s="4" t="s">
        <v>7</v>
      </c>
      <c r="B1179" s="4">
        <f>ROUND(Table13_1[[#This Row],[bmi]],1)</f>
        <v>27.4</v>
      </c>
      <c r="C1179" s="4" t="str" cm="1">
        <f t="array" ref="C1179">_xlfn.IFS(Table13_1[[#This Row],[Round BMI]]&lt;18.5,"Underweight",AND(Table13_1[[#This Row],[Round BMI]]&gt;=18.5,Table13_1[[#This Row],[Round BMI]] &lt;=24.9),"Healthy Weight",AND(Table13_1[[#This Row],[Round BMI]]&gt;=25,Table13_1[[#This Row],[Round BMI]]&lt;=29.9),"Overweight",Table13_1[[#This Row],[Round BMI]]&gt;=30,"Obese")</f>
        <v>Overweight</v>
      </c>
      <c r="D1179" s="4" t="s">
        <v>11</v>
      </c>
      <c r="E1179" s="4" t="str">
        <f>IF(Table13_1[[#This Row],[smoker]]="yes","smoker","non-smoker")</f>
        <v>non-smoker</v>
      </c>
      <c r="F1179" s="4" t="s">
        <v>9</v>
      </c>
      <c r="G1179" s="5">
        <v>40</v>
      </c>
      <c r="H1179" s="5">
        <f>IF(Table13_1[[#This Row],[smoker]]="yes",1,0)</f>
        <v>0</v>
      </c>
      <c r="I1179" s="4">
        <v>27.4</v>
      </c>
      <c r="J1179" s="4">
        <v>1</v>
      </c>
      <c r="K1179" s="12">
        <v>6496.8860000000004</v>
      </c>
      <c r="N1179">
        <v>1024</v>
      </c>
      <c r="O1179">
        <v>517.59878355855415</v>
      </c>
      <c r="P1179">
        <v>1193.4280164414458</v>
      </c>
    </row>
    <row r="1180" spans="1:16" x14ac:dyDescent="0.25">
      <c r="A1180" s="4" t="s">
        <v>7</v>
      </c>
      <c r="B1180" s="4">
        <f>ROUND(Table13_1[[#This Row],[bmi]],1)</f>
        <v>34.9</v>
      </c>
      <c r="C1180" s="4" t="str" cm="1">
        <f t="array" ref="C1180">_xlfn.IFS(Table13_1[[#This Row],[Round BMI]]&lt;18.5,"Underweight",AND(Table13_1[[#This Row],[Round BMI]]&gt;=18.5,Table13_1[[#This Row],[Round BMI]] &lt;=24.9),"Healthy Weight",AND(Table13_1[[#This Row],[Round BMI]]&gt;=25,Table13_1[[#This Row],[Round BMI]]&lt;=29.9),"Overweight",Table13_1[[#This Row],[Round BMI]]&gt;=30,"Obese")</f>
        <v>Obese</v>
      </c>
      <c r="D1180" s="4" t="s">
        <v>11</v>
      </c>
      <c r="E1180" s="4" t="str">
        <f>IF(Table13_1[[#This Row],[smoker]]="yes","smoker","non-smoker")</f>
        <v>non-smoker</v>
      </c>
      <c r="F1180" s="4" t="s">
        <v>14</v>
      </c>
      <c r="G1180" s="5">
        <v>23</v>
      </c>
      <c r="H1180" s="5">
        <f>IF(Table13_1[[#This Row],[smoker]]="yes",1,0)</f>
        <v>0</v>
      </c>
      <c r="I1180" s="4">
        <v>34.865000000000002</v>
      </c>
      <c r="J1180" s="4">
        <v>0</v>
      </c>
      <c r="K1180" s="12">
        <v>2899.4893999999999</v>
      </c>
      <c r="N1180">
        <v>1025</v>
      </c>
      <c r="O1180">
        <v>15075.965358645552</v>
      </c>
      <c r="P1180">
        <v>-6506.1035586455509</v>
      </c>
    </row>
    <row r="1181" spans="1:16" x14ac:dyDescent="0.25">
      <c r="A1181" s="4" t="s">
        <v>10</v>
      </c>
      <c r="B1181" s="4">
        <f>ROUND(Table13_1[[#This Row],[bmi]],1)</f>
        <v>29.8</v>
      </c>
      <c r="C1181" s="4" t="str" cm="1">
        <f t="array" ref="C1181">_xlfn.IFS(Table13_1[[#This Row],[Round BMI]]&lt;18.5,"Underweight",AND(Table13_1[[#This Row],[Round BMI]]&gt;=18.5,Table13_1[[#This Row],[Round BMI]] &lt;=24.9),"Healthy Weight",AND(Table13_1[[#This Row],[Round BMI]]&gt;=25,Table13_1[[#This Row],[Round BMI]]&lt;=29.9),"Overweight",Table13_1[[#This Row],[Round BMI]]&gt;=30,"Obese")</f>
        <v>Overweight</v>
      </c>
      <c r="D1181" s="4" t="s">
        <v>8</v>
      </c>
      <c r="E1181" s="4" t="str">
        <f>IF(Table13_1[[#This Row],[smoker]]="yes","smoker","non-smoker")</f>
        <v>smoker</v>
      </c>
      <c r="F1181" s="4" t="s">
        <v>12</v>
      </c>
      <c r="G1181" s="5">
        <v>31</v>
      </c>
      <c r="H1181" s="5">
        <f>IF(Table13_1[[#This Row],[smoker]]="yes",1,0)</f>
        <v>1</v>
      </c>
      <c r="I1181" s="4">
        <v>29.81</v>
      </c>
      <c r="J1181" s="4">
        <v>0</v>
      </c>
      <c r="K1181" s="12">
        <v>19350.368900000001</v>
      </c>
      <c r="N1181">
        <v>1026</v>
      </c>
      <c r="O1181">
        <v>4448.1288140526758</v>
      </c>
      <c r="P1181">
        <v>-2427.9518140526761</v>
      </c>
    </row>
    <row r="1182" spans="1:16" x14ac:dyDescent="0.25">
      <c r="A1182" s="4" t="s">
        <v>7</v>
      </c>
      <c r="B1182" s="4">
        <f>ROUND(Table13_1[[#This Row],[bmi]],1)</f>
        <v>41.3</v>
      </c>
      <c r="C1182" s="4" t="str" cm="1">
        <f t="array" ref="C1182">_xlfn.IFS(Table13_1[[#This Row],[Round BMI]]&lt;18.5,"Underweight",AND(Table13_1[[#This Row],[Round BMI]]&gt;=18.5,Table13_1[[#This Row],[Round BMI]] &lt;=24.9),"Healthy Weight",AND(Table13_1[[#This Row],[Round BMI]]&gt;=25,Table13_1[[#This Row],[Round BMI]]&lt;=29.9),"Overweight",Table13_1[[#This Row],[Round BMI]]&gt;=30,"Obese")</f>
        <v>Obese</v>
      </c>
      <c r="D1182" s="4" t="s">
        <v>11</v>
      </c>
      <c r="E1182" s="4" t="str">
        <f>IF(Table13_1[[#This Row],[smoker]]="yes","smoker","non-smoker")</f>
        <v>non-smoker</v>
      </c>
      <c r="F1182" s="4" t="s">
        <v>14</v>
      </c>
      <c r="G1182" s="5">
        <v>42</v>
      </c>
      <c r="H1182" s="5">
        <f>IF(Table13_1[[#This Row],[smoker]]="yes",1,0)</f>
        <v>0</v>
      </c>
      <c r="I1182" s="4">
        <v>41.325000000000003</v>
      </c>
      <c r="J1182" s="4">
        <v>1</v>
      </c>
      <c r="K1182" s="12">
        <v>7650.7737999999999</v>
      </c>
      <c r="N1182">
        <v>1027</v>
      </c>
      <c r="O1182">
        <v>25459.065438604117</v>
      </c>
      <c r="P1182">
        <v>-9008.1707386041162</v>
      </c>
    </row>
    <row r="1183" spans="1:16" x14ac:dyDescent="0.25">
      <c r="A1183" s="4" t="s">
        <v>7</v>
      </c>
      <c r="B1183" s="4">
        <f>ROUND(Table13_1[[#This Row],[bmi]],1)</f>
        <v>29.9</v>
      </c>
      <c r="C1183" s="4" t="str" cm="1">
        <f t="array" ref="C1183">_xlfn.IFS(Table13_1[[#This Row],[Round BMI]]&lt;18.5,"Underweight",AND(Table13_1[[#This Row],[Round BMI]]&gt;=18.5,Table13_1[[#This Row],[Round BMI]] &lt;=24.9),"Healthy Weight",AND(Table13_1[[#This Row],[Round BMI]]&gt;=25,Table13_1[[#This Row],[Round BMI]]&lt;=29.9),"Overweight",Table13_1[[#This Row],[Round BMI]]&gt;=30,"Obese")</f>
        <v>Overweight</v>
      </c>
      <c r="D1183" s="4" t="s">
        <v>11</v>
      </c>
      <c r="E1183" s="4" t="str">
        <f>IF(Table13_1[[#This Row],[smoker]]="yes","smoker","non-smoker")</f>
        <v>non-smoker</v>
      </c>
      <c r="F1183" s="4" t="s">
        <v>13</v>
      </c>
      <c r="G1183" s="5">
        <v>24</v>
      </c>
      <c r="H1183" s="5">
        <f>IF(Table13_1[[#This Row],[smoker]]="yes",1,0)</f>
        <v>0</v>
      </c>
      <c r="I1183" s="4">
        <v>29.925000000000001</v>
      </c>
      <c r="J1183" s="4">
        <v>0</v>
      </c>
      <c r="K1183" s="12">
        <v>2850.6837999999998</v>
      </c>
      <c r="N1183">
        <v>1028</v>
      </c>
      <c r="O1183">
        <v>-148.78170541927375</v>
      </c>
      <c r="P1183">
        <v>21744.164005419276</v>
      </c>
    </row>
    <row r="1184" spans="1:16" x14ac:dyDescent="0.25">
      <c r="A1184" s="4" t="s">
        <v>7</v>
      </c>
      <c r="B1184" s="4">
        <f>ROUND(Table13_1[[#This Row],[bmi]],1)</f>
        <v>30.3</v>
      </c>
      <c r="C1184" s="4" t="str" cm="1">
        <f t="array" ref="C1184">_xlfn.IFS(Table13_1[[#This Row],[Round BMI]]&lt;18.5,"Underweight",AND(Table13_1[[#This Row],[Round BMI]]&gt;=18.5,Table13_1[[#This Row],[Round BMI]] &lt;=24.9),"Healthy Weight",AND(Table13_1[[#This Row],[Round BMI]]&gt;=25,Table13_1[[#This Row],[Round BMI]]&lt;=29.9),"Overweight",Table13_1[[#This Row],[Round BMI]]&gt;=30,"Obese")</f>
        <v>Obese</v>
      </c>
      <c r="D1184" s="4" t="s">
        <v>11</v>
      </c>
      <c r="E1184" s="4" t="str">
        <f>IF(Table13_1[[#This Row],[smoker]]="yes","smoker","non-smoker")</f>
        <v>non-smoker</v>
      </c>
      <c r="F1184" s="4" t="s">
        <v>9</v>
      </c>
      <c r="G1184" s="5">
        <v>25</v>
      </c>
      <c r="H1184" s="5">
        <f>IF(Table13_1[[#This Row],[smoker]]="yes",1,0)</f>
        <v>0</v>
      </c>
      <c r="I1184" s="4">
        <v>30.3</v>
      </c>
      <c r="J1184" s="4">
        <v>0</v>
      </c>
      <c r="K1184" s="12">
        <v>2632.9920000000002</v>
      </c>
      <c r="N1184">
        <v>1029</v>
      </c>
      <c r="O1184">
        <v>11991.608347430783</v>
      </c>
      <c r="P1184">
        <v>-2141.1763474307827</v>
      </c>
    </row>
    <row r="1185" spans="1:16" x14ac:dyDescent="0.25">
      <c r="A1185" s="4" t="s">
        <v>7</v>
      </c>
      <c r="B1185" s="4">
        <f>ROUND(Table13_1[[#This Row],[bmi]],1)</f>
        <v>27.4</v>
      </c>
      <c r="C1185" s="4" t="str" cm="1">
        <f t="array" ref="C1185">_xlfn.IFS(Table13_1[[#This Row],[Round BMI]]&lt;18.5,"Underweight",AND(Table13_1[[#This Row],[Round BMI]]&gt;=18.5,Table13_1[[#This Row],[Round BMI]] &lt;=24.9),"Healthy Weight",AND(Table13_1[[#This Row],[Round BMI]]&gt;=25,Table13_1[[#This Row],[Round BMI]]&lt;=29.9),"Overweight",Table13_1[[#This Row],[Round BMI]]&gt;=30,"Obese")</f>
        <v>Overweight</v>
      </c>
      <c r="D1185" s="4" t="s">
        <v>11</v>
      </c>
      <c r="E1185" s="4" t="str">
        <f>IF(Table13_1[[#This Row],[smoker]]="yes","smoker","non-smoker")</f>
        <v>non-smoker</v>
      </c>
      <c r="F1185" s="4" t="s">
        <v>14</v>
      </c>
      <c r="G1185" s="5">
        <v>48</v>
      </c>
      <c r="H1185" s="5">
        <f>IF(Table13_1[[#This Row],[smoker]]="yes",1,0)</f>
        <v>0</v>
      </c>
      <c r="I1185" s="4">
        <v>27.36</v>
      </c>
      <c r="J1185" s="4">
        <v>1</v>
      </c>
      <c r="K1185" s="12">
        <v>9447.3824000000004</v>
      </c>
      <c r="N1185">
        <v>1030</v>
      </c>
      <c r="O1185">
        <v>3949.4777792486275</v>
      </c>
      <c r="P1185">
        <v>2928.5023207513723</v>
      </c>
    </row>
    <row r="1186" spans="1:16" x14ac:dyDescent="0.25">
      <c r="A1186" s="4" t="s">
        <v>7</v>
      </c>
      <c r="B1186" s="4">
        <f>ROUND(Table13_1[[#This Row],[bmi]],1)</f>
        <v>28.5</v>
      </c>
      <c r="C1186" s="4" t="str" cm="1">
        <f t="array" ref="C1186">_xlfn.IFS(Table13_1[[#This Row],[Round BMI]]&lt;18.5,"Underweight",AND(Table13_1[[#This Row],[Round BMI]]&gt;=18.5,Table13_1[[#This Row],[Round BMI]] &lt;=24.9),"Healthy Weight",AND(Table13_1[[#This Row],[Round BMI]]&gt;=25,Table13_1[[#This Row],[Round BMI]]&lt;=29.9),"Overweight",Table13_1[[#This Row],[Round BMI]]&gt;=30,"Obese")</f>
        <v>Overweight</v>
      </c>
      <c r="D1186" s="4" t="s">
        <v>8</v>
      </c>
      <c r="E1186" s="4" t="str">
        <f>IF(Table13_1[[#This Row],[smoker]]="yes","smoker","non-smoker")</f>
        <v>smoker</v>
      </c>
      <c r="F1186" s="4" t="s">
        <v>12</v>
      </c>
      <c r="G1186" s="5">
        <v>23</v>
      </c>
      <c r="H1186" s="5">
        <f>IF(Table13_1[[#This Row],[smoker]]="yes",1,0)</f>
        <v>1</v>
      </c>
      <c r="I1186" s="4">
        <v>28.49</v>
      </c>
      <c r="J1186" s="4">
        <v>1</v>
      </c>
      <c r="K1186" s="12">
        <v>18328.238099999999</v>
      </c>
      <c r="N1186">
        <v>1031</v>
      </c>
      <c r="O1186">
        <v>31656.605054775846</v>
      </c>
      <c r="P1186">
        <v>-9979.3216547758457</v>
      </c>
    </row>
    <row r="1187" spans="1:16" x14ac:dyDescent="0.25">
      <c r="A1187" s="4" t="s">
        <v>10</v>
      </c>
      <c r="B1187" s="4">
        <f>ROUND(Table13_1[[#This Row],[bmi]],1)</f>
        <v>23.6</v>
      </c>
      <c r="C1187" s="4" t="str" cm="1">
        <f t="array" ref="C1187">_xlfn.IFS(Table13_1[[#This Row],[Round BMI]]&lt;18.5,"Underweight",AND(Table13_1[[#This Row],[Round BMI]]&gt;=18.5,Table13_1[[#This Row],[Round BMI]] &lt;=24.9),"Healthy Weight",AND(Table13_1[[#This Row],[Round BMI]]&gt;=25,Table13_1[[#This Row],[Round BMI]]&lt;=29.9),"Overweight",Table13_1[[#This Row],[Round BMI]]&gt;=30,"Obese")</f>
        <v>Healthy Weight</v>
      </c>
      <c r="D1187" s="4" t="s">
        <v>11</v>
      </c>
      <c r="E1187" s="4" t="str">
        <f>IF(Table13_1[[#This Row],[smoker]]="yes","smoker","non-smoker")</f>
        <v>non-smoker</v>
      </c>
      <c r="F1187" s="4" t="s">
        <v>14</v>
      </c>
      <c r="G1187" s="5">
        <v>45</v>
      </c>
      <c r="H1187" s="5">
        <f>IF(Table13_1[[#This Row],[smoker]]="yes",1,0)</f>
        <v>0</v>
      </c>
      <c r="I1187" s="4">
        <v>23.56</v>
      </c>
      <c r="J1187" s="4">
        <v>2</v>
      </c>
      <c r="K1187" s="12">
        <v>8603.8233999999993</v>
      </c>
      <c r="N1187">
        <v>1032</v>
      </c>
      <c r="O1187">
        <v>37219.522751005032</v>
      </c>
      <c r="P1187">
        <v>7204.2802489949681</v>
      </c>
    </row>
    <row r="1188" spans="1:16" x14ac:dyDescent="0.25">
      <c r="A1188" s="4" t="s">
        <v>10</v>
      </c>
      <c r="B1188" s="4">
        <f>ROUND(Table13_1[[#This Row],[bmi]],1)</f>
        <v>35.6</v>
      </c>
      <c r="C1188" s="4" t="str" cm="1">
        <f t="array" ref="C1188">_xlfn.IFS(Table13_1[[#This Row],[Round BMI]]&lt;18.5,"Underweight",AND(Table13_1[[#This Row],[Round BMI]]&gt;=18.5,Table13_1[[#This Row],[Round BMI]] &lt;=24.9),"Healthy Weight",AND(Table13_1[[#This Row],[Round BMI]]&gt;=25,Table13_1[[#This Row],[Round BMI]]&lt;=29.9),"Overweight",Table13_1[[#This Row],[Round BMI]]&gt;=30,"Obese")</f>
        <v>Obese</v>
      </c>
      <c r="D1188" s="4" t="s">
        <v>8</v>
      </c>
      <c r="E1188" s="4" t="str">
        <f>IF(Table13_1[[#This Row],[smoker]]="yes","smoker","non-smoker")</f>
        <v>smoker</v>
      </c>
      <c r="F1188" s="4" t="s">
        <v>13</v>
      </c>
      <c r="G1188" s="5">
        <v>20</v>
      </c>
      <c r="H1188" s="5">
        <f>IF(Table13_1[[#This Row],[smoker]]="yes",1,0)</f>
        <v>1</v>
      </c>
      <c r="I1188" s="4">
        <v>35.625</v>
      </c>
      <c r="J1188" s="4">
        <v>3</v>
      </c>
      <c r="K1188" s="12">
        <v>37465.343800000002</v>
      </c>
      <c r="N1188">
        <v>1033</v>
      </c>
      <c r="O1188">
        <v>4622.0255230749908</v>
      </c>
      <c r="P1188">
        <v>-484.50282307499037</v>
      </c>
    </row>
    <row r="1189" spans="1:16" x14ac:dyDescent="0.25">
      <c r="A1189" s="4" t="s">
        <v>7</v>
      </c>
      <c r="B1189" s="4">
        <f>ROUND(Table13_1[[#This Row],[bmi]],1)</f>
        <v>32.700000000000003</v>
      </c>
      <c r="C1189" s="4" t="str" cm="1">
        <f t="array" ref="C1189">_xlfn.IFS(Table13_1[[#This Row],[Round BMI]]&lt;18.5,"Underweight",AND(Table13_1[[#This Row],[Round BMI]]&gt;=18.5,Table13_1[[#This Row],[Round BMI]] &lt;=24.9),"Healthy Weight",AND(Table13_1[[#This Row],[Round BMI]]&gt;=25,Table13_1[[#This Row],[Round BMI]]&lt;=29.9),"Overweight",Table13_1[[#This Row],[Round BMI]]&gt;=30,"Obese")</f>
        <v>Obese</v>
      </c>
      <c r="D1189" s="4" t="s">
        <v>11</v>
      </c>
      <c r="E1189" s="4" t="str">
        <f>IF(Table13_1[[#This Row],[smoker]]="yes","smoker","non-smoker")</f>
        <v>non-smoker</v>
      </c>
      <c r="F1189" s="4" t="s">
        <v>13</v>
      </c>
      <c r="G1189" s="5">
        <v>62</v>
      </c>
      <c r="H1189" s="5">
        <f>IF(Table13_1[[#This Row],[smoker]]="yes",1,0)</f>
        <v>0</v>
      </c>
      <c r="I1189" s="4">
        <v>32.68</v>
      </c>
      <c r="J1189" s="4">
        <v>0</v>
      </c>
      <c r="K1189" s="12">
        <v>13844.797200000001</v>
      </c>
      <c r="N1189">
        <v>1034</v>
      </c>
      <c r="O1189">
        <v>23290.647102041927</v>
      </c>
      <c r="P1189">
        <v>-9542.7747020419265</v>
      </c>
    </row>
    <row r="1190" spans="1:16" x14ac:dyDescent="0.25">
      <c r="A1190" s="4" t="s">
        <v>7</v>
      </c>
      <c r="B1190" s="4">
        <f>ROUND(Table13_1[[#This Row],[bmi]],1)</f>
        <v>25.3</v>
      </c>
      <c r="C1190" s="4" t="str" cm="1">
        <f t="array" ref="C1190">_xlfn.IFS(Table13_1[[#This Row],[Round BMI]]&lt;18.5,"Underweight",AND(Table13_1[[#This Row],[Round BMI]]&gt;=18.5,Table13_1[[#This Row],[Round BMI]] &lt;=24.9),"Healthy Weight",AND(Table13_1[[#This Row],[Round BMI]]&gt;=25,Table13_1[[#This Row],[Round BMI]]&lt;=29.9),"Overweight",Table13_1[[#This Row],[Round BMI]]&gt;=30,"Obese")</f>
        <v>Overweight</v>
      </c>
      <c r="D1190" s="4" t="s">
        <v>8</v>
      </c>
      <c r="E1190" s="4" t="str">
        <f>IF(Table13_1[[#This Row],[smoker]]="yes","smoker","non-smoker")</f>
        <v>smoker</v>
      </c>
      <c r="F1190" s="4" t="s">
        <v>14</v>
      </c>
      <c r="G1190" s="5">
        <v>43</v>
      </c>
      <c r="H1190" s="5">
        <f>IF(Table13_1[[#This Row],[smoker]]="yes",1,0)</f>
        <v>1</v>
      </c>
      <c r="I1190" s="4">
        <v>25.27</v>
      </c>
      <c r="J1190" s="4">
        <v>1</v>
      </c>
      <c r="K1190" s="12">
        <v>21771.3423</v>
      </c>
      <c r="N1190">
        <v>1035</v>
      </c>
      <c r="O1190">
        <v>15978.707410006697</v>
      </c>
      <c r="P1190">
        <v>-3028.6362100066963</v>
      </c>
    </row>
    <row r="1191" spans="1:16" x14ac:dyDescent="0.25">
      <c r="A1191" s="4" t="s">
        <v>7</v>
      </c>
      <c r="B1191" s="4">
        <f>ROUND(Table13_1[[#This Row],[bmi]],1)</f>
        <v>28</v>
      </c>
      <c r="C1191" s="4" t="str" cm="1">
        <f t="array" ref="C1191">_xlfn.IFS(Table13_1[[#This Row],[Round BMI]]&lt;18.5,"Underweight",AND(Table13_1[[#This Row],[Round BMI]]&gt;=18.5,Table13_1[[#This Row],[Round BMI]] &lt;=24.9),"Healthy Weight",AND(Table13_1[[#This Row],[Round BMI]]&gt;=25,Table13_1[[#This Row],[Round BMI]]&lt;=29.9),"Overweight",Table13_1[[#This Row],[Round BMI]]&gt;=30,"Obese")</f>
        <v>Overweight</v>
      </c>
      <c r="D1191" s="4" t="s">
        <v>11</v>
      </c>
      <c r="E1191" s="4" t="str">
        <f>IF(Table13_1[[#This Row],[smoker]]="yes","smoker","non-smoker")</f>
        <v>non-smoker</v>
      </c>
      <c r="F1191" s="4" t="s">
        <v>9</v>
      </c>
      <c r="G1191" s="5">
        <v>23</v>
      </c>
      <c r="H1191" s="5">
        <f>IF(Table13_1[[#This Row],[smoker]]="yes",1,0)</f>
        <v>0</v>
      </c>
      <c r="I1191" s="4">
        <v>28</v>
      </c>
      <c r="J1191" s="4">
        <v>0</v>
      </c>
      <c r="K1191" s="12">
        <v>13126.6774</v>
      </c>
      <c r="N1191">
        <v>1036</v>
      </c>
      <c r="O1191">
        <v>10644.193229633825</v>
      </c>
      <c r="P1191">
        <v>1450.2847703661737</v>
      </c>
    </row>
    <row r="1192" spans="1:16" x14ac:dyDescent="0.25">
      <c r="A1192" s="4" t="s">
        <v>7</v>
      </c>
      <c r="B1192" s="4">
        <f>ROUND(Table13_1[[#This Row],[bmi]],1)</f>
        <v>32.799999999999997</v>
      </c>
      <c r="C1192" s="4" t="str" cm="1">
        <f t="array" ref="C1192">_xlfn.IFS(Table13_1[[#This Row],[Round BMI]]&lt;18.5,"Underweight",AND(Table13_1[[#This Row],[Round BMI]]&gt;=18.5,Table13_1[[#This Row],[Round BMI]] &lt;=24.9),"Healthy Weight",AND(Table13_1[[#This Row],[Round BMI]]&gt;=25,Table13_1[[#This Row],[Round BMI]]&lt;=29.9),"Overweight",Table13_1[[#This Row],[Round BMI]]&gt;=30,"Obese")</f>
        <v>Obese</v>
      </c>
      <c r="D1192" s="4" t="s">
        <v>11</v>
      </c>
      <c r="E1192" s="4" t="str">
        <f>IF(Table13_1[[#This Row],[smoker]]="yes","smoker","non-smoker")</f>
        <v>non-smoker</v>
      </c>
      <c r="F1192" s="4" t="s">
        <v>13</v>
      </c>
      <c r="G1192" s="5">
        <v>31</v>
      </c>
      <c r="H1192" s="5">
        <f>IF(Table13_1[[#This Row],[smoker]]="yes",1,0)</f>
        <v>0</v>
      </c>
      <c r="I1192" s="4">
        <v>32.774999999999999</v>
      </c>
      <c r="J1192" s="4">
        <v>2</v>
      </c>
      <c r="K1192" s="12">
        <v>5327.4002</v>
      </c>
      <c r="N1192">
        <v>1037</v>
      </c>
      <c r="O1192">
        <v>30259.355763507996</v>
      </c>
      <c r="P1192">
        <v>7225.0935364920042</v>
      </c>
    </row>
    <row r="1193" spans="1:16" x14ac:dyDescent="0.25">
      <c r="A1193" s="4" t="s">
        <v>7</v>
      </c>
      <c r="B1193" s="4">
        <f>ROUND(Table13_1[[#This Row],[bmi]],1)</f>
        <v>21.8</v>
      </c>
      <c r="C1193" s="4" t="str" cm="1">
        <f t="array" ref="C1193">_xlfn.IFS(Table13_1[[#This Row],[Round BMI]]&lt;18.5,"Underweight",AND(Table13_1[[#This Row],[Round BMI]]&gt;=18.5,Table13_1[[#This Row],[Round BMI]] &lt;=24.9),"Healthy Weight",AND(Table13_1[[#This Row],[Round BMI]]&gt;=25,Table13_1[[#This Row],[Round BMI]]&lt;=29.9),"Overweight",Table13_1[[#This Row],[Round BMI]]&gt;=30,"Obese")</f>
        <v>Healthy Weight</v>
      </c>
      <c r="D1193" s="4" t="s">
        <v>11</v>
      </c>
      <c r="E1193" s="4" t="str">
        <f>IF(Table13_1[[#This Row],[smoker]]="yes","smoker","non-smoker")</f>
        <v>non-smoker</v>
      </c>
      <c r="F1193" s="4" t="s">
        <v>14</v>
      </c>
      <c r="G1193" s="5">
        <v>41</v>
      </c>
      <c r="H1193" s="5">
        <f>IF(Table13_1[[#This Row],[smoker]]="yes",1,0)</f>
        <v>0</v>
      </c>
      <c r="I1193" s="4">
        <v>21.754999999999999</v>
      </c>
      <c r="J1193" s="4">
        <v>1</v>
      </c>
      <c r="K1193" s="12">
        <v>13725.471799999999</v>
      </c>
      <c r="N1193">
        <v>1038</v>
      </c>
      <c r="O1193">
        <v>33600.219142879389</v>
      </c>
      <c r="P1193">
        <v>6125.2988571206079</v>
      </c>
    </row>
    <row r="1194" spans="1:16" x14ac:dyDescent="0.25">
      <c r="A1194" s="4" t="s">
        <v>7</v>
      </c>
      <c r="B1194" s="4">
        <f>ROUND(Table13_1[[#This Row],[bmi]],1)</f>
        <v>32.4</v>
      </c>
      <c r="C1194" s="4" t="str" cm="1">
        <f t="array" ref="C1194">_xlfn.IFS(Table13_1[[#This Row],[Round BMI]]&lt;18.5,"Underweight",AND(Table13_1[[#This Row],[Round BMI]]&gt;=18.5,Table13_1[[#This Row],[Round BMI]] &lt;=24.9),"Healthy Weight",AND(Table13_1[[#This Row],[Round BMI]]&gt;=25,Table13_1[[#This Row],[Round BMI]]&lt;=29.9),"Overweight",Table13_1[[#This Row],[Round BMI]]&gt;=30,"Obese")</f>
        <v>Obese</v>
      </c>
      <c r="D1194" s="4" t="s">
        <v>11</v>
      </c>
      <c r="E1194" s="4" t="str">
        <f>IF(Table13_1[[#This Row],[smoker]]="yes","smoker","non-smoker")</f>
        <v>non-smoker</v>
      </c>
      <c r="F1194" s="4" t="s">
        <v>14</v>
      </c>
      <c r="G1194" s="5">
        <v>58</v>
      </c>
      <c r="H1194" s="5">
        <f>IF(Table13_1[[#This Row],[smoker]]="yes",1,0)</f>
        <v>0</v>
      </c>
      <c r="I1194" s="4">
        <v>32.395000000000003</v>
      </c>
      <c r="J1194" s="4">
        <v>1</v>
      </c>
      <c r="K1194" s="12">
        <v>13019.161</v>
      </c>
      <c r="N1194">
        <v>1039</v>
      </c>
      <c r="O1194">
        <v>2864.9882971312954</v>
      </c>
      <c r="P1194">
        <v>-614.15309713129545</v>
      </c>
    </row>
    <row r="1195" spans="1:16" x14ac:dyDescent="0.25">
      <c r="A1195" s="4" t="s">
        <v>7</v>
      </c>
      <c r="B1195" s="4">
        <f>ROUND(Table13_1[[#This Row],[bmi]],1)</f>
        <v>36.6</v>
      </c>
      <c r="C1195" s="4" t="str" cm="1">
        <f t="array" ref="C1195">_xlfn.IFS(Table13_1[[#This Row],[Round BMI]]&lt;18.5,"Underweight",AND(Table13_1[[#This Row],[Round BMI]]&gt;=18.5,Table13_1[[#This Row],[Round BMI]] &lt;=24.9),"Healthy Weight",AND(Table13_1[[#This Row],[Round BMI]]&gt;=25,Table13_1[[#This Row],[Round BMI]]&lt;=29.9),"Overweight",Table13_1[[#This Row],[Round BMI]]&gt;=30,"Obese")</f>
        <v>Obese</v>
      </c>
      <c r="D1195" s="4" t="s">
        <v>11</v>
      </c>
      <c r="E1195" s="4" t="str">
        <f>IF(Table13_1[[#This Row],[smoker]]="yes","smoker","non-smoker")</f>
        <v>non-smoker</v>
      </c>
      <c r="F1195" s="4" t="s">
        <v>13</v>
      </c>
      <c r="G1195" s="5">
        <v>48</v>
      </c>
      <c r="H1195" s="5">
        <f>IF(Table13_1[[#This Row],[smoker]]="yes",1,0)</f>
        <v>0</v>
      </c>
      <c r="I1195" s="4">
        <v>36.575000000000003</v>
      </c>
      <c r="J1195" s="4">
        <v>0</v>
      </c>
      <c r="K1195" s="12">
        <v>8671.1911999999993</v>
      </c>
      <c r="N1195">
        <v>1040</v>
      </c>
      <c r="O1195">
        <v>2518.6543906433162</v>
      </c>
      <c r="P1195">
        <v>19975.005209356685</v>
      </c>
    </row>
    <row r="1196" spans="1:16" x14ac:dyDescent="0.25">
      <c r="A1196" s="4" t="s">
        <v>7</v>
      </c>
      <c r="B1196" s="4">
        <f>ROUND(Table13_1[[#This Row],[bmi]],1)</f>
        <v>21.8</v>
      </c>
      <c r="C1196" s="4" t="str" cm="1">
        <f t="array" ref="C1196">_xlfn.IFS(Table13_1[[#This Row],[Round BMI]]&lt;18.5,"Underweight",AND(Table13_1[[#This Row],[Round BMI]]&gt;=18.5,Table13_1[[#This Row],[Round BMI]] &lt;=24.9),"Healthy Weight",AND(Table13_1[[#This Row],[Round BMI]]&gt;=25,Table13_1[[#This Row],[Round BMI]]&lt;=29.9),"Overweight",Table13_1[[#This Row],[Round BMI]]&gt;=30,"Obese")</f>
        <v>Healthy Weight</v>
      </c>
      <c r="D1196" s="4" t="s">
        <v>11</v>
      </c>
      <c r="E1196" s="4" t="str">
        <f>IF(Table13_1[[#This Row],[smoker]]="yes","smoker","non-smoker")</f>
        <v>non-smoker</v>
      </c>
      <c r="F1196" s="4" t="s">
        <v>13</v>
      </c>
      <c r="G1196" s="5">
        <v>31</v>
      </c>
      <c r="H1196" s="5">
        <f>IF(Table13_1[[#This Row],[smoker]]="yes",1,0)</f>
        <v>0</v>
      </c>
      <c r="I1196" s="4">
        <v>21.754999999999999</v>
      </c>
      <c r="J1196" s="4">
        <v>0</v>
      </c>
      <c r="K1196" s="12">
        <v>4134.0824000000002</v>
      </c>
      <c r="N1196">
        <v>1041</v>
      </c>
      <c r="O1196">
        <v>29753.248789012207</v>
      </c>
      <c r="P1196">
        <v>-9518.3939890122056</v>
      </c>
    </row>
    <row r="1197" spans="1:16" x14ac:dyDescent="0.25">
      <c r="A1197" s="4" t="s">
        <v>7</v>
      </c>
      <c r="B1197" s="4">
        <f>ROUND(Table13_1[[#This Row],[bmi]],1)</f>
        <v>27.9</v>
      </c>
      <c r="C1197" s="4" t="str" cm="1">
        <f t="array" ref="C1197">_xlfn.IFS(Table13_1[[#This Row],[Round BMI]]&lt;18.5,"Underweight",AND(Table13_1[[#This Row],[Round BMI]]&gt;=18.5,Table13_1[[#This Row],[Round BMI]] &lt;=24.9),"Healthy Weight",AND(Table13_1[[#This Row],[Round BMI]]&gt;=25,Table13_1[[#This Row],[Round BMI]]&lt;=29.9),"Overweight",Table13_1[[#This Row],[Round BMI]]&gt;=30,"Obese")</f>
        <v>Overweight</v>
      </c>
      <c r="D1197" s="4" t="s">
        <v>11</v>
      </c>
      <c r="E1197" s="4" t="str">
        <f>IF(Table13_1[[#This Row],[smoker]]="yes","smoker","non-smoker")</f>
        <v>non-smoker</v>
      </c>
      <c r="F1197" s="4" t="s">
        <v>13</v>
      </c>
      <c r="G1197" s="5">
        <v>19</v>
      </c>
      <c r="H1197" s="5">
        <f>IF(Table13_1[[#This Row],[smoker]]="yes",1,0)</f>
        <v>0</v>
      </c>
      <c r="I1197" s="4">
        <v>27.93</v>
      </c>
      <c r="J1197" s="4">
        <v>3</v>
      </c>
      <c r="K1197" s="12">
        <v>18838.703699999998</v>
      </c>
      <c r="N1197">
        <v>1042</v>
      </c>
      <c r="O1197">
        <v>-31.538611654954366</v>
      </c>
      <c r="P1197">
        <v>1736.2388116549544</v>
      </c>
    </row>
    <row r="1198" spans="1:16" x14ac:dyDescent="0.25">
      <c r="A1198" s="4" t="s">
        <v>7</v>
      </c>
      <c r="B1198" s="4">
        <f>ROUND(Table13_1[[#This Row],[bmi]],1)</f>
        <v>30</v>
      </c>
      <c r="C1198" s="4" t="str" cm="1">
        <f t="array" ref="C1198">_xlfn.IFS(Table13_1[[#This Row],[Round BMI]]&lt;18.5,"Underweight",AND(Table13_1[[#This Row],[Round BMI]]&gt;=18.5,Table13_1[[#This Row],[Round BMI]] &lt;=24.9),"Healthy Weight",AND(Table13_1[[#This Row],[Round BMI]]&gt;=25,Table13_1[[#This Row],[Round BMI]]&lt;=29.9),"Overweight",Table13_1[[#This Row],[Round BMI]]&gt;=30,"Obese")</f>
        <v>Obese</v>
      </c>
      <c r="D1198" s="4" t="s">
        <v>8</v>
      </c>
      <c r="E1198" s="4" t="str">
        <f>IF(Table13_1[[#This Row],[smoker]]="yes","smoker","non-smoker")</f>
        <v>smoker</v>
      </c>
      <c r="F1198" s="4" t="s">
        <v>13</v>
      </c>
      <c r="G1198" s="5">
        <v>19</v>
      </c>
      <c r="H1198" s="5">
        <f>IF(Table13_1[[#This Row],[smoker]]="yes",1,0)</f>
        <v>1</v>
      </c>
      <c r="I1198" s="4">
        <v>30.02</v>
      </c>
      <c r="J1198" s="4">
        <v>0</v>
      </c>
      <c r="K1198" s="12">
        <v>33307.550799999997</v>
      </c>
      <c r="N1198">
        <v>1043</v>
      </c>
      <c r="O1198">
        <v>26741.630910614494</v>
      </c>
      <c r="P1198">
        <v>6734.1862893855032</v>
      </c>
    </row>
    <row r="1199" spans="1:16" x14ac:dyDescent="0.25">
      <c r="A1199" s="4" t="s">
        <v>10</v>
      </c>
      <c r="B1199" s="4">
        <f>ROUND(Table13_1[[#This Row],[bmi]],1)</f>
        <v>33.6</v>
      </c>
      <c r="C1199" s="4" t="str" cm="1">
        <f t="array" ref="C1199">_xlfn.IFS(Table13_1[[#This Row],[Round BMI]]&lt;18.5,"Underweight",AND(Table13_1[[#This Row],[Round BMI]]&gt;=18.5,Table13_1[[#This Row],[Round BMI]] &lt;=24.9),"Healthy Weight",AND(Table13_1[[#This Row],[Round BMI]]&gt;=25,Table13_1[[#This Row],[Round BMI]]&lt;=29.9),"Overweight",Table13_1[[#This Row],[Round BMI]]&gt;=30,"Obese")</f>
        <v>Obese</v>
      </c>
      <c r="D1199" s="4" t="s">
        <v>11</v>
      </c>
      <c r="E1199" s="4" t="str">
        <f>IF(Table13_1[[#This Row],[smoker]]="yes","smoker","non-smoker")</f>
        <v>non-smoker</v>
      </c>
      <c r="F1199" s="4" t="s">
        <v>12</v>
      </c>
      <c r="G1199" s="5">
        <v>41</v>
      </c>
      <c r="H1199" s="5">
        <f>IF(Table13_1[[#This Row],[smoker]]="yes",1,0)</f>
        <v>0</v>
      </c>
      <c r="I1199" s="4">
        <v>33.549999999999997</v>
      </c>
      <c r="J1199" s="4">
        <v>0</v>
      </c>
      <c r="K1199" s="12">
        <v>5699.8374999999996</v>
      </c>
      <c r="N1199">
        <v>1044</v>
      </c>
      <c r="O1199">
        <v>3420.7830203624972</v>
      </c>
      <c r="P1199">
        <v>-259.32902036249698</v>
      </c>
    </row>
    <row r="1200" spans="1:16" x14ac:dyDescent="0.25">
      <c r="A1200" s="4" t="s">
        <v>10</v>
      </c>
      <c r="B1200" s="4">
        <f>ROUND(Table13_1[[#This Row],[bmi]],1)</f>
        <v>29.4</v>
      </c>
      <c r="C1200" s="4" t="str" cm="1">
        <f t="array" ref="C1200">_xlfn.IFS(Table13_1[[#This Row],[Round BMI]]&lt;18.5,"Underweight",AND(Table13_1[[#This Row],[Round BMI]]&gt;=18.5,Table13_1[[#This Row],[Round BMI]] &lt;=24.9),"Healthy Weight",AND(Table13_1[[#This Row],[Round BMI]]&gt;=25,Table13_1[[#This Row],[Round BMI]]&lt;=29.9),"Overweight",Table13_1[[#This Row],[Round BMI]]&gt;=30,"Obese")</f>
        <v>Overweight</v>
      </c>
      <c r="D1200" s="4" t="s">
        <v>11</v>
      </c>
      <c r="E1200" s="4" t="str">
        <f>IF(Table13_1[[#This Row],[smoker]]="yes","smoker","non-smoker")</f>
        <v>non-smoker</v>
      </c>
      <c r="F1200" s="4" t="s">
        <v>13</v>
      </c>
      <c r="G1200" s="5">
        <v>40</v>
      </c>
      <c r="H1200" s="5">
        <f>IF(Table13_1[[#This Row],[smoker]]="yes",1,0)</f>
        <v>0</v>
      </c>
      <c r="I1200" s="4">
        <v>29.355</v>
      </c>
      <c r="J1200" s="4">
        <v>1</v>
      </c>
      <c r="K1200" s="12">
        <v>6393.6034</v>
      </c>
      <c r="N1200">
        <v>1045</v>
      </c>
      <c r="O1200">
        <v>13896.108533663182</v>
      </c>
      <c r="P1200">
        <v>-2502.0429336631823</v>
      </c>
    </row>
    <row r="1201" spans="1:16" x14ac:dyDescent="0.25">
      <c r="A1201" s="4" t="s">
        <v>7</v>
      </c>
      <c r="B1201" s="4">
        <f>ROUND(Table13_1[[#This Row],[bmi]],1)</f>
        <v>25.8</v>
      </c>
      <c r="C1201" s="4" t="str" cm="1">
        <f t="array" ref="C1201">_xlfn.IFS(Table13_1[[#This Row],[Round BMI]]&lt;18.5,"Underweight",AND(Table13_1[[#This Row],[Round BMI]]&gt;=18.5,Table13_1[[#This Row],[Round BMI]] &lt;=24.9),"Healthy Weight",AND(Table13_1[[#This Row],[Round BMI]]&gt;=25,Table13_1[[#This Row],[Round BMI]]&lt;=29.9),"Overweight",Table13_1[[#This Row],[Round BMI]]&gt;=30,"Obese")</f>
        <v>Overweight</v>
      </c>
      <c r="D1201" s="4" t="s">
        <v>11</v>
      </c>
      <c r="E1201" s="4" t="str">
        <f>IF(Table13_1[[#This Row],[smoker]]="yes","smoker","non-smoker")</f>
        <v>non-smoker</v>
      </c>
      <c r="F1201" s="4" t="s">
        <v>9</v>
      </c>
      <c r="G1201" s="5">
        <v>31</v>
      </c>
      <c r="H1201" s="5">
        <f>IF(Table13_1[[#This Row],[smoker]]="yes",1,0)</f>
        <v>0</v>
      </c>
      <c r="I1201" s="4">
        <v>25.8</v>
      </c>
      <c r="J1201" s="4">
        <v>2</v>
      </c>
      <c r="K1201" s="12">
        <v>4934.7049999999999</v>
      </c>
      <c r="N1201">
        <v>1046</v>
      </c>
      <c r="O1201">
        <v>31692.893564299673</v>
      </c>
      <c r="P1201">
        <v>-9812.0735642996733</v>
      </c>
    </row>
    <row r="1202" spans="1:16" x14ac:dyDescent="0.25">
      <c r="A1202" s="4" t="s">
        <v>10</v>
      </c>
      <c r="B1202" s="4">
        <f>ROUND(Table13_1[[#This Row],[bmi]],1)</f>
        <v>24.3</v>
      </c>
      <c r="C1202" s="4" t="str" cm="1">
        <f t="array" ref="C1202">_xlfn.IFS(Table13_1[[#This Row],[Round BMI]]&lt;18.5,"Underweight",AND(Table13_1[[#This Row],[Round BMI]]&gt;=18.5,Table13_1[[#This Row],[Round BMI]] &lt;=24.9),"Healthy Weight",AND(Table13_1[[#This Row],[Round BMI]]&gt;=25,Table13_1[[#This Row],[Round BMI]]&lt;=29.9),"Overweight",Table13_1[[#This Row],[Round BMI]]&gt;=30,"Obese")</f>
        <v>Healthy Weight</v>
      </c>
      <c r="D1202" s="4" t="s">
        <v>11</v>
      </c>
      <c r="E1202" s="4" t="str">
        <f>IF(Table13_1[[#This Row],[smoker]]="yes","smoker","non-smoker")</f>
        <v>non-smoker</v>
      </c>
      <c r="F1202" s="4" t="s">
        <v>13</v>
      </c>
      <c r="G1202" s="5">
        <v>37</v>
      </c>
      <c r="H1202" s="5">
        <f>IF(Table13_1[[#This Row],[smoker]]="yes",1,0)</f>
        <v>0</v>
      </c>
      <c r="I1202" s="4">
        <v>24.32</v>
      </c>
      <c r="J1202" s="4">
        <v>2</v>
      </c>
      <c r="K1202" s="12">
        <v>6198.7518</v>
      </c>
      <c r="N1202">
        <v>1047</v>
      </c>
      <c r="O1202">
        <v>7056.7926202721619</v>
      </c>
      <c r="P1202">
        <v>268.25557972783827</v>
      </c>
    </row>
    <row r="1203" spans="1:16" x14ac:dyDescent="0.25">
      <c r="A1203" s="4" t="s">
        <v>10</v>
      </c>
      <c r="B1203" s="4">
        <f>ROUND(Table13_1[[#This Row],[bmi]],1)</f>
        <v>40.4</v>
      </c>
      <c r="C1203" s="4" t="str" cm="1">
        <f t="array" ref="C1203">_xlfn.IFS(Table13_1[[#This Row],[Round BMI]]&lt;18.5,"Underweight",AND(Table13_1[[#This Row],[Round BMI]]&gt;=18.5,Table13_1[[#This Row],[Round BMI]] &lt;=24.9),"Healthy Weight",AND(Table13_1[[#This Row],[Round BMI]]&gt;=25,Table13_1[[#This Row],[Round BMI]]&lt;=29.9),"Overweight",Table13_1[[#This Row],[Round BMI]]&gt;=30,"Obese")</f>
        <v>Obese</v>
      </c>
      <c r="D1203" s="4" t="s">
        <v>11</v>
      </c>
      <c r="E1203" s="4" t="str">
        <f>IF(Table13_1[[#This Row],[smoker]]="yes","smoker","non-smoker")</f>
        <v>non-smoker</v>
      </c>
      <c r="F1203" s="4" t="s">
        <v>13</v>
      </c>
      <c r="G1203" s="5">
        <v>46</v>
      </c>
      <c r="H1203" s="5">
        <f>IF(Table13_1[[#This Row],[smoker]]="yes",1,0)</f>
        <v>0</v>
      </c>
      <c r="I1203" s="4">
        <v>40.375</v>
      </c>
      <c r="J1203" s="4">
        <v>2</v>
      </c>
      <c r="K1203" s="12">
        <v>8733.2291999999998</v>
      </c>
      <c r="N1203">
        <v>1048</v>
      </c>
      <c r="O1203">
        <v>34777.768706029383</v>
      </c>
      <c r="P1203">
        <v>9723.6294939706204</v>
      </c>
    </row>
    <row r="1204" spans="1:16" x14ac:dyDescent="0.25">
      <c r="A1204" s="4" t="s">
        <v>10</v>
      </c>
      <c r="B1204" s="4">
        <f>ROUND(Table13_1[[#This Row],[bmi]],1)</f>
        <v>32.1</v>
      </c>
      <c r="C1204" s="4" t="str" cm="1">
        <f t="array" ref="C1204">_xlfn.IFS(Table13_1[[#This Row],[Round BMI]]&lt;18.5,"Underweight",AND(Table13_1[[#This Row],[Round BMI]]&gt;=18.5,Table13_1[[#This Row],[Round BMI]] &lt;=24.9),"Healthy Weight",AND(Table13_1[[#This Row],[Round BMI]]&gt;=25,Table13_1[[#This Row],[Round BMI]]&lt;=29.9),"Overweight",Table13_1[[#This Row],[Round BMI]]&gt;=30,"Obese")</f>
        <v>Obese</v>
      </c>
      <c r="D1204" s="4" t="s">
        <v>11</v>
      </c>
      <c r="E1204" s="4" t="str">
        <f>IF(Table13_1[[#This Row],[smoker]]="yes","smoker","non-smoker")</f>
        <v>non-smoker</v>
      </c>
      <c r="F1204" s="4" t="s">
        <v>13</v>
      </c>
      <c r="G1204" s="5">
        <v>22</v>
      </c>
      <c r="H1204" s="5">
        <f>IF(Table13_1[[#This Row],[smoker]]="yes",1,0)</f>
        <v>0</v>
      </c>
      <c r="I1204" s="4">
        <v>32.11</v>
      </c>
      <c r="J1204" s="4">
        <v>0</v>
      </c>
      <c r="K1204" s="12">
        <v>2055.3249000000001</v>
      </c>
      <c r="N1204">
        <v>1049</v>
      </c>
      <c r="O1204">
        <v>2063.4549555838698</v>
      </c>
      <c r="P1204">
        <v>1530.71584441613</v>
      </c>
    </row>
    <row r="1205" spans="1:16" x14ac:dyDescent="0.25">
      <c r="A1205" s="4" t="s">
        <v>10</v>
      </c>
      <c r="B1205" s="4">
        <f>ROUND(Table13_1[[#This Row],[bmi]],1)</f>
        <v>32.299999999999997</v>
      </c>
      <c r="C1205" s="4" t="str" cm="1">
        <f t="array" ref="C1205">_xlfn.IFS(Table13_1[[#This Row],[Round BMI]]&lt;18.5,"Underweight",AND(Table13_1[[#This Row],[Round BMI]]&gt;=18.5,Table13_1[[#This Row],[Round BMI]] &lt;=24.9),"Healthy Weight",AND(Table13_1[[#This Row],[Round BMI]]&gt;=25,Table13_1[[#This Row],[Round BMI]]&lt;=29.9),"Overweight",Table13_1[[#This Row],[Round BMI]]&gt;=30,"Obese")</f>
        <v>Obese</v>
      </c>
      <c r="D1205" s="4" t="s">
        <v>11</v>
      </c>
      <c r="E1205" s="4" t="str">
        <f>IF(Table13_1[[#This Row],[smoker]]="yes","smoker","non-smoker")</f>
        <v>non-smoker</v>
      </c>
      <c r="F1205" s="4" t="s">
        <v>14</v>
      </c>
      <c r="G1205" s="5">
        <v>51</v>
      </c>
      <c r="H1205" s="5">
        <f>IF(Table13_1[[#This Row],[smoker]]="yes",1,0)</f>
        <v>0</v>
      </c>
      <c r="I1205" s="4">
        <v>32.299999999999997</v>
      </c>
      <c r="J1205" s="4">
        <v>1</v>
      </c>
      <c r="K1205" s="12">
        <v>9964.06</v>
      </c>
      <c r="N1205">
        <v>1050</v>
      </c>
      <c r="O1205">
        <v>34288.464674805677</v>
      </c>
      <c r="P1205">
        <v>5439.1493251943248</v>
      </c>
    </row>
    <row r="1206" spans="1:16" x14ac:dyDescent="0.25">
      <c r="A1206" s="4" t="s">
        <v>7</v>
      </c>
      <c r="B1206" s="4">
        <f>ROUND(Table13_1[[#This Row],[bmi]],1)</f>
        <v>27.3</v>
      </c>
      <c r="C1206" s="4" t="str" cm="1">
        <f t="array" ref="C1206">_xlfn.IFS(Table13_1[[#This Row],[Round BMI]]&lt;18.5,"Underweight",AND(Table13_1[[#This Row],[Round BMI]]&gt;=18.5,Table13_1[[#This Row],[Round BMI]] &lt;=24.9),"Healthy Weight",AND(Table13_1[[#This Row],[Round BMI]]&gt;=25,Table13_1[[#This Row],[Round BMI]]&lt;=29.9),"Overweight",Table13_1[[#This Row],[Round BMI]]&gt;=30,"Obese")</f>
        <v>Overweight</v>
      </c>
      <c r="D1206" s="4" t="s">
        <v>8</v>
      </c>
      <c r="E1206" s="4" t="str">
        <f>IF(Table13_1[[#This Row],[smoker]]="yes","smoker","non-smoker")</f>
        <v>smoker</v>
      </c>
      <c r="F1206" s="4" t="s">
        <v>12</v>
      </c>
      <c r="G1206" s="5">
        <v>18</v>
      </c>
      <c r="H1206" s="5">
        <f>IF(Table13_1[[#This Row],[smoker]]="yes",1,0)</f>
        <v>1</v>
      </c>
      <c r="I1206" s="4">
        <v>27.28</v>
      </c>
      <c r="J1206" s="4">
        <v>3</v>
      </c>
      <c r="K1206" s="12">
        <v>18223.4512</v>
      </c>
      <c r="N1206">
        <v>1051</v>
      </c>
      <c r="O1206">
        <v>11610.129851887741</v>
      </c>
      <c r="P1206">
        <v>-3586.994451887741</v>
      </c>
    </row>
    <row r="1207" spans="1:16" x14ac:dyDescent="0.25">
      <c r="A1207" s="4" t="s">
        <v>10</v>
      </c>
      <c r="B1207" s="4">
        <f>ROUND(Table13_1[[#This Row],[bmi]],1)</f>
        <v>17.899999999999999</v>
      </c>
      <c r="C1207" s="4" t="str" cm="1">
        <f t="array" ref="C1207">_xlfn.IFS(Table13_1[[#This Row],[Round BMI]]&lt;18.5,"Underweight",AND(Table13_1[[#This Row],[Round BMI]]&gt;=18.5,Table13_1[[#This Row],[Round BMI]] &lt;=24.9),"Healthy Weight",AND(Table13_1[[#This Row],[Round BMI]]&gt;=25,Table13_1[[#This Row],[Round BMI]]&lt;=29.9),"Overweight",Table13_1[[#This Row],[Round BMI]]&gt;=30,"Obese")</f>
        <v>Underweight</v>
      </c>
      <c r="D1207" s="4" t="s">
        <v>11</v>
      </c>
      <c r="E1207" s="4" t="str">
        <f>IF(Table13_1[[#This Row],[smoker]]="yes","smoker","non-smoker")</f>
        <v>non-smoker</v>
      </c>
      <c r="F1207" s="4" t="s">
        <v>13</v>
      </c>
      <c r="G1207" s="5">
        <v>35</v>
      </c>
      <c r="H1207" s="5">
        <f>IF(Table13_1[[#This Row],[smoker]]="yes",1,0)</f>
        <v>0</v>
      </c>
      <c r="I1207" s="4">
        <v>17.86</v>
      </c>
      <c r="J1207" s="4">
        <v>1</v>
      </c>
      <c r="K1207" s="12">
        <v>5116.5003999999999</v>
      </c>
      <c r="N1207">
        <v>1052</v>
      </c>
      <c r="O1207">
        <v>12899.694639988451</v>
      </c>
      <c r="P1207">
        <v>1494.8632600115488</v>
      </c>
    </row>
    <row r="1208" spans="1:16" x14ac:dyDescent="0.25">
      <c r="A1208" s="4" t="s">
        <v>7</v>
      </c>
      <c r="B1208" s="4">
        <f>ROUND(Table13_1[[#This Row],[bmi]],1)</f>
        <v>34.799999999999997</v>
      </c>
      <c r="C1208" s="4" t="str" cm="1">
        <f t="array" ref="C1208">_xlfn.IFS(Table13_1[[#This Row],[Round BMI]]&lt;18.5,"Underweight",AND(Table13_1[[#This Row],[Round BMI]]&gt;=18.5,Table13_1[[#This Row],[Round BMI]] &lt;=24.9),"Healthy Weight",AND(Table13_1[[#This Row],[Round BMI]]&gt;=25,Table13_1[[#This Row],[Round BMI]]&lt;=29.9),"Overweight",Table13_1[[#This Row],[Round BMI]]&gt;=30,"Obese")</f>
        <v>Obese</v>
      </c>
      <c r="D1208" s="4" t="s">
        <v>11</v>
      </c>
      <c r="E1208" s="4" t="str">
        <f>IF(Table13_1[[#This Row],[smoker]]="yes","smoker","non-smoker")</f>
        <v>non-smoker</v>
      </c>
      <c r="F1208" s="4" t="s">
        <v>9</v>
      </c>
      <c r="G1208" s="5">
        <v>59</v>
      </c>
      <c r="H1208" s="5">
        <f>IF(Table13_1[[#This Row],[smoker]]="yes",1,0)</f>
        <v>0</v>
      </c>
      <c r="I1208" s="4">
        <v>34.799999999999997</v>
      </c>
      <c r="J1208" s="4">
        <v>2</v>
      </c>
      <c r="K1208" s="12">
        <v>36910.608</v>
      </c>
      <c r="N1208">
        <v>1053</v>
      </c>
      <c r="O1208">
        <v>10606.186143295881</v>
      </c>
      <c r="P1208">
        <v>-1318.1594432958809</v>
      </c>
    </row>
    <row r="1209" spans="1:16" x14ac:dyDescent="0.25">
      <c r="A1209" s="4" t="s">
        <v>10</v>
      </c>
      <c r="B1209" s="4">
        <f>ROUND(Table13_1[[#This Row],[bmi]],1)</f>
        <v>33.4</v>
      </c>
      <c r="C1209" s="4" t="str" cm="1">
        <f t="array" ref="C1209">_xlfn.IFS(Table13_1[[#This Row],[Round BMI]]&lt;18.5,"Underweight",AND(Table13_1[[#This Row],[Round BMI]]&gt;=18.5,Table13_1[[#This Row],[Round BMI]] &lt;=24.9),"Healthy Weight",AND(Table13_1[[#This Row],[Round BMI]]&gt;=25,Table13_1[[#This Row],[Round BMI]]&lt;=29.9),"Overweight",Table13_1[[#This Row],[Round BMI]]&gt;=30,"Obese")</f>
        <v>Obese</v>
      </c>
      <c r="D1209" s="4" t="s">
        <v>8</v>
      </c>
      <c r="E1209" s="4" t="str">
        <f>IF(Table13_1[[#This Row],[smoker]]="yes","smoker","non-smoker")</f>
        <v>smoker</v>
      </c>
      <c r="F1209" s="4" t="s">
        <v>9</v>
      </c>
      <c r="G1209" s="5">
        <v>36</v>
      </c>
      <c r="H1209" s="5">
        <f>IF(Table13_1[[#This Row],[smoker]]="yes",1,0)</f>
        <v>1</v>
      </c>
      <c r="I1209" s="4">
        <v>33.4</v>
      </c>
      <c r="J1209" s="4">
        <v>2</v>
      </c>
      <c r="K1209" s="12">
        <v>38415.474000000002</v>
      </c>
      <c r="N1209">
        <v>1054</v>
      </c>
      <c r="O1209">
        <v>34839.236063657103</v>
      </c>
      <c r="P1209">
        <v>-9529.7470636571015</v>
      </c>
    </row>
    <row r="1210" spans="1:16" x14ac:dyDescent="0.25">
      <c r="A1210" s="4" t="s">
        <v>7</v>
      </c>
      <c r="B1210" s="4">
        <f>ROUND(Table13_1[[#This Row],[bmi]],1)</f>
        <v>25.6</v>
      </c>
      <c r="C1210" s="4" t="str" cm="1">
        <f t="array" ref="C1210">_xlfn.IFS(Table13_1[[#This Row],[Round BMI]]&lt;18.5,"Underweight",AND(Table13_1[[#This Row],[Round BMI]]&gt;=18.5,Table13_1[[#This Row],[Round BMI]] &lt;=24.9),"Healthy Weight",AND(Table13_1[[#This Row],[Round BMI]]&gt;=25,Table13_1[[#This Row],[Round BMI]]&lt;=29.9),"Overweight",Table13_1[[#This Row],[Round BMI]]&gt;=30,"Obese")</f>
        <v>Overweight</v>
      </c>
      <c r="D1210" s="4" t="s">
        <v>8</v>
      </c>
      <c r="E1210" s="4" t="str">
        <f>IF(Table13_1[[#This Row],[smoker]]="yes","smoker","non-smoker")</f>
        <v>smoker</v>
      </c>
      <c r="F1210" s="4" t="s">
        <v>14</v>
      </c>
      <c r="G1210" s="5">
        <v>37</v>
      </c>
      <c r="H1210" s="5">
        <f>IF(Table13_1[[#This Row],[smoker]]="yes",1,0)</f>
        <v>1</v>
      </c>
      <c r="I1210" s="4">
        <v>25.555</v>
      </c>
      <c r="J1210" s="4">
        <v>1</v>
      </c>
      <c r="K1210" s="12">
        <v>20296.863399999998</v>
      </c>
      <c r="N1210">
        <v>1055</v>
      </c>
      <c r="O1210">
        <v>1769.3169387296894</v>
      </c>
      <c r="P1210">
        <v>1584.1533612703106</v>
      </c>
    </row>
    <row r="1211" spans="1:16" x14ac:dyDescent="0.25">
      <c r="A1211" s="4" t="s">
        <v>10</v>
      </c>
      <c r="B1211" s="4">
        <f>ROUND(Table13_1[[#This Row],[bmi]],1)</f>
        <v>37.1</v>
      </c>
      <c r="C1211" s="4" t="str" cm="1">
        <f t="array" ref="C1211">_xlfn.IFS(Table13_1[[#This Row],[Round BMI]]&lt;18.5,"Underweight",AND(Table13_1[[#This Row],[Round BMI]]&gt;=18.5,Table13_1[[#This Row],[Round BMI]] &lt;=24.9),"Healthy Weight",AND(Table13_1[[#This Row],[Round BMI]]&gt;=25,Table13_1[[#This Row],[Round BMI]]&lt;=29.9),"Overweight",Table13_1[[#This Row],[Round BMI]]&gt;=30,"Obese")</f>
        <v>Obese</v>
      </c>
      <c r="D1211" s="4" t="s">
        <v>11</v>
      </c>
      <c r="E1211" s="4" t="str">
        <f>IF(Table13_1[[#This Row],[smoker]]="yes","smoker","non-smoker")</f>
        <v>non-smoker</v>
      </c>
      <c r="F1211" s="4" t="s">
        <v>9</v>
      </c>
      <c r="G1211" s="5">
        <v>59</v>
      </c>
      <c r="H1211" s="5">
        <f>IF(Table13_1[[#This Row],[smoker]]="yes",1,0)</f>
        <v>0</v>
      </c>
      <c r="I1211" s="4">
        <v>37.1</v>
      </c>
      <c r="J1211" s="4">
        <v>1</v>
      </c>
      <c r="K1211" s="12">
        <v>12347.172</v>
      </c>
      <c r="N1211">
        <v>1056</v>
      </c>
      <c r="O1211">
        <v>10976.535556524144</v>
      </c>
      <c r="P1211">
        <v>-382.03395652414474</v>
      </c>
    </row>
    <row r="1212" spans="1:16" x14ac:dyDescent="0.25">
      <c r="A1212" s="4" t="s">
        <v>10</v>
      </c>
      <c r="B1212" s="4">
        <f>ROUND(Table13_1[[#This Row],[bmi]],1)</f>
        <v>30.9</v>
      </c>
      <c r="C1212" s="4" t="str" cm="1">
        <f t="array" ref="C1212">_xlfn.IFS(Table13_1[[#This Row],[Round BMI]]&lt;18.5,"Underweight",AND(Table13_1[[#This Row],[Round BMI]]&gt;=18.5,Table13_1[[#This Row],[Round BMI]] &lt;=24.9),"Healthy Weight",AND(Table13_1[[#This Row],[Round BMI]]&gt;=25,Table13_1[[#This Row],[Round BMI]]&lt;=29.9),"Overweight",Table13_1[[#This Row],[Round BMI]]&gt;=30,"Obese")</f>
        <v>Obese</v>
      </c>
      <c r="D1212" s="4" t="s">
        <v>11</v>
      </c>
      <c r="E1212" s="4" t="str">
        <f>IF(Table13_1[[#This Row],[smoker]]="yes","smoker","non-smoker")</f>
        <v>non-smoker</v>
      </c>
      <c r="F1212" s="4" t="s">
        <v>13</v>
      </c>
      <c r="G1212" s="5">
        <v>36</v>
      </c>
      <c r="H1212" s="5">
        <f>IF(Table13_1[[#This Row],[smoker]]="yes",1,0)</f>
        <v>0</v>
      </c>
      <c r="I1212" s="4">
        <v>30.875</v>
      </c>
      <c r="J1212" s="4">
        <v>1</v>
      </c>
      <c r="K1212" s="12">
        <v>5373.3642</v>
      </c>
      <c r="N1212">
        <v>1057</v>
      </c>
      <c r="O1212">
        <v>9575.5125157773746</v>
      </c>
      <c r="P1212">
        <v>-1297.9895157773753</v>
      </c>
    </row>
    <row r="1213" spans="1:16" x14ac:dyDescent="0.25">
      <c r="A1213" s="4" t="s">
        <v>10</v>
      </c>
      <c r="B1213" s="4">
        <f>ROUND(Table13_1[[#This Row],[bmi]],1)</f>
        <v>34.1</v>
      </c>
      <c r="C1213" s="4" t="str" cm="1">
        <f t="array" ref="C1213">_xlfn.IFS(Table13_1[[#This Row],[Round BMI]]&lt;18.5,"Underweight",AND(Table13_1[[#This Row],[Round BMI]]&gt;=18.5,Table13_1[[#This Row],[Round BMI]] &lt;=24.9),"Healthy Weight",AND(Table13_1[[#This Row],[Round BMI]]&gt;=25,Table13_1[[#This Row],[Round BMI]]&lt;=29.9),"Overweight",Table13_1[[#This Row],[Round BMI]]&gt;=30,"Obese")</f>
        <v>Obese</v>
      </c>
      <c r="D1213" s="4" t="s">
        <v>11</v>
      </c>
      <c r="E1213" s="4" t="str">
        <f>IF(Table13_1[[#This Row],[smoker]]="yes","smoker","non-smoker")</f>
        <v>non-smoker</v>
      </c>
      <c r="F1213" s="4" t="s">
        <v>12</v>
      </c>
      <c r="G1213" s="5">
        <v>39</v>
      </c>
      <c r="H1213" s="5">
        <f>IF(Table13_1[[#This Row],[smoker]]="yes",1,0)</f>
        <v>0</v>
      </c>
      <c r="I1213" s="4">
        <v>34.1</v>
      </c>
      <c r="J1213" s="4">
        <v>2</v>
      </c>
      <c r="K1213" s="12">
        <v>23563.016199999998</v>
      </c>
      <c r="N1213">
        <v>1058</v>
      </c>
      <c r="O1213">
        <v>9732.1145479974111</v>
      </c>
      <c r="P1213">
        <v>8197.1888520025896</v>
      </c>
    </row>
    <row r="1214" spans="1:16" x14ac:dyDescent="0.25">
      <c r="A1214" s="4" t="s">
        <v>10</v>
      </c>
      <c r="B1214" s="4">
        <f>ROUND(Table13_1[[#This Row],[bmi]],1)</f>
        <v>21.5</v>
      </c>
      <c r="C1214" s="4" t="str" cm="1">
        <f t="array" ref="C1214">_xlfn.IFS(Table13_1[[#This Row],[Round BMI]]&lt;18.5,"Underweight",AND(Table13_1[[#This Row],[Round BMI]]&gt;=18.5,Table13_1[[#This Row],[Round BMI]] &lt;=24.9),"Healthy Weight",AND(Table13_1[[#This Row],[Round BMI]]&gt;=25,Table13_1[[#This Row],[Round BMI]]&lt;=29.9),"Overweight",Table13_1[[#This Row],[Round BMI]]&gt;=30,"Obese")</f>
        <v>Healthy Weight</v>
      </c>
      <c r="D1214" s="4" t="s">
        <v>11</v>
      </c>
      <c r="E1214" s="4" t="str">
        <f>IF(Table13_1[[#This Row],[smoker]]="yes","smoker","non-smoker")</f>
        <v>non-smoker</v>
      </c>
      <c r="F1214" s="4" t="s">
        <v>14</v>
      </c>
      <c r="G1214" s="5">
        <v>18</v>
      </c>
      <c r="H1214" s="5">
        <f>IF(Table13_1[[#This Row],[smoker]]="yes",1,0)</f>
        <v>0</v>
      </c>
      <c r="I1214" s="4">
        <v>21.47</v>
      </c>
      <c r="J1214" s="4">
        <v>0</v>
      </c>
      <c r="K1214" s="12">
        <v>1702.4553000000001</v>
      </c>
      <c r="N1214">
        <v>1059</v>
      </c>
      <c r="O1214">
        <v>6795.5306959372738</v>
      </c>
      <c r="P1214">
        <v>-4314.5515959372733</v>
      </c>
    </row>
    <row r="1215" spans="1:16" x14ac:dyDescent="0.25">
      <c r="A1215" s="4" t="s">
        <v>7</v>
      </c>
      <c r="B1215" s="4">
        <f>ROUND(Table13_1[[#This Row],[bmi]],1)</f>
        <v>33.299999999999997</v>
      </c>
      <c r="C1215" s="4" t="str" cm="1">
        <f t="array" ref="C1215">_xlfn.IFS(Table13_1[[#This Row],[Round BMI]]&lt;18.5,"Underweight",AND(Table13_1[[#This Row],[Round BMI]]&gt;=18.5,Table13_1[[#This Row],[Round BMI]] &lt;=24.9),"Healthy Weight",AND(Table13_1[[#This Row],[Round BMI]]&gt;=25,Table13_1[[#This Row],[Round BMI]]&lt;=29.9),"Overweight",Table13_1[[#This Row],[Round BMI]]&gt;=30,"Obese")</f>
        <v>Obese</v>
      </c>
      <c r="D1215" s="4" t="s">
        <v>11</v>
      </c>
      <c r="E1215" s="4" t="str">
        <f>IF(Table13_1[[#This Row],[smoker]]="yes","smoker","non-smoker")</f>
        <v>non-smoker</v>
      </c>
      <c r="F1215" s="4" t="s">
        <v>9</v>
      </c>
      <c r="G1215" s="5">
        <v>52</v>
      </c>
      <c r="H1215" s="5">
        <f>IF(Table13_1[[#This Row],[smoker]]="yes",1,0)</f>
        <v>0</v>
      </c>
      <c r="I1215" s="4">
        <v>33.299999999999997</v>
      </c>
      <c r="J1215" s="4">
        <v>2</v>
      </c>
      <c r="K1215" s="12">
        <v>10806.839</v>
      </c>
      <c r="N1215">
        <v>1060</v>
      </c>
      <c r="O1215">
        <v>7506.931616016268</v>
      </c>
      <c r="P1215">
        <v>-3044.2098160162677</v>
      </c>
    </row>
    <row r="1216" spans="1:16" x14ac:dyDescent="0.25">
      <c r="A1216" s="4" t="s">
        <v>7</v>
      </c>
      <c r="B1216" s="4">
        <f>ROUND(Table13_1[[#This Row],[bmi]],1)</f>
        <v>31.3</v>
      </c>
      <c r="C1216" s="4" t="str" cm="1">
        <f t="array" ref="C1216">_xlfn.IFS(Table13_1[[#This Row],[Round BMI]]&lt;18.5,"Underweight",AND(Table13_1[[#This Row],[Round BMI]]&gt;=18.5,Table13_1[[#This Row],[Round BMI]] &lt;=24.9),"Healthy Weight",AND(Table13_1[[#This Row],[Round BMI]]&gt;=25,Table13_1[[#This Row],[Round BMI]]&lt;=29.9),"Overweight",Table13_1[[#This Row],[Round BMI]]&gt;=30,"Obese")</f>
        <v>Obese</v>
      </c>
      <c r="D1216" s="4" t="s">
        <v>11</v>
      </c>
      <c r="E1216" s="4" t="str">
        <f>IF(Table13_1[[#This Row],[smoker]]="yes","smoker","non-smoker")</f>
        <v>non-smoker</v>
      </c>
      <c r="F1216" s="4" t="s">
        <v>13</v>
      </c>
      <c r="G1216" s="5">
        <v>27</v>
      </c>
      <c r="H1216" s="5">
        <f>IF(Table13_1[[#This Row],[smoker]]="yes",1,0)</f>
        <v>0</v>
      </c>
      <c r="I1216" s="4">
        <v>31.254999999999999</v>
      </c>
      <c r="J1216" s="4">
        <v>1</v>
      </c>
      <c r="K1216" s="12">
        <v>3956.0713999999998</v>
      </c>
      <c r="N1216">
        <v>1061</v>
      </c>
      <c r="O1216">
        <v>4388.0822026850019</v>
      </c>
      <c r="P1216">
        <v>-2406.5003026850018</v>
      </c>
    </row>
    <row r="1217" spans="1:16" x14ac:dyDescent="0.25">
      <c r="A1217" s="4" t="s">
        <v>10</v>
      </c>
      <c r="B1217" s="4">
        <f>ROUND(Table13_1[[#This Row],[bmi]],1)</f>
        <v>39.1</v>
      </c>
      <c r="C1217" s="4" t="str" cm="1">
        <f t="array" ref="C1217">_xlfn.IFS(Table13_1[[#This Row],[Round BMI]]&lt;18.5,"Underweight",AND(Table13_1[[#This Row],[Round BMI]]&gt;=18.5,Table13_1[[#This Row],[Round BMI]] &lt;=24.9),"Healthy Weight",AND(Table13_1[[#This Row],[Round BMI]]&gt;=25,Table13_1[[#This Row],[Round BMI]]&lt;=29.9),"Overweight",Table13_1[[#This Row],[Round BMI]]&gt;=30,"Obese")</f>
        <v>Obese</v>
      </c>
      <c r="D1217" s="4" t="s">
        <v>11</v>
      </c>
      <c r="E1217" s="4" t="str">
        <f>IF(Table13_1[[#This Row],[smoker]]="yes","smoker","non-smoker")</f>
        <v>non-smoker</v>
      </c>
      <c r="F1217" s="4" t="s">
        <v>14</v>
      </c>
      <c r="G1217" s="5">
        <v>18</v>
      </c>
      <c r="H1217" s="5">
        <f>IF(Table13_1[[#This Row],[smoker]]="yes",1,0)</f>
        <v>0</v>
      </c>
      <c r="I1217" s="4">
        <v>39.14</v>
      </c>
      <c r="J1217" s="4">
        <v>0</v>
      </c>
      <c r="K1217" s="12">
        <v>12890.0576</v>
      </c>
      <c r="N1217">
        <v>1062</v>
      </c>
      <c r="O1217">
        <v>12060.683050568838</v>
      </c>
      <c r="P1217">
        <v>-506.45945056883829</v>
      </c>
    </row>
    <row r="1218" spans="1:16" x14ac:dyDescent="0.25">
      <c r="A1218" s="4" t="s">
        <v>10</v>
      </c>
      <c r="B1218" s="4">
        <f>ROUND(Table13_1[[#This Row],[bmi]],1)</f>
        <v>25.1</v>
      </c>
      <c r="C1218" s="4" t="str" cm="1">
        <f t="array" ref="C1218">_xlfn.IFS(Table13_1[[#This Row],[Round BMI]]&lt;18.5,"Underweight",AND(Table13_1[[#This Row],[Round BMI]]&gt;=18.5,Table13_1[[#This Row],[Round BMI]] &lt;=24.9),"Healthy Weight",AND(Table13_1[[#This Row],[Round BMI]]&gt;=25,Table13_1[[#This Row],[Round BMI]]&lt;=29.9),"Overweight",Table13_1[[#This Row],[Round BMI]]&gt;=30,"Obese")</f>
        <v>Overweight</v>
      </c>
      <c r="D1218" s="4" t="s">
        <v>11</v>
      </c>
      <c r="E1218" s="4" t="str">
        <f>IF(Table13_1[[#This Row],[smoker]]="yes","smoker","non-smoker")</f>
        <v>non-smoker</v>
      </c>
      <c r="F1218" s="4" t="s">
        <v>12</v>
      </c>
      <c r="G1218" s="5">
        <v>40</v>
      </c>
      <c r="H1218" s="5">
        <f>IF(Table13_1[[#This Row],[smoker]]="yes",1,0)</f>
        <v>0</v>
      </c>
      <c r="I1218" s="4">
        <v>25.08</v>
      </c>
      <c r="J1218" s="4">
        <v>0</v>
      </c>
      <c r="K1218" s="12">
        <v>5415.6611999999996</v>
      </c>
      <c r="N1218">
        <v>1063</v>
      </c>
      <c r="O1218">
        <v>40636.220428749082</v>
      </c>
      <c r="P1218">
        <v>8334.0271712509202</v>
      </c>
    </row>
    <row r="1219" spans="1:16" x14ac:dyDescent="0.25">
      <c r="A1219" s="4" t="s">
        <v>10</v>
      </c>
      <c r="B1219" s="4">
        <f>ROUND(Table13_1[[#This Row],[bmi]],1)</f>
        <v>37.299999999999997</v>
      </c>
      <c r="C1219" s="4" t="str" cm="1">
        <f t="array" ref="C1219">_xlfn.IFS(Table13_1[[#This Row],[Round BMI]]&lt;18.5,"Underweight",AND(Table13_1[[#This Row],[Round BMI]]&gt;=18.5,Table13_1[[#This Row],[Round BMI]] &lt;=24.9),"Healthy Weight",AND(Table13_1[[#This Row],[Round BMI]]&gt;=25,Table13_1[[#This Row],[Round BMI]]&lt;=29.9),"Overweight",Table13_1[[#This Row],[Round BMI]]&gt;=30,"Obese")</f>
        <v>Obese</v>
      </c>
      <c r="D1219" s="4" t="s">
        <v>11</v>
      </c>
      <c r="E1219" s="4" t="str">
        <f>IF(Table13_1[[#This Row],[smoker]]="yes","smoker","non-smoker")</f>
        <v>non-smoker</v>
      </c>
      <c r="F1219" s="4" t="s">
        <v>12</v>
      </c>
      <c r="G1219" s="5">
        <v>29</v>
      </c>
      <c r="H1219" s="5">
        <f>IF(Table13_1[[#This Row],[smoker]]="yes",1,0)</f>
        <v>0</v>
      </c>
      <c r="I1219" s="4">
        <v>37.29</v>
      </c>
      <c r="J1219" s="4">
        <v>2</v>
      </c>
      <c r="K1219" s="12">
        <v>4058.1161000000002</v>
      </c>
      <c r="N1219">
        <v>1064</v>
      </c>
      <c r="O1219">
        <v>7803.6606965840037</v>
      </c>
      <c r="P1219">
        <v>-1255.465696584004</v>
      </c>
    </row>
    <row r="1220" spans="1:16" x14ac:dyDescent="0.25">
      <c r="A1220" s="4" t="s">
        <v>7</v>
      </c>
      <c r="B1220" s="4">
        <f>ROUND(Table13_1[[#This Row],[bmi]],1)</f>
        <v>34.6</v>
      </c>
      <c r="C1220" s="4" t="str" cm="1">
        <f t="array" ref="C1220">_xlfn.IFS(Table13_1[[#This Row],[Round BMI]]&lt;18.5,"Underweight",AND(Table13_1[[#This Row],[Round BMI]]&gt;=18.5,Table13_1[[#This Row],[Round BMI]] &lt;=24.9),"Healthy Weight",AND(Table13_1[[#This Row],[Round BMI]]&gt;=25,Table13_1[[#This Row],[Round BMI]]&lt;=29.9),"Overweight",Table13_1[[#This Row],[Round BMI]]&gt;=30,"Obese")</f>
        <v>Obese</v>
      </c>
      <c r="D1220" s="4" t="s">
        <v>8</v>
      </c>
      <c r="E1220" s="4" t="str">
        <f>IF(Table13_1[[#This Row],[smoker]]="yes","smoker","non-smoker")</f>
        <v>smoker</v>
      </c>
      <c r="F1220" s="4" t="s">
        <v>9</v>
      </c>
      <c r="G1220" s="5">
        <v>46</v>
      </c>
      <c r="H1220" s="5">
        <f>IF(Table13_1[[#This Row],[smoker]]="yes",1,0)</f>
        <v>1</v>
      </c>
      <c r="I1220" s="4">
        <v>34.6</v>
      </c>
      <c r="J1220" s="4">
        <v>1</v>
      </c>
      <c r="K1220" s="12">
        <v>41661.601999999999</v>
      </c>
      <c r="N1220">
        <v>1065</v>
      </c>
      <c r="O1220">
        <v>5508.2715093079041</v>
      </c>
      <c r="P1220">
        <v>200.59549069209606</v>
      </c>
    </row>
    <row r="1221" spans="1:16" x14ac:dyDescent="0.25">
      <c r="A1221" s="4" t="s">
        <v>7</v>
      </c>
      <c r="B1221" s="4">
        <f>ROUND(Table13_1[[#This Row],[bmi]],1)</f>
        <v>30.2</v>
      </c>
      <c r="C1221" s="4" t="str" cm="1">
        <f t="array" ref="C1221">_xlfn.IFS(Table13_1[[#This Row],[Round BMI]]&lt;18.5,"Underweight",AND(Table13_1[[#This Row],[Round BMI]]&gt;=18.5,Table13_1[[#This Row],[Round BMI]] &lt;=24.9),"Healthy Weight",AND(Table13_1[[#This Row],[Round BMI]]&gt;=25,Table13_1[[#This Row],[Round BMI]]&lt;=29.9),"Overweight",Table13_1[[#This Row],[Round BMI]]&gt;=30,"Obese")</f>
        <v>Obese</v>
      </c>
      <c r="D1221" s="4" t="s">
        <v>11</v>
      </c>
      <c r="E1221" s="4" t="str">
        <f>IF(Table13_1[[#This Row],[smoker]]="yes","smoker","non-smoker")</f>
        <v>non-smoker</v>
      </c>
      <c r="F1221" s="4" t="s">
        <v>13</v>
      </c>
      <c r="G1221" s="5">
        <v>38</v>
      </c>
      <c r="H1221" s="5">
        <f>IF(Table13_1[[#This Row],[smoker]]="yes",1,0)</f>
        <v>0</v>
      </c>
      <c r="I1221" s="4">
        <v>30.21</v>
      </c>
      <c r="J1221" s="4">
        <v>3</v>
      </c>
      <c r="K1221" s="12">
        <v>7537.1638999999996</v>
      </c>
      <c r="N1221">
        <v>1066</v>
      </c>
      <c r="O1221">
        <v>7343.252737112698</v>
      </c>
      <c r="P1221">
        <v>-297.75373711269822</v>
      </c>
    </row>
    <row r="1222" spans="1:16" x14ac:dyDescent="0.25">
      <c r="A1222" s="4" t="s">
        <v>7</v>
      </c>
      <c r="B1222" s="4">
        <f>ROUND(Table13_1[[#This Row],[bmi]],1)</f>
        <v>21.9</v>
      </c>
      <c r="C1222" s="4" t="str" cm="1">
        <f t="array" ref="C1222">_xlfn.IFS(Table13_1[[#This Row],[Round BMI]]&lt;18.5,"Underweight",AND(Table13_1[[#This Row],[Round BMI]]&gt;=18.5,Table13_1[[#This Row],[Round BMI]] &lt;=24.9),"Healthy Weight",AND(Table13_1[[#This Row],[Round BMI]]&gt;=25,Table13_1[[#This Row],[Round BMI]]&lt;=29.9),"Overweight",Table13_1[[#This Row],[Round BMI]]&gt;=30,"Obese")</f>
        <v>Healthy Weight</v>
      </c>
      <c r="D1222" s="4" t="s">
        <v>11</v>
      </c>
      <c r="E1222" s="4" t="str">
        <f>IF(Table13_1[[#This Row],[smoker]]="yes","smoker","non-smoker")</f>
        <v>non-smoker</v>
      </c>
      <c r="F1222" s="4" t="s">
        <v>14</v>
      </c>
      <c r="G1222" s="5">
        <v>30</v>
      </c>
      <c r="H1222" s="5">
        <f>IF(Table13_1[[#This Row],[smoker]]="yes",1,0)</f>
        <v>0</v>
      </c>
      <c r="I1222" s="4">
        <v>21.945</v>
      </c>
      <c r="J1222" s="4">
        <v>1</v>
      </c>
      <c r="K1222" s="12">
        <v>4718.2035999999998</v>
      </c>
      <c r="N1222">
        <v>1067</v>
      </c>
      <c r="O1222">
        <v>13222.850416706795</v>
      </c>
      <c r="P1222">
        <v>-4244.6653167067943</v>
      </c>
    </row>
    <row r="1223" spans="1:16" x14ac:dyDescent="0.25">
      <c r="A1223" s="4" t="s">
        <v>10</v>
      </c>
      <c r="B1223" s="4">
        <f>ROUND(Table13_1[[#This Row],[bmi]],1)</f>
        <v>25</v>
      </c>
      <c r="C1223" s="4" t="str" cm="1">
        <f t="array" ref="C1223">_xlfn.IFS(Table13_1[[#This Row],[Round BMI]]&lt;18.5,"Underweight",AND(Table13_1[[#This Row],[Round BMI]]&gt;=18.5,Table13_1[[#This Row],[Round BMI]] &lt;=24.9),"Healthy Weight",AND(Table13_1[[#This Row],[Round BMI]]&gt;=25,Table13_1[[#This Row],[Round BMI]]&lt;=29.9),"Overweight",Table13_1[[#This Row],[Round BMI]]&gt;=30,"Obese")</f>
        <v>Overweight</v>
      </c>
      <c r="D1223" s="4" t="s">
        <v>11</v>
      </c>
      <c r="E1223" s="4" t="str">
        <f>IF(Table13_1[[#This Row],[smoker]]="yes","smoker","non-smoker")</f>
        <v>non-smoker</v>
      </c>
      <c r="F1223" s="4" t="s">
        <v>12</v>
      </c>
      <c r="G1223" s="5">
        <v>40</v>
      </c>
      <c r="H1223" s="5">
        <f>IF(Table13_1[[#This Row],[smoker]]="yes",1,0)</f>
        <v>0</v>
      </c>
      <c r="I1223" s="4">
        <v>24.97</v>
      </c>
      <c r="J1223" s="4">
        <v>2</v>
      </c>
      <c r="K1223" s="12">
        <v>6593.5083000000004</v>
      </c>
      <c r="N1223">
        <v>1068</v>
      </c>
      <c r="O1223">
        <v>11681.93299588505</v>
      </c>
      <c r="P1223">
        <v>-5924.51959588505</v>
      </c>
    </row>
    <row r="1224" spans="1:16" x14ac:dyDescent="0.25">
      <c r="A1224" s="4" t="s">
        <v>10</v>
      </c>
      <c r="B1224" s="4">
        <f>ROUND(Table13_1[[#This Row],[bmi]],1)</f>
        <v>25.3</v>
      </c>
      <c r="C1224" s="4" t="str" cm="1">
        <f t="array" ref="C1224">_xlfn.IFS(Table13_1[[#This Row],[Round BMI]]&lt;18.5,"Underweight",AND(Table13_1[[#This Row],[Round BMI]]&gt;=18.5,Table13_1[[#This Row],[Round BMI]] &lt;=24.9),"Healthy Weight",AND(Table13_1[[#This Row],[Round BMI]]&gt;=25,Table13_1[[#This Row],[Round BMI]]&lt;=29.9),"Overweight",Table13_1[[#This Row],[Round BMI]]&gt;=30,"Obese")</f>
        <v>Overweight</v>
      </c>
      <c r="D1224" s="4" t="s">
        <v>11</v>
      </c>
      <c r="E1224" s="4" t="str">
        <f>IF(Table13_1[[#This Row],[smoker]]="yes","smoker","non-smoker")</f>
        <v>non-smoker</v>
      </c>
      <c r="F1224" s="4" t="s">
        <v>12</v>
      </c>
      <c r="G1224" s="5">
        <v>50</v>
      </c>
      <c r="H1224" s="5">
        <f>IF(Table13_1[[#This Row],[smoker]]="yes",1,0)</f>
        <v>0</v>
      </c>
      <c r="I1224" s="4">
        <v>25.3</v>
      </c>
      <c r="J1224" s="4">
        <v>0</v>
      </c>
      <c r="K1224" s="12">
        <v>8442.6669999999995</v>
      </c>
      <c r="N1224">
        <v>1069</v>
      </c>
      <c r="O1224">
        <v>11586.553284708158</v>
      </c>
      <c r="P1224">
        <v>2763.3011152918425</v>
      </c>
    </row>
    <row r="1225" spans="1:16" x14ac:dyDescent="0.25">
      <c r="A1225" s="4" t="s">
        <v>7</v>
      </c>
      <c r="B1225" s="4">
        <f>ROUND(Table13_1[[#This Row],[bmi]],1)</f>
        <v>24.4</v>
      </c>
      <c r="C1225" s="4" t="str" cm="1">
        <f t="array" ref="C1225">_xlfn.IFS(Table13_1[[#This Row],[Round BMI]]&lt;18.5,"Underweight",AND(Table13_1[[#This Row],[Round BMI]]&gt;=18.5,Table13_1[[#This Row],[Round BMI]] &lt;=24.9),"Healthy Weight",AND(Table13_1[[#This Row],[Round BMI]]&gt;=25,Table13_1[[#This Row],[Round BMI]]&lt;=29.9),"Overweight",Table13_1[[#This Row],[Round BMI]]&gt;=30,"Obese")</f>
        <v>Healthy Weight</v>
      </c>
      <c r="D1225" s="4" t="s">
        <v>8</v>
      </c>
      <c r="E1225" s="4" t="str">
        <f>IF(Table13_1[[#This Row],[smoker]]="yes","smoker","non-smoker")</f>
        <v>smoker</v>
      </c>
      <c r="F1225" s="4" t="s">
        <v>12</v>
      </c>
      <c r="G1225" s="5">
        <v>20</v>
      </c>
      <c r="H1225" s="5">
        <f>IF(Table13_1[[#This Row],[smoker]]="yes",1,0)</f>
        <v>1</v>
      </c>
      <c r="I1225" s="4">
        <v>24.42</v>
      </c>
      <c r="J1225" s="4">
        <v>0</v>
      </c>
      <c r="K1225" s="12">
        <v>26125.674800000001</v>
      </c>
      <c r="N1225">
        <v>1070</v>
      </c>
      <c r="O1225">
        <v>12561.66608382897</v>
      </c>
      <c r="P1225">
        <v>-1632.8170838289698</v>
      </c>
    </row>
    <row r="1226" spans="1:16" x14ac:dyDescent="0.25">
      <c r="A1226" s="4" t="s">
        <v>10</v>
      </c>
      <c r="B1226" s="4">
        <f>ROUND(Table13_1[[#This Row],[bmi]],1)</f>
        <v>23.9</v>
      </c>
      <c r="C1226" s="4" t="str" cm="1">
        <f t="array" ref="C1226">_xlfn.IFS(Table13_1[[#This Row],[Round BMI]]&lt;18.5,"Underweight",AND(Table13_1[[#This Row],[Round BMI]]&gt;=18.5,Table13_1[[#This Row],[Round BMI]] &lt;=24.9),"Healthy Weight",AND(Table13_1[[#This Row],[Round BMI]]&gt;=25,Table13_1[[#This Row],[Round BMI]]&lt;=29.9),"Overweight",Table13_1[[#This Row],[Round BMI]]&gt;=30,"Obese")</f>
        <v>Healthy Weight</v>
      </c>
      <c r="D1226" s="4" t="s">
        <v>11</v>
      </c>
      <c r="E1226" s="4" t="str">
        <f>IF(Table13_1[[#This Row],[smoker]]="yes","smoker","non-smoker")</f>
        <v>non-smoker</v>
      </c>
      <c r="F1226" s="4" t="s">
        <v>14</v>
      </c>
      <c r="G1226" s="5">
        <v>41</v>
      </c>
      <c r="H1226" s="5">
        <f>IF(Table13_1[[#This Row],[smoker]]="yes",1,0)</f>
        <v>0</v>
      </c>
      <c r="I1226" s="4">
        <v>23.94</v>
      </c>
      <c r="J1226" s="4">
        <v>1</v>
      </c>
      <c r="K1226" s="12">
        <v>6858.4795999999997</v>
      </c>
      <c r="N1226">
        <v>1071</v>
      </c>
      <c r="O1226">
        <v>33653.596057917515</v>
      </c>
      <c r="P1226">
        <v>6218.1082420824823</v>
      </c>
    </row>
    <row r="1227" spans="1:16" x14ac:dyDescent="0.25">
      <c r="A1227" s="4" t="s">
        <v>7</v>
      </c>
      <c r="B1227" s="4">
        <f>ROUND(Table13_1[[#This Row],[bmi]],1)</f>
        <v>39.799999999999997</v>
      </c>
      <c r="C1227" s="4" t="str" cm="1">
        <f t="array" ref="C1227">_xlfn.IFS(Table13_1[[#This Row],[Round BMI]]&lt;18.5,"Underweight",AND(Table13_1[[#This Row],[Round BMI]]&gt;=18.5,Table13_1[[#This Row],[Round BMI]] &lt;=24.9),"Healthy Weight",AND(Table13_1[[#This Row],[Round BMI]]&gt;=25,Table13_1[[#This Row],[Round BMI]]&lt;=29.9),"Overweight",Table13_1[[#This Row],[Round BMI]]&gt;=30,"Obese")</f>
        <v>Obese</v>
      </c>
      <c r="D1227" s="4" t="s">
        <v>11</v>
      </c>
      <c r="E1227" s="4" t="str">
        <f>IF(Table13_1[[#This Row],[smoker]]="yes","smoker","non-smoker")</f>
        <v>non-smoker</v>
      </c>
      <c r="F1227" s="4" t="s">
        <v>12</v>
      </c>
      <c r="G1227" s="5">
        <v>33</v>
      </c>
      <c r="H1227" s="5">
        <f>IF(Table13_1[[#This Row],[smoker]]="yes",1,0)</f>
        <v>0</v>
      </c>
      <c r="I1227" s="4">
        <v>39.82</v>
      </c>
      <c r="J1227" s="4">
        <v>1</v>
      </c>
      <c r="K1227" s="12">
        <v>4795.6567999999997</v>
      </c>
      <c r="N1227">
        <v>1072</v>
      </c>
      <c r="O1227">
        <v>14262.366945963598</v>
      </c>
      <c r="P1227">
        <v>-287.91134596359916</v>
      </c>
    </row>
    <row r="1228" spans="1:16" x14ac:dyDescent="0.25">
      <c r="A1228" s="4" t="s">
        <v>10</v>
      </c>
      <c r="B1228" s="4">
        <f>ROUND(Table13_1[[#This Row],[bmi]],1)</f>
        <v>16.8</v>
      </c>
      <c r="C1228" s="4" t="str" cm="1">
        <f t="array" ref="C1228">_xlfn.IFS(Table13_1[[#This Row],[Round BMI]]&lt;18.5,"Underweight",AND(Table13_1[[#This Row],[Round BMI]]&gt;=18.5,Table13_1[[#This Row],[Round BMI]] &lt;=24.9),"Healthy Weight",AND(Table13_1[[#This Row],[Round BMI]]&gt;=25,Table13_1[[#This Row],[Round BMI]]&lt;=29.9),"Overweight",Table13_1[[#This Row],[Round BMI]]&gt;=30,"Obese")</f>
        <v>Underweight</v>
      </c>
      <c r="D1228" s="4" t="s">
        <v>11</v>
      </c>
      <c r="E1228" s="4" t="str">
        <f>IF(Table13_1[[#This Row],[smoker]]="yes","smoker","non-smoker")</f>
        <v>non-smoker</v>
      </c>
      <c r="F1228" s="4" t="s">
        <v>14</v>
      </c>
      <c r="G1228" s="5">
        <v>38</v>
      </c>
      <c r="H1228" s="5">
        <f>IF(Table13_1[[#This Row],[smoker]]="yes",1,0)</f>
        <v>0</v>
      </c>
      <c r="I1228" s="4">
        <v>16.815000000000001</v>
      </c>
      <c r="J1228" s="4">
        <v>2</v>
      </c>
      <c r="K1228" s="12">
        <v>6640.5447999999997</v>
      </c>
      <c r="N1228">
        <v>1073</v>
      </c>
      <c r="O1228">
        <v>3371.5358715488201</v>
      </c>
      <c r="P1228">
        <v>-1462.0084715488201</v>
      </c>
    </row>
    <row r="1229" spans="1:16" x14ac:dyDescent="0.25">
      <c r="A1229" s="4" t="s">
        <v>10</v>
      </c>
      <c r="B1229" s="4">
        <f>ROUND(Table13_1[[#This Row],[bmi]],1)</f>
        <v>37.200000000000003</v>
      </c>
      <c r="C1229" s="4" t="str" cm="1">
        <f t="array" ref="C1229">_xlfn.IFS(Table13_1[[#This Row],[Round BMI]]&lt;18.5,"Underweight",AND(Table13_1[[#This Row],[Round BMI]]&gt;=18.5,Table13_1[[#This Row],[Round BMI]] &lt;=24.9),"Healthy Weight",AND(Table13_1[[#This Row],[Round BMI]]&gt;=25,Table13_1[[#This Row],[Round BMI]]&lt;=29.9),"Overweight",Table13_1[[#This Row],[Round BMI]]&gt;=30,"Obese")</f>
        <v>Obese</v>
      </c>
      <c r="D1229" s="4" t="s">
        <v>11</v>
      </c>
      <c r="E1229" s="4" t="str">
        <f>IF(Table13_1[[#This Row],[smoker]]="yes","smoker","non-smoker")</f>
        <v>non-smoker</v>
      </c>
      <c r="F1229" s="4" t="s">
        <v>12</v>
      </c>
      <c r="G1229" s="5">
        <v>42</v>
      </c>
      <c r="H1229" s="5">
        <f>IF(Table13_1[[#This Row],[smoker]]="yes",1,0)</f>
        <v>0</v>
      </c>
      <c r="I1229" s="4">
        <v>37.18</v>
      </c>
      <c r="J1229" s="4">
        <v>2</v>
      </c>
      <c r="K1229" s="12">
        <v>7162.0122000000001</v>
      </c>
      <c r="N1229">
        <v>1074</v>
      </c>
      <c r="O1229">
        <v>12063.177162794331</v>
      </c>
      <c r="P1229">
        <v>33.474037205669447</v>
      </c>
    </row>
    <row r="1230" spans="1:16" x14ac:dyDescent="0.25">
      <c r="A1230" s="4" t="s">
        <v>10</v>
      </c>
      <c r="B1230" s="4">
        <f>ROUND(Table13_1[[#This Row],[bmi]],1)</f>
        <v>34.4</v>
      </c>
      <c r="C1230" s="4" t="str" cm="1">
        <f t="array" ref="C1230">_xlfn.IFS(Table13_1[[#This Row],[Round BMI]]&lt;18.5,"Underweight",AND(Table13_1[[#This Row],[Round BMI]]&gt;=18.5,Table13_1[[#This Row],[Round BMI]] &lt;=24.9),"Healthy Weight",AND(Table13_1[[#This Row],[Round BMI]]&gt;=25,Table13_1[[#This Row],[Round BMI]]&lt;=29.9),"Overweight",Table13_1[[#This Row],[Round BMI]]&gt;=30,"Obese")</f>
        <v>Obese</v>
      </c>
      <c r="D1230" s="4" t="s">
        <v>11</v>
      </c>
      <c r="E1230" s="4" t="str">
        <f>IF(Table13_1[[#This Row],[smoker]]="yes","smoker","non-smoker")</f>
        <v>non-smoker</v>
      </c>
      <c r="F1230" s="4" t="s">
        <v>12</v>
      </c>
      <c r="G1230" s="5">
        <v>56</v>
      </c>
      <c r="H1230" s="5">
        <f>IF(Table13_1[[#This Row],[smoker]]="yes",1,0)</f>
        <v>0</v>
      </c>
      <c r="I1230" s="4">
        <v>34.43</v>
      </c>
      <c r="J1230" s="4">
        <v>0</v>
      </c>
      <c r="K1230" s="12">
        <v>10594.225700000001</v>
      </c>
      <c r="N1230">
        <v>1075</v>
      </c>
      <c r="O1230">
        <v>9269.3465327242338</v>
      </c>
      <c r="P1230">
        <v>3934.9390672757654</v>
      </c>
    </row>
    <row r="1231" spans="1:16" x14ac:dyDescent="0.25">
      <c r="A1231" s="4" t="s">
        <v>10</v>
      </c>
      <c r="B1231" s="4">
        <f>ROUND(Table13_1[[#This Row],[bmi]],1)</f>
        <v>30.3</v>
      </c>
      <c r="C1231" s="4" t="str" cm="1">
        <f t="array" ref="C1231">_xlfn.IFS(Table13_1[[#This Row],[Round BMI]]&lt;18.5,"Underweight",AND(Table13_1[[#This Row],[Round BMI]]&gt;=18.5,Table13_1[[#This Row],[Round BMI]] &lt;=24.9),"Healthy Weight",AND(Table13_1[[#This Row],[Round BMI]]&gt;=25,Table13_1[[#This Row],[Round BMI]]&lt;=29.9),"Overweight",Table13_1[[#This Row],[Round BMI]]&gt;=30,"Obese")</f>
        <v>Obese</v>
      </c>
      <c r="D1231" s="4" t="s">
        <v>11</v>
      </c>
      <c r="E1231" s="4" t="str">
        <f>IF(Table13_1[[#This Row],[smoker]]="yes","smoker","non-smoker")</f>
        <v>non-smoker</v>
      </c>
      <c r="F1231" s="4" t="s">
        <v>14</v>
      </c>
      <c r="G1231" s="5">
        <v>58</v>
      </c>
      <c r="H1231" s="5">
        <f>IF(Table13_1[[#This Row],[smoker]]="yes",1,0)</f>
        <v>0</v>
      </c>
      <c r="I1231" s="4">
        <v>30.305</v>
      </c>
      <c r="J1231" s="4">
        <v>0</v>
      </c>
      <c r="K1231" s="12">
        <v>11938.255999999999</v>
      </c>
      <c r="N1231">
        <v>1076</v>
      </c>
      <c r="O1231">
        <v>6145.5001819979379</v>
      </c>
      <c r="P1231">
        <v>-1582.6580819979381</v>
      </c>
    </row>
    <row r="1232" spans="1:16" x14ac:dyDescent="0.25">
      <c r="A1232" s="4" t="s">
        <v>10</v>
      </c>
      <c r="B1232" s="4">
        <f>ROUND(Table13_1[[#This Row],[bmi]],1)</f>
        <v>34.5</v>
      </c>
      <c r="C1232" s="4" t="str" cm="1">
        <f t="array" ref="C1232">_xlfn.IFS(Table13_1[[#This Row],[Round BMI]]&lt;18.5,"Underweight",AND(Table13_1[[#This Row],[Round BMI]]&gt;=18.5,Table13_1[[#This Row],[Round BMI]] &lt;=24.9),"Healthy Weight",AND(Table13_1[[#This Row],[Round BMI]]&gt;=25,Table13_1[[#This Row],[Round BMI]]&lt;=29.9),"Overweight",Table13_1[[#This Row],[Round BMI]]&gt;=30,"Obese")</f>
        <v>Obese</v>
      </c>
      <c r="D1232" s="4" t="s">
        <v>8</v>
      </c>
      <c r="E1232" s="4" t="str">
        <f>IF(Table13_1[[#This Row],[smoker]]="yes","smoker","non-smoker")</f>
        <v>smoker</v>
      </c>
      <c r="F1232" s="4" t="s">
        <v>13</v>
      </c>
      <c r="G1232" s="5">
        <v>52</v>
      </c>
      <c r="H1232" s="5">
        <f>IF(Table13_1[[#This Row],[smoker]]="yes",1,0)</f>
        <v>1</v>
      </c>
      <c r="I1232" s="4">
        <v>34.484999999999999</v>
      </c>
      <c r="J1232" s="4">
        <v>3</v>
      </c>
      <c r="K1232" s="12">
        <v>60021.398999999998</v>
      </c>
      <c r="N1232">
        <v>1077</v>
      </c>
      <c r="O1232">
        <v>10788.904672800601</v>
      </c>
      <c r="P1232">
        <v>-2237.5576728006017</v>
      </c>
    </row>
    <row r="1233" spans="1:16" x14ac:dyDescent="0.25">
      <c r="A1233" s="4" t="s">
        <v>7</v>
      </c>
      <c r="B1233" s="4">
        <f>ROUND(Table13_1[[#This Row],[bmi]],1)</f>
        <v>21.8</v>
      </c>
      <c r="C1233" s="4" t="str" cm="1">
        <f t="array" ref="C1233">_xlfn.IFS(Table13_1[[#This Row],[Round BMI]]&lt;18.5,"Underweight",AND(Table13_1[[#This Row],[Round BMI]]&gt;=18.5,Table13_1[[#This Row],[Round BMI]] &lt;=24.9),"Healthy Weight",AND(Table13_1[[#This Row],[Round BMI]]&gt;=25,Table13_1[[#This Row],[Round BMI]]&lt;=29.9),"Overweight",Table13_1[[#This Row],[Round BMI]]&gt;=30,"Obese")</f>
        <v>Healthy Weight</v>
      </c>
      <c r="D1233" s="4" t="s">
        <v>8</v>
      </c>
      <c r="E1233" s="4" t="str">
        <f>IF(Table13_1[[#This Row],[smoker]]="yes","smoker","non-smoker")</f>
        <v>smoker</v>
      </c>
      <c r="F1233" s="4" t="s">
        <v>9</v>
      </c>
      <c r="G1233" s="5">
        <v>20</v>
      </c>
      <c r="H1233" s="5">
        <f>IF(Table13_1[[#This Row],[smoker]]="yes",1,0)</f>
        <v>1</v>
      </c>
      <c r="I1233" s="4">
        <v>21.8</v>
      </c>
      <c r="J1233" s="4">
        <v>0</v>
      </c>
      <c r="K1233" s="12">
        <v>20167.335999999999</v>
      </c>
      <c r="N1233">
        <v>1078</v>
      </c>
      <c r="O1233">
        <v>1689.8622917034845</v>
      </c>
      <c r="P1233">
        <v>412.40240829651566</v>
      </c>
    </row>
    <row r="1234" spans="1:16" x14ac:dyDescent="0.25">
      <c r="A1234" s="4" t="s">
        <v>7</v>
      </c>
      <c r="B1234" s="4">
        <f>ROUND(Table13_1[[#This Row],[bmi]],1)</f>
        <v>24.6</v>
      </c>
      <c r="C1234" s="4" t="str" cm="1">
        <f t="array" ref="C1234">_xlfn.IFS(Table13_1[[#This Row],[Round BMI]]&lt;18.5,"Underweight",AND(Table13_1[[#This Row],[Round BMI]]&gt;=18.5,Table13_1[[#This Row],[Round BMI]] &lt;=24.9),"Healthy Weight",AND(Table13_1[[#This Row],[Round BMI]]&gt;=25,Table13_1[[#This Row],[Round BMI]]&lt;=29.9),"Overweight",Table13_1[[#This Row],[Round BMI]]&gt;=30,"Obese")</f>
        <v>Healthy Weight</v>
      </c>
      <c r="D1234" s="4" t="s">
        <v>11</v>
      </c>
      <c r="E1234" s="4" t="str">
        <f>IF(Table13_1[[#This Row],[smoker]]="yes","smoker","non-smoker")</f>
        <v>non-smoker</v>
      </c>
      <c r="F1234" s="4" t="s">
        <v>13</v>
      </c>
      <c r="G1234" s="5">
        <v>54</v>
      </c>
      <c r="H1234" s="5">
        <f>IF(Table13_1[[#This Row],[smoker]]="yes",1,0)</f>
        <v>0</v>
      </c>
      <c r="I1234" s="4">
        <v>24.605</v>
      </c>
      <c r="J1234" s="4">
        <v>3</v>
      </c>
      <c r="K1234" s="12">
        <v>12479.709000000001</v>
      </c>
      <c r="N1234">
        <v>1079</v>
      </c>
      <c r="O1234">
        <v>29124.669115084351</v>
      </c>
      <c r="P1234">
        <v>5547.4780849156487</v>
      </c>
    </row>
    <row r="1235" spans="1:16" x14ac:dyDescent="0.25">
      <c r="A1235" s="4" t="s">
        <v>10</v>
      </c>
      <c r="B1235" s="4">
        <f>ROUND(Table13_1[[#This Row],[bmi]],1)</f>
        <v>23.3</v>
      </c>
      <c r="C1235" s="4" t="str" cm="1">
        <f t="array" ref="C1235">_xlfn.IFS(Table13_1[[#This Row],[Round BMI]]&lt;18.5,"Underweight",AND(Table13_1[[#This Row],[Round BMI]]&gt;=18.5,Table13_1[[#This Row],[Round BMI]] &lt;=24.9),"Healthy Weight",AND(Table13_1[[#This Row],[Round BMI]]&gt;=25,Table13_1[[#This Row],[Round BMI]]&lt;=29.9),"Overweight",Table13_1[[#This Row],[Round BMI]]&gt;=30,"Obese")</f>
        <v>Healthy Weight</v>
      </c>
      <c r="D1235" s="4" t="s">
        <v>11</v>
      </c>
      <c r="E1235" s="4" t="str">
        <f>IF(Table13_1[[#This Row],[smoker]]="yes","smoker","non-smoker")</f>
        <v>non-smoker</v>
      </c>
      <c r="F1235" s="4" t="s">
        <v>9</v>
      </c>
      <c r="G1235" s="5">
        <v>58</v>
      </c>
      <c r="H1235" s="5">
        <f>IF(Table13_1[[#This Row],[smoker]]="yes",1,0)</f>
        <v>0</v>
      </c>
      <c r="I1235" s="4">
        <v>23.3</v>
      </c>
      <c r="J1235" s="4">
        <v>0</v>
      </c>
      <c r="K1235" s="12">
        <v>11345.519</v>
      </c>
      <c r="N1235">
        <v>1080</v>
      </c>
      <c r="O1235">
        <v>16395.774749894354</v>
      </c>
      <c r="P1235">
        <v>-1234.2403498943531</v>
      </c>
    </row>
    <row r="1236" spans="1:16" x14ac:dyDescent="0.25">
      <c r="A1236" s="4" t="s">
        <v>7</v>
      </c>
      <c r="B1236" s="4">
        <f>ROUND(Table13_1[[#This Row],[bmi]],1)</f>
        <v>27.8</v>
      </c>
      <c r="C1236" s="4" t="str" cm="1">
        <f t="array" ref="C1236">_xlfn.IFS(Table13_1[[#This Row],[Round BMI]]&lt;18.5,"Underweight",AND(Table13_1[[#This Row],[Round BMI]]&gt;=18.5,Table13_1[[#This Row],[Round BMI]] &lt;=24.9),"Healthy Weight",AND(Table13_1[[#This Row],[Round BMI]]&gt;=25,Table13_1[[#This Row],[Round BMI]]&lt;=29.9),"Overweight",Table13_1[[#This Row],[Round BMI]]&gt;=30,"Obese")</f>
        <v>Overweight</v>
      </c>
      <c r="D1236" s="4" t="s">
        <v>11</v>
      </c>
      <c r="E1236" s="4" t="str">
        <f>IF(Table13_1[[#This Row],[smoker]]="yes","smoker","non-smoker")</f>
        <v>non-smoker</v>
      </c>
      <c r="F1236" s="4" t="s">
        <v>12</v>
      </c>
      <c r="G1236" s="5">
        <v>45</v>
      </c>
      <c r="H1236" s="5">
        <f>IF(Table13_1[[#This Row],[smoker]]="yes",1,0)</f>
        <v>0</v>
      </c>
      <c r="I1236" s="4">
        <v>27.83</v>
      </c>
      <c r="J1236" s="4">
        <v>2</v>
      </c>
      <c r="K1236" s="12">
        <v>8515.7587000000003</v>
      </c>
      <c r="N1236">
        <v>1081</v>
      </c>
      <c r="O1236">
        <v>495.44993872891041</v>
      </c>
      <c r="P1236">
        <v>11388.598661271089</v>
      </c>
    </row>
    <row r="1237" spans="1:16" x14ac:dyDescent="0.25">
      <c r="A1237" s="4" t="s">
        <v>10</v>
      </c>
      <c r="B1237" s="4">
        <f>ROUND(Table13_1[[#This Row],[bmi]],1)</f>
        <v>31.1</v>
      </c>
      <c r="C1237" s="4" t="str" cm="1">
        <f t="array" ref="C1237">_xlfn.IFS(Table13_1[[#This Row],[Round BMI]]&lt;18.5,"Underweight",AND(Table13_1[[#This Row],[Round BMI]]&gt;=18.5,Table13_1[[#This Row],[Round BMI]] &lt;=24.9),"Healthy Weight",AND(Table13_1[[#This Row],[Round BMI]]&gt;=25,Table13_1[[#This Row],[Round BMI]]&lt;=29.9),"Overweight",Table13_1[[#This Row],[Round BMI]]&gt;=30,"Obese")</f>
        <v>Obese</v>
      </c>
      <c r="D1237" s="4" t="s">
        <v>11</v>
      </c>
      <c r="E1237" s="4" t="str">
        <f>IF(Table13_1[[#This Row],[smoker]]="yes","smoker","non-smoker")</f>
        <v>non-smoker</v>
      </c>
      <c r="F1237" s="4" t="s">
        <v>13</v>
      </c>
      <c r="G1237" s="5">
        <v>26</v>
      </c>
      <c r="H1237" s="5">
        <f>IF(Table13_1[[#This Row],[smoker]]="yes",1,0)</f>
        <v>0</v>
      </c>
      <c r="I1237" s="4">
        <v>31.065000000000001</v>
      </c>
      <c r="J1237" s="4">
        <v>0</v>
      </c>
      <c r="K1237" s="12">
        <v>2699.5684000000001</v>
      </c>
      <c r="N1237">
        <v>1082</v>
      </c>
      <c r="O1237">
        <v>5580.6509700116103</v>
      </c>
      <c r="P1237">
        <v>-1126.2483700116099</v>
      </c>
    </row>
    <row r="1238" spans="1:16" x14ac:dyDescent="0.25">
      <c r="A1238" s="4" t="s">
        <v>7</v>
      </c>
      <c r="B1238" s="4">
        <f>ROUND(Table13_1[[#This Row],[bmi]],1)</f>
        <v>21.7</v>
      </c>
      <c r="C1238" s="4" t="str" cm="1">
        <f t="array" ref="C1238">_xlfn.IFS(Table13_1[[#This Row],[Round BMI]]&lt;18.5,"Underweight",AND(Table13_1[[#This Row],[Round BMI]]&gt;=18.5,Table13_1[[#This Row],[Round BMI]] &lt;=24.9),"Healthy Weight",AND(Table13_1[[#This Row],[Round BMI]]&gt;=25,Table13_1[[#This Row],[Round BMI]]&lt;=29.9),"Overweight",Table13_1[[#This Row],[Round BMI]]&gt;=30,"Obese")</f>
        <v>Healthy Weight</v>
      </c>
      <c r="D1238" s="4" t="s">
        <v>11</v>
      </c>
      <c r="E1238" s="4" t="str">
        <f>IF(Table13_1[[#This Row],[smoker]]="yes","smoker","non-smoker")</f>
        <v>non-smoker</v>
      </c>
      <c r="F1238" s="4" t="s">
        <v>14</v>
      </c>
      <c r="G1238" s="5">
        <v>63</v>
      </c>
      <c r="H1238" s="5">
        <f>IF(Table13_1[[#This Row],[smoker]]="yes",1,0)</f>
        <v>0</v>
      </c>
      <c r="I1238" s="4">
        <v>21.66</v>
      </c>
      <c r="J1238" s="4">
        <v>0</v>
      </c>
      <c r="K1238" s="12">
        <v>14449.8544</v>
      </c>
      <c r="N1238">
        <v>1083</v>
      </c>
      <c r="O1238">
        <v>4589.9497025907858</v>
      </c>
      <c r="P1238">
        <v>1265.9527974092143</v>
      </c>
    </row>
    <row r="1239" spans="1:16" x14ac:dyDescent="0.25">
      <c r="A1239" s="4" t="s">
        <v>7</v>
      </c>
      <c r="B1239" s="4">
        <f>ROUND(Table13_1[[#This Row],[bmi]],1)</f>
        <v>28.2</v>
      </c>
      <c r="C1239" s="4" t="str" cm="1">
        <f t="array" ref="C1239">_xlfn.IFS(Table13_1[[#This Row],[Round BMI]]&lt;18.5,"Underweight",AND(Table13_1[[#This Row],[Round BMI]]&gt;=18.5,Table13_1[[#This Row],[Round BMI]] &lt;=24.9),"Healthy Weight",AND(Table13_1[[#This Row],[Round BMI]]&gt;=25,Table13_1[[#This Row],[Round BMI]]&lt;=29.9),"Overweight",Table13_1[[#This Row],[Round BMI]]&gt;=30,"Obese")</f>
        <v>Overweight</v>
      </c>
      <c r="D1239" s="4" t="s">
        <v>11</v>
      </c>
      <c r="E1239" s="4" t="str">
        <f>IF(Table13_1[[#This Row],[smoker]]="yes","smoker","non-smoker")</f>
        <v>non-smoker</v>
      </c>
      <c r="F1239" s="4" t="s">
        <v>13</v>
      </c>
      <c r="G1239" s="5">
        <v>58</v>
      </c>
      <c r="H1239" s="5">
        <f>IF(Table13_1[[#This Row],[smoker]]="yes",1,0)</f>
        <v>0</v>
      </c>
      <c r="I1239" s="4">
        <v>28.215</v>
      </c>
      <c r="J1239" s="4">
        <v>0</v>
      </c>
      <c r="K1239" s="12">
        <v>12224.3508</v>
      </c>
      <c r="N1239">
        <v>1084</v>
      </c>
      <c r="O1239">
        <v>6760.2363614246542</v>
      </c>
      <c r="P1239">
        <v>-2683.7393614246544</v>
      </c>
    </row>
    <row r="1240" spans="1:16" x14ac:dyDescent="0.25">
      <c r="A1240" s="4" t="s">
        <v>10</v>
      </c>
      <c r="B1240" s="4">
        <f>ROUND(Table13_1[[#This Row],[bmi]],1)</f>
        <v>22.7</v>
      </c>
      <c r="C1240" s="4" t="str" cm="1">
        <f t="array" ref="C1240">_xlfn.IFS(Table13_1[[#This Row],[Round BMI]]&lt;18.5,"Underweight",AND(Table13_1[[#This Row],[Round BMI]]&gt;=18.5,Table13_1[[#This Row],[Round BMI]] &lt;=24.9),"Healthy Weight",AND(Table13_1[[#This Row],[Round BMI]]&gt;=25,Table13_1[[#This Row],[Round BMI]]&lt;=29.9),"Overweight",Table13_1[[#This Row],[Round BMI]]&gt;=30,"Obese")</f>
        <v>Healthy Weight</v>
      </c>
      <c r="D1240" s="4" t="s">
        <v>11</v>
      </c>
      <c r="E1240" s="4" t="str">
        <f>IF(Table13_1[[#This Row],[smoker]]="yes","smoker","non-smoker")</f>
        <v>non-smoker</v>
      </c>
      <c r="F1240" s="4" t="s">
        <v>14</v>
      </c>
      <c r="G1240" s="5">
        <v>37</v>
      </c>
      <c r="H1240" s="5">
        <f>IF(Table13_1[[#This Row],[smoker]]="yes",1,0)</f>
        <v>0</v>
      </c>
      <c r="I1240" s="4">
        <v>22.704999999999998</v>
      </c>
      <c r="J1240" s="4">
        <v>3</v>
      </c>
      <c r="K1240" s="12">
        <v>6985.5069999999996</v>
      </c>
      <c r="N1240">
        <v>1085</v>
      </c>
      <c r="O1240">
        <v>14645.763237025738</v>
      </c>
      <c r="P1240">
        <v>373.99676297426231</v>
      </c>
    </row>
    <row r="1241" spans="1:16" x14ac:dyDescent="0.25">
      <c r="A1241" s="4" t="s">
        <v>7</v>
      </c>
      <c r="B1241" s="4">
        <f>ROUND(Table13_1[[#This Row],[bmi]],1)</f>
        <v>42.1</v>
      </c>
      <c r="C1241" s="4" t="str" cm="1">
        <f t="array" ref="C1241">_xlfn.IFS(Table13_1[[#This Row],[Round BMI]]&lt;18.5,"Underweight",AND(Table13_1[[#This Row],[Round BMI]]&gt;=18.5,Table13_1[[#This Row],[Round BMI]] &lt;=24.9),"Healthy Weight",AND(Table13_1[[#This Row],[Round BMI]]&gt;=25,Table13_1[[#This Row],[Round BMI]]&lt;=29.9),"Overweight",Table13_1[[#This Row],[Round BMI]]&gt;=30,"Obese")</f>
        <v>Obese</v>
      </c>
      <c r="D1241" s="4" t="s">
        <v>11</v>
      </c>
      <c r="E1241" s="4" t="str">
        <f>IF(Table13_1[[#This Row],[smoker]]="yes","smoker","non-smoker")</f>
        <v>non-smoker</v>
      </c>
      <c r="F1241" s="4" t="s">
        <v>12</v>
      </c>
      <c r="G1241" s="5">
        <v>25</v>
      </c>
      <c r="H1241" s="5">
        <f>IF(Table13_1[[#This Row],[smoker]]="yes",1,0)</f>
        <v>0</v>
      </c>
      <c r="I1241" s="4">
        <v>42.13</v>
      </c>
      <c r="J1241" s="4">
        <v>1</v>
      </c>
      <c r="K1241" s="12">
        <v>3238.4357</v>
      </c>
      <c r="N1241">
        <v>1086</v>
      </c>
      <c r="O1241">
        <v>30022.15350343196</v>
      </c>
      <c r="P1241">
        <v>-10998.893503431962</v>
      </c>
    </row>
    <row r="1242" spans="1:16" x14ac:dyDescent="0.25">
      <c r="A1242" s="4" t="s">
        <v>10</v>
      </c>
      <c r="B1242" s="4">
        <f>ROUND(Table13_1[[#This Row],[bmi]],1)</f>
        <v>41.8</v>
      </c>
      <c r="C1242" s="4" t="str" cm="1">
        <f t="array" ref="C1242">_xlfn.IFS(Table13_1[[#This Row],[Round BMI]]&lt;18.5,"Underweight",AND(Table13_1[[#This Row],[Round BMI]]&gt;=18.5,Table13_1[[#This Row],[Round BMI]] &lt;=24.9),"Healthy Weight",AND(Table13_1[[#This Row],[Round BMI]]&gt;=25,Table13_1[[#This Row],[Round BMI]]&lt;=29.9),"Overweight",Table13_1[[#This Row],[Round BMI]]&gt;=30,"Obese")</f>
        <v>Obese</v>
      </c>
      <c r="D1242" s="4" t="s">
        <v>8</v>
      </c>
      <c r="E1242" s="4" t="str">
        <f>IF(Table13_1[[#This Row],[smoker]]="yes","smoker","non-smoker")</f>
        <v>smoker</v>
      </c>
      <c r="F1242" s="4" t="s">
        <v>12</v>
      </c>
      <c r="G1242" s="5">
        <v>52</v>
      </c>
      <c r="H1242" s="5">
        <f>IF(Table13_1[[#This Row],[smoker]]="yes",1,0)</f>
        <v>1</v>
      </c>
      <c r="I1242" s="4">
        <v>41.8</v>
      </c>
      <c r="J1242" s="4">
        <v>2</v>
      </c>
      <c r="K1242" s="12">
        <v>47269.853999999999</v>
      </c>
      <c r="N1242">
        <v>1087</v>
      </c>
      <c r="O1242">
        <v>11404.597922302957</v>
      </c>
      <c r="P1242">
        <v>-608.24772230295639</v>
      </c>
    </row>
    <row r="1243" spans="1:16" x14ac:dyDescent="0.25">
      <c r="A1243" s="4" t="s">
        <v>10</v>
      </c>
      <c r="B1243" s="4">
        <f>ROUND(Table13_1[[#This Row],[bmi]],1)</f>
        <v>37</v>
      </c>
      <c r="C1243" s="4" t="str" cm="1">
        <f t="array" ref="C1243">_xlfn.IFS(Table13_1[[#This Row],[Round BMI]]&lt;18.5,"Underweight",AND(Table13_1[[#This Row],[Round BMI]]&gt;=18.5,Table13_1[[#This Row],[Round BMI]] &lt;=24.9),"Healthy Weight",AND(Table13_1[[#This Row],[Round BMI]]&gt;=25,Table13_1[[#This Row],[Round BMI]]&lt;=29.9),"Overweight",Table13_1[[#This Row],[Round BMI]]&gt;=30,"Obese")</f>
        <v>Obese</v>
      </c>
      <c r="D1243" s="4" t="s">
        <v>8</v>
      </c>
      <c r="E1243" s="4" t="str">
        <f>IF(Table13_1[[#This Row],[smoker]]="yes","smoker","non-smoker")</f>
        <v>smoker</v>
      </c>
      <c r="F1243" s="4" t="s">
        <v>12</v>
      </c>
      <c r="G1243" s="5">
        <v>64</v>
      </c>
      <c r="H1243" s="5">
        <f>IF(Table13_1[[#This Row],[smoker]]="yes",1,0)</f>
        <v>1</v>
      </c>
      <c r="I1243" s="4">
        <v>36.96</v>
      </c>
      <c r="J1243" s="4">
        <v>2</v>
      </c>
      <c r="K1243" s="12">
        <v>49577.662400000001</v>
      </c>
      <c r="N1243">
        <v>1088</v>
      </c>
      <c r="O1243">
        <v>12745.845785251378</v>
      </c>
      <c r="P1243">
        <v>-1392.6181852513782</v>
      </c>
    </row>
    <row r="1244" spans="1:16" x14ac:dyDescent="0.25">
      <c r="A1244" s="4" t="s">
        <v>7</v>
      </c>
      <c r="B1244" s="4">
        <f>ROUND(Table13_1[[#This Row],[bmi]],1)</f>
        <v>21.3</v>
      </c>
      <c r="C1244" s="4" t="str" cm="1">
        <f t="array" ref="C1244">_xlfn.IFS(Table13_1[[#This Row],[Round BMI]]&lt;18.5,"Underweight",AND(Table13_1[[#This Row],[Round BMI]]&gt;=18.5,Table13_1[[#This Row],[Round BMI]] &lt;=24.9),"Healthy Weight",AND(Table13_1[[#This Row],[Round BMI]]&gt;=25,Table13_1[[#This Row],[Round BMI]]&lt;=29.9),"Overweight",Table13_1[[#This Row],[Round BMI]]&gt;=30,"Obese")</f>
        <v>Healthy Weight</v>
      </c>
      <c r="D1244" s="4" t="s">
        <v>11</v>
      </c>
      <c r="E1244" s="4" t="str">
        <f>IF(Table13_1[[#This Row],[smoker]]="yes","smoker","non-smoker")</f>
        <v>non-smoker</v>
      </c>
      <c r="F1244" s="4" t="s">
        <v>13</v>
      </c>
      <c r="G1244" s="5">
        <v>22</v>
      </c>
      <c r="H1244" s="5">
        <f>IF(Table13_1[[#This Row],[smoker]]="yes",1,0)</f>
        <v>0</v>
      </c>
      <c r="I1244" s="4">
        <v>21.28</v>
      </c>
      <c r="J1244" s="4">
        <v>3</v>
      </c>
      <c r="K1244" s="12">
        <v>4296.2712000000001</v>
      </c>
      <c r="N1244">
        <v>1089</v>
      </c>
      <c r="O1244">
        <v>17144.093290173067</v>
      </c>
      <c r="P1244">
        <v>-7395.1826901730674</v>
      </c>
    </row>
    <row r="1245" spans="1:16" x14ac:dyDescent="0.25">
      <c r="A1245" s="4" t="s">
        <v>7</v>
      </c>
      <c r="B1245" s="4">
        <f>ROUND(Table13_1[[#This Row],[bmi]],1)</f>
        <v>33.1</v>
      </c>
      <c r="C1245" s="4" t="str" cm="1">
        <f t="array" ref="C1245">_xlfn.IFS(Table13_1[[#This Row],[Round BMI]]&lt;18.5,"Underweight",AND(Table13_1[[#This Row],[Round BMI]]&gt;=18.5,Table13_1[[#This Row],[Round BMI]] &lt;=24.9),"Healthy Weight",AND(Table13_1[[#This Row],[Round BMI]]&gt;=25,Table13_1[[#This Row],[Round BMI]]&lt;=29.9),"Overweight",Table13_1[[#This Row],[Round BMI]]&gt;=30,"Obese")</f>
        <v>Obese</v>
      </c>
      <c r="D1245" s="4" t="s">
        <v>11</v>
      </c>
      <c r="E1245" s="4" t="str">
        <f>IF(Table13_1[[#This Row],[smoker]]="yes","smoker","non-smoker")</f>
        <v>non-smoker</v>
      </c>
      <c r="F1245" s="4" t="s">
        <v>12</v>
      </c>
      <c r="G1245" s="5">
        <v>28</v>
      </c>
      <c r="H1245" s="5">
        <f>IF(Table13_1[[#This Row],[smoker]]="yes",1,0)</f>
        <v>0</v>
      </c>
      <c r="I1245" s="4">
        <v>33.11</v>
      </c>
      <c r="J1245" s="4">
        <v>0</v>
      </c>
      <c r="K1245" s="12">
        <v>3171.6149</v>
      </c>
      <c r="N1245">
        <v>1090</v>
      </c>
      <c r="O1245">
        <v>9449.7190350999772</v>
      </c>
      <c r="P1245">
        <v>1127.3679649000223</v>
      </c>
    </row>
    <row r="1246" spans="1:16" x14ac:dyDescent="0.25">
      <c r="A1246" s="4" t="s">
        <v>10</v>
      </c>
      <c r="B1246" s="4">
        <f>ROUND(Table13_1[[#This Row],[bmi]],1)</f>
        <v>33.299999999999997</v>
      </c>
      <c r="C1246" s="4" t="str" cm="1">
        <f t="array" ref="C1246">_xlfn.IFS(Table13_1[[#This Row],[Round BMI]]&lt;18.5,"Underweight",AND(Table13_1[[#This Row],[Round BMI]]&gt;=18.5,Table13_1[[#This Row],[Round BMI]] &lt;=24.9),"Healthy Weight",AND(Table13_1[[#This Row],[Round BMI]]&gt;=25,Table13_1[[#This Row],[Round BMI]]&lt;=29.9),"Overweight",Table13_1[[#This Row],[Round BMI]]&gt;=30,"Obese")</f>
        <v>Obese</v>
      </c>
      <c r="D1246" s="4" t="s">
        <v>11</v>
      </c>
      <c r="E1246" s="4" t="str">
        <f>IF(Table13_1[[#This Row],[smoker]]="yes","smoker","non-smoker")</f>
        <v>non-smoker</v>
      </c>
      <c r="F1246" s="4" t="s">
        <v>12</v>
      </c>
      <c r="G1246" s="5">
        <v>18</v>
      </c>
      <c r="H1246" s="5">
        <f>IF(Table13_1[[#This Row],[smoker]]="yes",1,0)</f>
        <v>0</v>
      </c>
      <c r="I1246" s="4">
        <v>33.33</v>
      </c>
      <c r="J1246" s="4">
        <v>0</v>
      </c>
      <c r="K1246" s="12">
        <v>1135.9407000000001</v>
      </c>
      <c r="N1246">
        <v>1091</v>
      </c>
      <c r="O1246">
        <v>35475.359581174976</v>
      </c>
      <c r="P1246">
        <v>6200.7215188250266</v>
      </c>
    </row>
    <row r="1247" spans="1:16" x14ac:dyDescent="0.25">
      <c r="A1247" s="4" t="s">
        <v>10</v>
      </c>
      <c r="B1247" s="4">
        <f>ROUND(Table13_1[[#This Row],[bmi]],1)</f>
        <v>24.3</v>
      </c>
      <c r="C1247" s="4" t="str" cm="1">
        <f t="array" ref="C1247">_xlfn.IFS(Table13_1[[#This Row],[Round BMI]]&lt;18.5,"Underweight",AND(Table13_1[[#This Row],[Round BMI]]&gt;=18.5,Table13_1[[#This Row],[Round BMI]] &lt;=24.9),"Healthy Weight",AND(Table13_1[[#This Row],[Round BMI]]&gt;=25,Table13_1[[#This Row],[Round BMI]]&lt;=29.9),"Overweight",Table13_1[[#This Row],[Round BMI]]&gt;=30,"Obese")</f>
        <v>Healthy Weight</v>
      </c>
      <c r="D1247" s="4" t="s">
        <v>11</v>
      </c>
      <c r="E1247" s="4" t="str">
        <f>IF(Table13_1[[#This Row],[smoker]]="yes","smoker","non-smoker")</f>
        <v>non-smoker</v>
      </c>
      <c r="F1247" s="4" t="s">
        <v>9</v>
      </c>
      <c r="G1247" s="5">
        <v>28</v>
      </c>
      <c r="H1247" s="5">
        <f>IF(Table13_1[[#This Row],[smoker]]="yes",1,0)</f>
        <v>0</v>
      </c>
      <c r="I1247" s="4">
        <v>24.3</v>
      </c>
      <c r="J1247" s="4">
        <v>5</v>
      </c>
      <c r="K1247" s="12">
        <v>5615.3689999999997</v>
      </c>
      <c r="N1247">
        <v>1092</v>
      </c>
      <c r="O1247">
        <v>11679.780871732193</v>
      </c>
      <c r="P1247">
        <v>-393.24217173219404</v>
      </c>
    </row>
    <row r="1248" spans="1:16" x14ac:dyDescent="0.25">
      <c r="A1248" s="4" t="s">
        <v>7</v>
      </c>
      <c r="B1248" s="4">
        <f>ROUND(Table13_1[[#This Row],[bmi]],1)</f>
        <v>25.7</v>
      </c>
      <c r="C1248" s="4" t="str" cm="1">
        <f t="array" ref="C1248">_xlfn.IFS(Table13_1[[#This Row],[Round BMI]]&lt;18.5,"Underweight",AND(Table13_1[[#This Row],[Round BMI]]&gt;=18.5,Table13_1[[#This Row],[Round BMI]] &lt;=24.9),"Healthy Weight",AND(Table13_1[[#This Row],[Round BMI]]&gt;=25,Table13_1[[#This Row],[Round BMI]]&lt;=29.9),"Overweight",Table13_1[[#This Row],[Round BMI]]&gt;=30,"Obese")</f>
        <v>Overweight</v>
      </c>
      <c r="D1248" s="4" t="s">
        <v>11</v>
      </c>
      <c r="E1248" s="4" t="str">
        <f>IF(Table13_1[[#This Row],[smoker]]="yes","smoker","non-smoker")</f>
        <v>non-smoker</v>
      </c>
      <c r="F1248" s="4" t="s">
        <v>9</v>
      </c>
      <c r="G1248" s="5">
        <v>45</v>
      </c>
      <c r="H1248" s="5">
        <f>IF(Table13_1[[#This Row],[smoker]]="yes",1,0)</f>
        <v>0</v>
      </c>
      <c r="I1248" s="4">
        <v>25.7</v>
      </c>
      <c r="J1248" s="4">
        <v>3</v>
      </c>
      <c r="K1248" s="12">
        <v>9101.7980000000007</v>
      </c>
      <c r="N1248">
        <v>1093</v>
      </c>
      <c r="O1248">
        <v>5772.8171099525534</v>
      </c>
      <c r="P1248">
        <v>-2181.3371099525534</v>
      </c>
    </row>
    <row r="1249" spans="1:16" x14ac:dyDescent="0.25">
      <c r="A1249" s="4" t="s">
        <v>10</v>
      </c>
      <c r="B1249" s="4">
        <f>ROUND(Table13_1[[#This Row],[bmi]],1)</f>
        <v>29.4</v>
      </c>
      <c r="C1249" s="4" t="str" cm="1">
        <f t="array" ref="C1249">_xlfn.IFS(Table13_1[[#This Row],[Round BMI]]&lt;18.5,"Underweight",AND(Table13_1[[#This Row],[Round BMI]]&gt;=18.5,Table13_1[[#This Row],[Round BMI]] &lt;=24.9),"Healthy Weight",AND(Table13_1[[#This Row],[Round BMI]]&gt;=25,Table13_1[[#This Row],[Round BMI]]&lt;=29.9),"Overweight",Table13_1[[#This Row],[Round BMI]]&gt;=30,"Obese")</f>
        <v>Overweight</v>
      </c>
      <c r="D1249" s="4" t="s">
        <v>11</v>
      </c>
      <c r="E1249" s="4" t="str">
        <f>IF(Table13_1[[#This Row],[smoker]]="yes","smoker","non-smoker")</f>
        <v>non-smoker</v>
      </c>
      <c r="F1249" s="4" t="s">
        <v>9</v>
      </c>
      <c r="G1249" s="5">
        <v>33</v>
      </c>
      <c r="H1249" s="5">
        <f>IF(Table13_1[[#This Row],[smoker]]="yes",1,0)</f>
        <v>0</v>
      </c>
      <c r="I1249" s="4">
        <v>29.4</v>
      </c>
      <c r="J1249" s="4">
        <v>4</v>
      </c>
      <c r="K1249" s="12">
        <v>6059.1729999999998</v>
      </c>
      <c r="N1249">
        <v>1094</v>
      </c>
      <c r="O1249">
        <v>27165.602275465462</v>
      </c>
      <c r="P1249">
        <v>6741.9457245345402</v>
      </c>
    </row>
    <row r="1250" spans="1:16" x14ac:dyDescent="0.25">
      <c r="A1250" s="4" t="s">
        <v>7</v>
      </c>
      <c r="B1250" s="4">
        <f>ROUND(Table13_1[[#This Row],[bmi]],1)</f>
        <v>39.799999999999997</v>
      </c>
      <c r="C1250" s="4" t="str" cm="1">
        <f t="array" ref="C1250">_xlfn.IFS(Table13_1[[#This Row],[Round BMI]]&lt;18.5,"Underweight",AND(Table13_1[[#This Row],[Round BMI]]&gt;=18.5,Table13_1[[#This Row],[Round BMI]] &lt;=24.9),"Healthy Weight",AND(Table13_1[[#This Row],[Round BMI]]&gt;=25,Table13_1[[#This Row],[Round BMI]]&lt;=29.9),"Overweight",Table13_1[[#This Row],[Round BMI]]&gt;=30,"Obese")</f>
        <v>Obese</v>
      </c>
      <c r="D1250" s="4" t="s">
        <v>11</v>
      </c>
      <c r="E1250" s="4" t="str">
        <f>IF(Table13_1[[#This Row],[smoker]]="yes","smoker","non-smoker")</f>
        <v>non-smoker</v>
      </c>
      <c r="F1250" s="4" t="s">
        <v>12</v>
      </c>
      <c r="G1250" s="5">
        <v>18</v>
      </c>
      <c r="H1250" s="5">
        <f>IF(Table13_1[[#This Row],[smoker]]="yes",1,0)</f>
        <v>0</v>
      </c>
      <c r="I1250" s="4">
        <v>39.82</v>
      </c>
      <c r="J1250" s="4">
        <v>0</v>
      </c>
      <c r="K1250" s="12">
        <v>1633.9618</v>
      </c>
      <c r="N1250">
        <v>1095</v>
      </c>
      <c r="O1250">
        <v>13530.107526259202</v>
      </c>
      <c r="P1250">
        <v>-2230.7645262592014</v>
      </c>
    </row>
    <row r="1251" spans="1:16" x14ac:dyDescent="0.25">
      <c r="A1251" s="4" t="s">
        <v>10</v>
      </c>
      <c r="B1251" s="4">
        <f>ROUND(Table13_1[[#This Row],[bmi]],1)</f>
        <v>33.6</v>
      </c>
      <c r="C1251" s="4" t="str" cm="1">
        <f t="array" ref="C1251">_xlfn.IFS(Table13_1[[#This Row],[Round BMI]]&lt;18.5,"Underweight",AND(Table13_1[[#This Row],[Round BMI]]&gt;=18.5,Table13_1[[#This Row],[Round BMI]] &lt;=24.9),"Healthy Weight",AND(Table13_1[[#This Row],[Round BMI]]&gt;=25,Table13_1[[#This Row],[Round BMI]]&lt;=29.9),"Overweight",Table13_1[[#This Row],[Round BMI]]&gt;=30,"Obese")</f>
        <v>Obese</v>
      </c>
      <c r="D1251" s="4" t="s">
        <v>8</v>
      </c>
      <c r="E1251" s="4" t="str">
        <f>IF(Table13_1[[#This Row],[smoker]]="yes","smoker","non-smoker")</f>
        <v>smoker</v>
      </c>
      <c r="F1251" s="4" t="s">
        <v>14</v>
      </c>
      <c r="G1251" s="5">
        <v>32</v>
      </c>
      <c r="H1251" s="5">
        <f>IF(Table13_1[[#This Row],[smoker]]="yes",1,0)</f>
        <v>1</v>
      </c>
      <c r="I1251" s="4">
        <v>33.630000000000003</v>
      </c>
      <c r="J1251" s="4">
        <v>1</v>
      </c>
      <c r="K1251" s="12">
        <v>37607.527699999999</v>
      </c>
      <c r="N1251">
        <v>1096</v>
      </c>
      <c r="O1251">
        <v>4522.5724950109616</v>
      </c>
      <c r="P1251">
        <v>38.616004989038629</v>
      </c>
    </row>
    <row r="1252" spans="1:16" x14ac:dyDescent="0.25">
      <c r="A1252" s="4" t="s">
        <v>10</v>
      </c>
      <c r="B1252" s="4">
        <f>ROUND(Table13_1[[#This Row],[bmi]],1)</f>
        <v>29.8</v>
      </c>
      <c r="C1252" s="4" t="str" cm="1">
        <f t="array" ref="C1252">_xlfn.IFS(Table13_1[[#This Row],[Round BMI]]&lt;18.5,"Underweight",AND(Table13_1[[#This Row],[Round BMI]]&gt;=18.5,Table13_1[[#This Row],[Round BMI]] &lt;=24.9),"Healthy Weight",AND(Table13_1[[#This Row],[Round BMI]]&gt;=25,Table13_1[[#This Row],[Round BMI]]&lt;=29.9),"Overweight",Table13_1[[#This Row],[Round BMI]]&gt;=30,"Obese")</f>
        <v>Overweight</v>
      </c>
      <c r="D1252" s="4" t="s">
        <v>8</v>
      </c>
      <c r="E1252" s="4" t="str">
        <f>IF(Table13_1[[#This Row],[smoker]]="yes","smoker","non-smoker")</f>
        <v>smoker</v>
      </c>
      <c r="F1252" s="4" t="s">
        <v>14</v>
      </c>
      <c r="G1252" s="5">
        <v>24</v>
      </c>
      <c r="H1252" s="5">
        <f>IF(Table13_1[[#This Row],[smoker]]="yes",1,0)</f>
        <v>1</v>
      </c>
      <c r="I1252" s="4">
        <v>29.83</v>
      </c>
      <c r="J1252" s="4">
        <v>0</v>
      </c>
      <c r="K1252" s="12">
        <v>18648.421699999999</v>
      </c>
      <c r="N1252">
        <v>1097</v>
      </c>
      <c r="O1252">
        <v>37057.885016093358</v>
      </c>
      <c r="P1252">
        <v>7583.3123839066393</v>
      </c>
    </row>
    <row r="1253" spans="1:16" x14ac:dyDescent="0.25">
      <c r="A1253" s="4" t="s">
        <v>10</v>
      </c>
      <c r="B1253" s="4">
        <f>ROUND(Table13_1[[#This Row],[bmi]],1)</f>
        <v>19.8</v>
      </c>
      <c r="C1253" s="4" t="str" cm="1">
        <f t="array" ref="C1253">_xlfn.IFS(Table13_1[[#This Row],[Round BMI]]&lt;18.5,"Underweight",AND(Table13_1[[#This Row],[Round BMI]]&gt;=18.5,Table13_1[[#This Row],[Round BMI]] &lt;=24.9),"Healthy Weight",AND(Table13_1[[#This Row],[Round BMI]]&gt;=25,Table13_1[[#This Row],[Round BMI]]&lt;=29.9),"Overweight",Table13_1[[#This Row],[Round BMI]]&gt;=30,"Obese")</f>
        <v>Healthy Weight</v>
      </c>
      <c r="D1253" s="4" t="s">
        <v>11</v>
      </c>
      <c r="E1253" s="4" t="str">
        <f>IF(Table13_1[[#This Row],[smoker]]="yes","smoker","non-smoker")</f>
        <v>non-smoker</v>
      </c>
      <c r="F1253" s="4" t="s">
        <v>9</v>
      </c>
      <c r="G1253" s="5">
        <v>19</v>
      </c>
      <c r="H1253" s="5">
        <f>IF(Table13_1[[#This Row],[smoker]]="yes",1,0)</f>
        <v>0</v>
      </c>
      <c r="I1253" s="4">
        <v>19.8</v>
      </c>
      <c r="J1253" s="4">
        <v>0</v>
      </c>
      <c r="K1253" s="12">
        <v>1241.5650000000001</v>
      </c>
      <c r="N1253">
        <v>1098</v>
      </c>
      <c r="O1253">
        <v>4438.8416570248255</v>
      </c>
      <c r="P1253">
        <v>-2764.2093570248253</v>
      </c>
    </row>
    <row r="1254" spans="1:16" x14ac:dyDescent="0.25">
      <c r="A1254" s="4" t="s">
        <v>10</v>
      </c>
      <c r="B1254" s="4">
        <f>ROUND(Table13_1[[#This Row],[bmi]],1)</f>
        <v>27.3</v>
      </c>
      <c r="C1254" s="4" t="str" cm="1">
        <f t="array" ref="C1254">_xlfn.IFS(Table13_1[[#This Row],[Round BMI]]&lt;18.5,"Underweight",AND(Table13_1[[#This Row],[Round BMI]]&gt;=18.5,Table13_1[[#This Row],[Round BMI]] &lt;=24.9),"Healthy Weight",AND(Table13_1[[#This Row],[Round BMI]]&gt;=25,Table13_1[[#This Row],[Round BMI]]&lt;=29.9),"Overweight",Table13_1[[#This Row],[Round BMI]]&gt;=30,"Obese")</f>
        <v>Overweight</v>
      </c>
      <c r="D1254" s="4" t="s">
        <v>8</v>
      </c>
      <c r="E1254" s="4" t="str">
        <f>IF(Table13_1[[#This Row],[smoker]]="yes","smoker","non-smoker")</f>
        <v>smoker</v>
      </c>
      <c r="F1254" s="4" t="s">
        <v>9</v>
      </c>
      <c r="G1254" s="5">
        <v>20</v>
      </c>
      <c r="H1254" s="5">
        <f>IF(Table13_1[[#This Row],[smoker]]="yes",1,0)</f>
        <v>1</v>
      </c>
      <c r="I1254" s="4">
        <v>27.3</v>
      </c>
      <c r="J1254" s="4">
        <v>0</v>
      </c>
      <c r="K1254" s="12">
        <v>16232.847</v>
      </c>
      <c r="N1254">
        <v>1099</v>
      </c>
      <c r="O1254">
        <v>11242.567065710193</v>
      </c>
      <c r="P1254">
        <v>11802.999134289808</v>
      </c>
    </row>
    <row r="1255" spans="1:16" x14ac:dyDescent="0.25">
      <c r="A1255" s="4" t="s">
        <v>7</v>
      </c>
      <c r="B1255" s="4">
        <f>ROUND(Table13_1[[#This Row],[bmi]],1)</f>
        <v>29.3</v>
      </c>
      <c r="C1255" s="4" t="str" cm="1">
        <f t="array" ref="C1255">_xlfn.IFS(Table13_1[[#This Row],[Round BMI]]&lt;18.5,"Underweight",AND(Table13_1[[#This Row],[Round BMI]]&gt;=18.5,Table13_1[[#This Row],[Round BMI]] &lt;=24.9),"Healthy Weight",AND(Table13_1[[#This Row],[Round BMI]]&gt;=25,Table13_1[[#This Row],[Round BMI]]&lt;=29.9),"Overweight",Table13_1[[#This Row],[Round BMI]]&gt;=30,"Obese")</f>
        <v>Overweight</v>
      </c>
      <c r="D1255" s="4" t="s">
        <v>11</v>
      </c>
      <c r="E1255" s="4" t="str">
        <f>IF(Table13_1[[#This Row],[smoker]]="yes","smoker","non-smoker")</f>
        <v>non-smoker</v>
      </c>
      <c r="F1255" s="4" t="s">
        <v>9</v>
      </c>
      <c r="G1255" s="5">
        <v>40</v>
      </c>
      <c r="H1255" s="5">
        <f>IF(Table13_1[[#This Row],[smoker]]="yes",1,0)</f>
        <v>0</v>
      </c>
      <c r="I1255" s="4">
        <v>29.3</v>
      </c>
      <c r="J1255" s="4">
        <v>4</v>
      </c>
      <c r="K1255" s="12">
        <v>15828.8217</v>
      </c>
      <c r="N1255">
        <v>1100</v>
      </c>
      <c r="O1255">
        <v>5756.6998031867824</v>
      </c>
      <c r="P1255">
        <v>-2529.5787031867826</v>
      </c>
    </row>
    <row r="1256" spans="1:16" x14ac:dyDescent="0.25">
      <c r="A1256" s="4" t="s">
        <v>7</v>
      </c>
      <c r="B1256" s="4">
        <f>ROUND(Table13_1[[#This Row],[bmi]],1)</f>
        <v>27.7</v>
      </c>
      <c r="C1256" s="4" t="str" cm="1">
        <f t="array" ref="C1256">_xlfn.IFS(Table13_1[[#This Row],[Round BMI]]&lt;18.5,"Underweight",AND(Table13_1[[#This Row],[Round BMI]]&gt;=18.5,Table13_1[[#This Row],[Round BMI]] &lt;=24.9),"Healthy Weight",AND(Table13_1[[#This Row],[Round BMI]]&gt;=25,Table13_1[[#This Row],[Round BMI]]&lt;=29.9),"Overweight",Table13_1[[#This Row],[Round BMI]]&gt;=30,"Obese")</f>
        <v>Overweight</v>
      </c>
      <c r="D1256" s="4" t="s">
        <v>11</v>
      </c>
      <c r="E1256" s="4" t="str">
        <f>IF(Table13_1[[#This Row],[smoker]]="yes","smoker","non-smoker")</f>
        <v>non-smoker</v>
      </c>
      <c r="F1256" s="4" t="s">
        <v>12</v>
      </c>
      <c r="G1256" s="5">
        <v>34</v>
      </c>
      <c r="H1256" s="5">
        <f>IF(Table13_1[[#This Row],[smoker]]="yes",1,0)</f>
        <v>0</v>
      </c>
      <c r="I1256" s="4">
        <v>27.72</v>
      </c>
      <c r="J1256" s="4">
        <v>0</v>
      </c>
      <c r="K1256" s="12">
        <v>4415.1588000000002</v>
      </c>
      <c r="N1256">
        <v>1101</v>
      </c>
      <c r="O1256">
        <v>27310.421378071118</v>
      </c>
      <c r="P1256">
        <v>-10534.117378071118</v>
      </c>
    </row>
    <row r="1257" spans="1:16" x14ac:dyDescent="0.25">
      <c r="A1257" s="4" t="s">
        <v>7</v>
      </c>
      <c r="B1257" s="4">
        <f>ROUND(Table13_1[[#This Row],[bmi]],1)</f>
        <v>37.9</v>
      </c>
      <c r="C1257" s="4" t="str" cm="1">
        <f t="array" ref="C1257">_xlfn.IFS(Table13_1[[#This Row],[Round BMI]]&lt;18.5,"Underweight",AND(Table13_1[[#This Row],[Round BMI]]&gt;=18.5,Table13_1[[#This Row],[Round BMI]] &lt;=24.9),"Healthy Weight",AND(Table13_1[[#This Row],[Round BMI]]&gt;=25,Table13_1[[#This Row],[Round BMI]]&lt;=29.9),"Overweight",Table13_1[[#This Row],[Round BMI]]&gt;=30,"Obese")</f>
        <v>Obese</v>
      </c>
      <c r="D1257" s="4" t="s">
        <v>11</v>
      </c>
      <c r="E1257" s="4" t="str">
        <f>IF(Table13_1[[#This Row],[smoker]]="yes","smoker","non-smoker")</f>
        <v>non-smoker</v>
      </c>
      <c r="F1257" s="4" t="s">
        <v>9</v>
      </c>
      <c r="G1257" s="5">
        <v>42</v>
      </c>
      <c r="H1257" s="5">
        <f>IF(Table13_1[[#This Row],[smoker]]="yes",1,0)</f>
        <v>0</v>
      </c>
      <c r="I1257" s="4">
        <v>37.9</v>
      </c>
      <c r="J1257" s="4">
        <v>0</v>
      </c>
      <c r="K1257" s="12">
        <v>6474.0129999999999</v>
      </c>
      <c r="N1257">
        <v>1102</v>
      </c>
      <c r="O1257">
        <v>12188.711578214261</v>
      </c>
      <c r="P1257">
        <v>-935.29057821426068</v>
      </c>
    </row>
    <row r="1258" spans="1:16" x14ac:dyDescent="0.25">
      <c r="A1258" s="4" t="s">
        <v>7</v>
      </c>
      <c r="B1258" s="4">
        <f>ROUND(Table13_1[[#This Row],[bmi]],1)</f>
        <v>36.4</v>
      </c>
      <c r="C1258" s="4" t="str" cm="1">
        <f t="array" ref="C1258">_xlfn.IFS(Table13_1[[#This Row],[Round BMI]]&lt;18.5,"Underweight",AND(Table13_1[[#This Row],[Round BMI]]&gt;=18.5,Table13_1[[#This Row],[Round BMI]] &lt;=24.9),"Healthy Weight",AND(Table13_1[[#This Row],[Round BMI]]&gt;=25,Table13_1[[#This Row],[Round BMI]]&lt;=29.9),"Overweight",Table13_1[[#This Row],[Round BMI]]&gt;=30,"Obese")</f>
        <v>Obese</v>
      </c>
      <c r="D1258" s="4" t="s">
        <v>11</v>
      </c>
      <c r="E1258" s="4" t="str">
        <f>IF(Table13_1[[#This Row],[smoker]]="yes","smoker","non-smoker")</f>
        <v>non-smoker</v>
      </c>
      <c r="F1258" s="4" t="s">
        <v>13</v>
      </c>
      <c r="G1258" s="5">
        <v>51</v>
      </c>
      <c r="H1258" s="5">
        <f>IF(Table13_1[[#This Row],[smoker]]="yes",1,0)</f>
        <v>0</v>
      </c>
      <c r="I1258" s="4">
        <v>36.384999999999998</v>
      </c>
      <c r="J1258" s="4">
        <v>3</v>
      </c>
      <c r="K1258" s="12">
        <v>11436.7382</v>
      </c>
      <c r="N1258">
        <v>1103</v>
      </c>
      <c r="O1258">
        <v>8381.2622765722081</v>
      </c>
      <c r="P1258">
        <v>-4909.8526765722081</v>
      </c>
    </row>
    <row r="1259" spans="1:16" x14ac:dyDescent="0.25">
      <c r="A1259" s="4" t="s">
        <v>7</v>
      </c>
      <c r="B1259" s="4">
        <f>ROUND(Table13_1[[#This Row],[bmi]],1)</f>
        <v>27.6</v>
      </c>
      <c r="C1259" s="4" t="str" cm="1">
        <f t="array" ref="C1259">_xlfn.IFS(Table13_1[[#This Row],[Round BMI]]&lt;18.5,"Underweight",AND(Table13_1[[#This Row],[Round BMI]]&gt;=18.5,Table13_1[[#This Row],[Round BMI]] &lt;=24.9),"Healthy Weight",AND(Table13_1[[#This Row],[Round BMI]]&gt;=25,Table13_1[[#This Row],[Round BMI]]&lt;=29.9),"Overweight",Table13_1[[#This Row],[Round BMI]]&gt;=30,"Obese")</f>
        <v>Overweight</v>
      </c>
      <c r="D1259" s="4" t="s">
        <v>11</v>
      </c>
      <c r="E1259" s="4" t="str">
        <f>IF(Table13_1[[#This Row],[smoker]]="yes","smoker","non-smoker")</f>
        <v>non-smoker</v>
      </c>
      <c r="F1259" s="4" t="s">
        <v>13</v>
      </c>
      <c r="G1259" s="5">
        <v>54</v>
      </c>
      <c r="H1259" s="5">
        <f>IF(Table13_1[[#This Row],[smoker]]="yes",1,0)</f>
        <v>0</v>
      </c>
      <c r="I1259" s="4">
        <v>27.645</v>
      </c>
      <c r="J1259" s="4">
        <v>1</v>
      </c>
      <c r="K1259" s="12">
        <v>11305.934600000001</v>
      </c>
      <c r="N1259">
        <v>1104</v>
      </c>
      <c r="O1259">
        <v>14464.900661480839</v>
      </c>
      <c r="P1259">
        <v>-3101.6174614808388</v>
      </c>
    </row>
    <row r="1260" spans="1:16" x14ac:dyDescent="0.25">
      <c r="A1260" s="4" t="s">
        <v>10</v>
      </c>
      <c r="B1260" s="4">
        <f>ROUND(Table13_1[[#This Row],[bmi]],1)</f>
        <v>37.700000000000003</v>
      </c>
      <c r="C1260" s="4" t="str" cm="1">
        <f t="array" ref="C1260">_xlfn.IFS(Table13_1[[#This Row],[Round BMI]]&lt;18.5,"Underweight",AND(Table13_1[[#This Row],[Round BMI]]&gt;=18.5,Table13_1[[#This Row],[Round BMI]] &lt;=24.9),"Healthy Weight",AND(Table13_1[[#This Row],[Round BMI]]&gt;=25,Table13_1[[#This Row],[Round BMI]]&lt;=29.9),"Overweight",Table13_1[[#This Row],[Round BMI]]&gt;=30,"Obese")</f>
        <v>Obese</v>
      </c>
      <c r="D1260" s="4" t="s">
        <v>11</v>
      </c>
      <c r="E1260" s="4" t="str">
        <f>IF(Table13_1[[#This Row],[smoker]]="yes","smoker","non-smoker")</f>
        <v>non-smoker</v>
      </c>
      <c r="F1260" s="4" t="s">
        <v>13</v>
      </c>
      <c r="G1260" s="5">
        <v>55</v>
      </c>
      <c r="H1260" s="5">
        <f>IF(Table13_1[[#This Row],[smoker]]="yes",1,0)</f>
        <v>0</v>
      </c>
      <c r="I1260" s="4">
        <v>37.715000000000003</v>
      </c>
      <c r="J1260" s="4">
        <v>3</v>
      </c>
      <c r="K1260" s="12">
        <v>30063.580600000001</v>
      </c>
      <c r="N1260">
        <v>1105</v>
      </c>
      <c r="O1260">
        <v>7028.8341977005493</v>
      </c>
      <c r="P1260">
        <v>13391.770402299449</v>
      </c>
    </row>
    <row r="1261" spans="1:16" x14ac:dyDescent="0.25">
      <c r="A1261" s="4" t="s">
        <v>7</v>
      </c>
      <c r="B1261" s="4">
        <f>ROUND(Table13_1[[#This Row],[bmi]],1)</f>
        <v>23.2</v>
      </c>
      <c r="C1261" s="4" t="str" cm="1">
        <f t="array" ref="C1261">_xlfn.IFS(Table13_1[[#This Row],[Round BMI]]&lt;18.5,"Underweight",AND(Table13_1[[#This Row],[Round BMI]]&gt;=18.5,Table13_1[[#This Row],[Round BMI]] &lt;=24.9),"Healthy Weight",AND(Table13_1[[#This Row],[Round BMI]]&gt;=25,Table13_1[[#This Row],[Round BMI]]&lt;=29.9),"Overweight",Table13_1[[#This Row],[Round BMI]]&gt;=30,"Obese")</f>
        <v>Healthy Weight</v>
      </c>
      <c r="D1261" s="4" t="s">
        <v>11</v>
      </c>
      <c r="E1261" s="4" t="str">
        <f>IF(Table13_1[[#This Row],[smoker]]="yes","smoker","non-smoker")</f>
        <v>non-smoker</v>
      </c>
      <c r="F1261" s="4" t="s">
        <v>14</v>
      </c>
      <c r="G1261" s="5">
        <v>52</v>
      </c>
      <c r="H1261" s="5">
        <f>IF(Table13_1[[#This Row],[smoker]]="yes",1,0)</f>
        <v>0</v>
      </c>
      <c r="I1261" s="4">
        <v>23.18</v>
      </c>
      <c r="J1261" s="4">
        <v>0</v>
      </c>
      <c r="K1261" s="12">
        <v>10197.772199999999</v>
      </c>
      <c r="N1261">
        <v>1106</v>
      </c>
      <c r="O1261">
        <v>11875.741842407946</v>
      </c>
      <c r="P1261">
        <v>-1536.8102424079461</v>
      </c>
    </row>
    <row r="1262" spans="1:16" x14ac:dyDescent="0.25">
      <c r="A1262" s="4" t="s">
        <v>7</v>
      </c>
      <c r="B1262" s="4">
        <f>ROUND(Table13_1[[#This Row],[bmi]],1)</f>
        <v>20.5</v>
      </c>
      <c r="C1262" s="4" t="str" cm="1">
        <f t="array" ref="C1262">_xlfn.IFS(Table13_1[[#This Row],[Round BMI]]&lt;18.5,"Underweight",AND(Table13_1[[#This Row],[Round BMI]]&gt;=18.5,Table13_1[[#This Row],[Round BMI]] &lt;=24.9),"Healthy Weight",AND(Table13_1[[#This Row],[Round BMI]]&gt;=25,Table13_1[[#This Row],[Round BMI]]&lt;=29.9),"Overweight",Table13_1[[#This Row],[Round BMI]]&gt;=30,"Obese")</f>
        <v>Healthy Weight</v>
      </c>
      <c r="D1262" s="4" t="s">
        <v>11</v>
      </c>
      <c r="E1262" s="4" t="str">
        <f>IF(Table13_1[[#This Row],[smoker]]="yes","smoker","non-smoker")</f>
        <v>non-smoker</v>
      </c>
      <c r="F1262" s="4" t="s">
        <v>14</v>
      </c>
      <c r="G1262" s="5">
        <v>32</v>
      </c>
      <c r="H1262" s="5">
        <f>IF(Table13_1[[#This Row],[smoker]]="yes",1,0)</f>
        <v>0</v>
      </c>
      <c r="I1262" s="4">
        <v>20.52</v>
      </c>
      <c r="J1262" s="4">
        <v>0</v>
      </c>
      <c r="K1262" s="12">
        <v>4544.2348000000002</v>
      </c>
      <c r="N1262">
        <v>1107</v>
      </c>
      <c r="O1262">
        <v>10163.259711019973</v>
      </c>
      <c r="P1262">
        <v>-1175.1009110199739</v>
      </c>
    </row>
    <row r="1263" spans="1:16" x14ac:dyDescent="0.25">
      <c r="A1263" s="4" t="s">
        <v>10</v>
      </c>
      <c r="B1263" s="4">
        <f>ROUND(Table13_1[[#This Row],[bmi]],1)</f>
        <v>37.1</v>
      </c>
      <c r="C1263" s="4" t="str" cm="1">
        <f t="array" ref="C1263">_xlfn.IFS(Table13_1[[#This Row],[Round BMI]]&lt;18.5,"Underweight",AND(Table13_1[[#This Row],[Round BMI]]&gt;=18.5,Table13_1[[#This Row],[Round BMI]] &lt;=24.9),"Healthy Weight",AND(Table13_1[[#This Row],[Round BMI]]&gt;=25,Table13_1[[#This Row],[Round BMI]]&lt;=29.9),"Overweight",Table13_1[[#This Row],[Round BMI]]&gt;=30,"Obese")</f>
        <v>Obese</v>
      </c>
      <c r="D1263" s="4" t="s">
        <v>11</v>
      </c>
      <c r="E1263" s="4" t="str">
        <f>IF(Table13_1[[#This Row],[smoker]]="yes","smoker","non-smoker")</f>
        <v>non-smoker</v>
      </c>
      <c r="F1263" s="4" t="s">
        <v>9</v>
      </c>
      <c r="G1263" s="5">
        <v>28</v>
      </c>
      <c r="H1263" s="5">
        <f>IF(Table13_1[[#This Row],[smoker]]="yes",1,0)</f>
        <v>0</v>
      </c>
      <c r="I1263" s="4">
        <v>37.1</v>
      </c>
      <c r="J1263" s="4">
        <v>1</v>
      </c>
      <c r="K1263" s="12">
        <v>3277.1610000000001</v>
      </c>
      <c r="N1263">
        <v>1108</v>
      </c>
      <c r="O1263">
        <v>10175.654401915283</v>
      </c>
      <c r="P1263">
        <v>318.291398084717</v>
      </c>
    </row>
    <row r="1264" spans="1:16" x14ac:dyDescent="0.25">
      <c r="A1264" s="4" t="s">
        <v>7</v>
      </c>
      <c r="B1264" s="4">
        <f>ROUND(Table13_1[[#This Row],[bmi]],1)</f>
        <v>28.1</v>
      </c>
      <c r="C1264" s="4" t="str" cm="1">
        <f t="array" ref="C1264">_xlfn.IFS(Table13_1[[#This Row],[Round BMI]]&lt;18.5,"Underweight",AND(Table13_1[[#This Row],[Round BMI]]&gt;=18.5,Table13_1[[#This Row],[Round BMI]] &lt;=24.9),"Healthy Weight",AND(Table13_1[[#This Row],[Round BMI]]&gt;=25,Table13_1[[#This Row],[Round BMI]]&lt;=29.9),"Overweight",Table13_1[[#This Row],[Round BMI]]&gt;=30,"Obese")</f>
        <v>Overweight</v>
      </c>
      <c r="D1264" s="4" t="s">
        <v>11</v>
      </c>
      <c r="E1264" s="4" t="str">
        <f>IF(Table13_1[[#This Row],[smoker]]="yes","smoker","non-smoker")</f>
        <v>non-smoker</v>
      </c>
      <c r="F1264" s="4" t="s">
        <v>12</v>
      </c>
      <c r="G1264" s="5">
        <v>41</v>
      </c>
      <c r="H1264" s="5">
        <f>IF(Table13_1[[#This Row],[smoker]]="yes",1,0)</f>
        <v>0</v>
      </c>
      <c r="I1264" s="4">
        <v>28.05</v>
      </c>
      <c r="J1264" s="4">
        <v>1</v>
      </c>
      <c r="K1264" s="12">
        <v>6770.1925000000001</v>
      </c>
      <c r="N1264">
        <v>1109</v>
      </c>
      <c r="O1264">
        <v>4730.3622131806997</v>
      </c>
      <c r="P1264">
        <v>-1826.2742131806995</v>
      </c>
    </row>
    <row r="1265" spans="1:16" x14ac:dyDescent="0.25">
      <c r="A1265" s="4" t="s">
        <v>7</v>
      </c>
      <c r="B1265" s="4">
        <f>ROUND(Table13_1[[#This Row],[bmi]],1)</f>
        <v>29.9</v>
      </c>
      <c r="C1265" s="4" t="str" cm="1">
        <f t="array" ref="C1265">_xlfn.IFS(Table13_1[[#This Row],[Round BMI]]&lt;18.5,"Underweight",AND(Table13_1[[#This Row],[Round BMI]]&gt;=18.5,Table13_1[[#This Row],[Round BMI]] &lt;=24.9),"Healthy Weight",AND(Table13_1[[#This Row],[Round BMI]]&gt;=25,Table13_1[[#This Row],[Round BMI]]&lt;=29.9),"Overweight",Table13_1[[#This Row],[Round BMI]]&gt;=30,"Obese")</f>
        <v>Overweight</v>
      </c>
      <c r="D1265" s="4" t="s">
        <v>11</v>
      </c>
      <c r="E1265" s="4" t="str">
        <f>IF(Table13_1[[#This Row],[smoker]]="yes","smoker","non-smoker")</f>
        <v>non-smoker</v>
      </c>
      <c r="F1265" s="4" t="s">
        <v>9</v>
      </c>
      <c r="G1265" s="5">
        <v>43</v>
      </c>
      <c r="H1265" s="5">
        <f>IF(Table13_1[[#This Row],[smoker]]="yes",1,0)</f>
        <v>0</v>
      </c>
      <c r="I1265" s="4">
        <v>29.9</v>
      </c>
      <c r="J1265" s="4">
        <v>1</v>
      </c>
      <c r="K1265" s="12">
        <v>7337.7479999999996</v>
      </c>
      <c r="N1265">
        <v>1110</v>
      </c>
      <c r="O1265">
        <v>7470.6414461314107</v>
      </c>
      <c r="P1265">
        <v>1134.7200538685902</v>
      </c>
    </row>
    <row r="1266" spans="1:16" x14ac:dyDescent="0.25">
      <c r="A1266" s="4" t="s">
        <v>7</v>
      </c>
      <c r="B1266" s="4">
        <f>ROUND(Table13_1[[#This Row],[bmi]],1)</f>
        <v>33.299999999999997</v>
      </c>
      <c r="C1266" s="4" t="str" cm="1">
        <f t="array" ref="C1266">_xlfn.IFS(Table13_1[[#This Row],[Round BMI]]&lt;18.5,"Underweight",AND(Table13_1[[#This Row],[Round BMI]]&gt;=18.5,Table13_1[[#This Row],[Round BMI]] &lt;=24.9),"Healthy Weight",AND(Table13_1[[#This Row],[Round BMI]]&gt;=25,Table13_1[[#This Row],[Round BMI]]&lt;=29.9),"Overweight",Table13_1[[#This Row],[Round BMI]]&gt;=30,"Obese")</f>
        <v>Obese</v>
      </c>
      <c r="D1266" s="4" t="s">
        <v>11</v>
      </c>
      <c r="E1266" s="4" t="str">
        <f>IF(Table13_1[[#This Row],[smoker]]="yes","smoker","non-smoker")</f>
        <v>non-smoker</v>
      </c>
      <c r="F1266" s="4" t="s">
        <v>14</v>
      </c>
      <c r="G1266" s="5">
        <v>49</v>
      </c>
      <c r="H1266" s="5">
        <f>IF(Table13_1[[#This Row],[smoker]]="yes",1,0)</f>
        <v>0</v>
      </c>
      <c r="I1266" s="4">
        <v>33.344999999999999</v>
      </c>
      <c r="J1266" s="4">
        <v>2</v>
      </c>
      <c r="K1266" s="12">
        <v>10370.9126</v>
      </c>
      <c r="N1266">
        <v>1111</v>
      </c>
      <c r="O1266">
        <v>12690.406644965455</v>
      </c>
      <c r="P1266">
        <v>-1178.001644965454</v>
      </c>
    </row>
    <row r="1267" spans="1:16" x14ac:dyDescent="0.25">
      <c r="A1267" s="4" t="s">
        <v>10</v>
      </c>
      <c r="B1267" s="4">
        <f>ROUND(Table13_1[[#This Row],[bmi]],1)</f>
        <v>23.8</v>
      </c>
      <c r="C1267" s="4" t="str" cm="1">
        <f t="array" ref="C1267">_xlfn.IFS(Table13_1[[#This Row],[Round BMI]]&lt;18.5,"Underweight",AND(Table13_1[[#This Row],[Round BMI]]&gt;=18.5,Table13_1[[#This Row],[Round BMI]] &lt;=24.9),"Healthy Weight",AND(Table13_1[[#This Row],[Round BMI]]&gt;=25,Table13_1[[#This Row],[Round BMI]]&lt;=29.9),"Overweight",Table13_1[[#This Row],[Round BMI]]&gt;=30,"Obese")</f>
        <v>Healthy Weight</v>
      </c>
      <c r="D1267" s="4" t="s">
        <v>8</v>
      </c>
      <c r="E1267" s="4" t="str">
        <f>IF(Table13_1[[#This Row],[smoker]]="yes","smoker","non-smoker")</f>
        <v>smoker</v>
      </c>
      <c r="F1267" s="4" t="s">
        <v>12</v>
      </c>
      <c r="G1267" s="5">
        <v>64</v>
      </c>
      <c r="H1267" s="5">
        <f>IF(Table13_1[[#This Row],[smoker]]="yes",1,0)</f>
        <v>1</v>
      </c>
      <c r="I1267" s="4">
        <v>23.76</v>
      </c>
      <c r="J1267" s="4">
        <v>0</v>
      </c>
      <c r="K1267" s="12">
        <v>26926.5144</v>
      </c>
      <c r="N1267">
        <v>1112</v>
      </c>
      <c r="O1267">
        <v>35283.294048089912</v>
      </c>
      <c r="P1267">
        <v>6665.9500519100911</v>
      </c>
    </row>
    <row r="1268" spans="1:16" x14ac:dyDescent="0.25">
      <c r="A1268" s="4" t="s">
        <v>7</v>
      </c>
      <c r="B1268" s="4">
        <f>ROUND(Table13_1[[#This Row],[bmi]],1)</f>
        <v>30.5</v>
      </c>
      <c r="C1268" s="4" t="str" cm="1">
        <f t="array" ref="C1268">_xlfn.IFS(Table13_1[[#This Row],[Round BMI]]&lt;18.5,"Underweight",AND(Table13_1[[#This Row],[Round BMI]]&gt;=18.5,Table13_1[[#This Row],[Round BMI]] &lt;=24.9),"Healthy Weight",AND(Table13_1[[#This Row],[Round BMI]]&gt;=25,Table13_1[[#This Row],[Round BMI]]&lt;=29.9),"Overweight",Table13_1[[#This Row],[Round BMI]]&gt;=30,"Obese")</f>
        <v>Obese</v>
      </c>
      <c r="D1268" s="4" t="s">
        <v>11</v>
      </c>
      <c r="E1268" s="4" t="str">
        <f>IF(Table13_1[[#This Row],[smoker]]="yes","smoker","non-smoker")</f>
        <v>non-smoker</v>
      </c>
      <c r="F1268" s="4" t="s">
        <v>9</v>
      </c>
      <c r="G1268" s="5">
        <v>55</v>
      </c>
      <c r="H1268" s="5">
        <f>IF(Table13_1[[#This Row],[smoker]]="yes",1,0)</f>
        <v>0</v>
      </c>
      <c r="I1268" s="4">
        <v>30.5</v>
      </c>
      <c r="J1268" s="4">
        <v>0</v>
      </c>
      <c r="K1268" s="12">
        <v>10704.47</v>
      </c>
      <c r="N1268">
        <v>1113</v>
      </c>
      <c r="O1268">
        <v>33825.772529764668</v>
      </c>
      <c r="P1268">
        <v>-9644.8390297646692</v>
      </c>
    </row>
    <row r="1269" spans="1:16" x14ac:dyDescent="0.25">
      <c r="A1269" s="4" t="s">
        <v>10</v>
      </c>
      <c r="B1269" s="4">
        <f>ROUND(Table13_1[[#This Row],[bmi]],1)</f>
        <v>31.1</v>
      </c>
      <c r="C1269" s="4" t="str" cm="1">
        <f t="array" ref="C1269">_xlfn.IFS(Table13_1[[#This Row],[Round BMI]]&lt;18.5,"Underweight",AND(Table13_1[[#This Row],[Round BMI]]&gt;=18.5,Table13_1[[#This Row],[Round BMI]] &lt;=24.9),"Healthy Weight",AND(Table13_1[[#This Row],[Round BMI]]&gt;=25,Table13_1[[#This Row],[Round BMI]]&lt;=29.9),"Overweight",Table13_1[[#This Row],[Round BMI]]&gt;=30,"Obese")</f>
        <v>Obese</v>
      </c>
      <c r="D1269" s="4" t="s">
        <v>8</v>
      </c>
      <c r="E1269" s="4" t="str">
        <f>IF(Table13_1[[#This Row],[smoker]]="yes","smoker","non-smoker")</f>
        <v>smoker</v>
      </c>
      <c r="F1269" s="4" t="s">
        <v>14</v>
      </c>
      <c r="G1269" s="5">
        <v>24</v>
      </c>
      <c r="H1269" s="5">
        <f>IF(Table13_1[[#This Row],[smoker]]="yes",1,0)</f>
        <v>1</v>
      </c>
      <c r="I1269" s="4">
        <v>31.065000000000001</v>
      </c>
      <c r="J1269" s="4">
        <v>0</v>
      </c>
      <c r="K1269" s="12">
        <v>34254.053399999997</v>
      </c>
      <c r="N1269">
        <v>1114</v>
      </c>
      <c r="O1269">
        <v>5007.0434394631911</v>
      </c>
      <c r="P1269">
        <v>305.12636053680853</v>
      </c>
    </row>
    <row r="1270" spans="1:16" x14ac:dyDescent="0.25">
      <c r="A1270" s="4" t="s">
        <v>7</v>
      </c>
      <c r="B1270" s="4">
        <f>ROUND(Table13_1[[#This Row],[bmi]],1)</f>
        <v>33.299999999999997</v>
      </c>
      <c r="C1270" s="4" t="str" cm="1">
        <f t="array" ref="C1270">_xlfn.IFS(Table13_1[[#This Row],[Round BMI]]&lt;18.5,"Underweight",AND(Table13_1[[#This Row],[Round BMI]]&gt;=18.5,Table13_1[[#This Row],[Round BMI]] &lt;=24.9),"Healthy Weight",AND(Table13_1[[#This Row],[Round BMI]]&gt;=25,Table13_1[[#This Row],[Round BMI]]&lt;=29.9),"Overweight",Table13_1[[#This Row],[Round BMI]]&gt;=30,"Obese")</f>
        <v>Obese</v>
      </c>
      <c r="D1270" s="4" t="s">
        <v>11</v>
      </c>
      <c r="E1270" s="4" t="str">
        <f>IF(Table13_1[[#This Row],[smoker]]="yes","smoker","non-smoker")</f>
        <v>non-smoker</v>
      </c>
      <c r="F1270" s="4" t="s">
        <v>9</v>
      </c>
      <c r="G1270" s="5">
        <v>20</v>
      </c>
      <c r="H1270" s="5">
        <f>IF(Table13_1[[#This Row],[smoker]]="yes",1,0)</f>
        <v>0</v>
      </c>
      <c r="I1270" s="4">
        <v>33.299999999999997</v>
      </c>
      <c r="J1270" s="4">
        <v>0</v>
      </c>
      <c r="K1270" s="12">
        <v>1880.4870000000001</v>
      </c>
      <c r="N1270">
        <v>1115</v>
      </c>
      <c r="O1270">
        <v>1716.3471740455534</v>
      </c>
      <c r="P1270">
        <v>679.7487259544464</v>
      </c>
    </row>
    <row r="1271" spans="1:16" x14ac:dyDescent="0.25">
      <c r="A1271" s="4" t="s">
        <v>10</v>
      </c>
      <c r="B1271" s="4">
        <f>ROUND(Table13_1[[#This Row],[bmi]],1)</f>
        <v>27.5</v>
      </c>
      <c r="C1271" s="4" t="str" cm="1">
        <f t="array" ref="C1271">_xlfn.IFS(Table13_1[[#This Row],[Round BMI]]&lt;18.5,"Underweight",AND(Table13_1[[#This Row],[Round BMI]]&gt;=18.5,Table13_1[[#This Row],[Round BMI]] &lt;=24.9),"Healthy Weight",AND(Table13_1[[#This Row],[Round BMI]]&gt;=25,Table13_1[[#This Row],[Round BMI]]&lt;=29.9),"Overweight",Table13_1[[#This Row],[Round BMI]]&gt;=30,"Obese")</f>
        <v>Overweight</v>
      </c>
      <c r="D1271" s="4" t="s">
        <v>11</v>
      </c>
      <c r="E1271" s="4" t="str">
        <f>IF(Table13_1[[#This Row],[smoker]]="yes","smoker","non-smoker")</f>
        <v>non-smoker</v>
      </c>
      <c r="F1271" s="4" t="s">
        <v>9</v>
      </c>
      <c r="G1271" s="5">
        <v>45</v>
      </c>
      <c r="H1271" s="5">
        <f>IF(Table13_1[[#This Row],[smoker]]="yes",1,0)</f>
        <v>0</v>
      </c>
      <c r="I1271" s="4">
        <v>27.5</v>
      </c>
      <c r="J1271" s="4">
        <v>3</v>
      </c>
      <c r="K1271" s="12">
        <v>8615.2999999999993</v>
      </c>
      <c r="N1271">
        <v>1116</v>
      </c>
      <c r="O1271">
        <v>13067.341171347061</v>
      </c>
      <c r="P1271">
        <v>-2259.8548713470609</v>
      </c>
    </row>
    <row r="1272" spans="1:16" x14ac:dyDescent="0.25">
      <c r="A1272" s="4" t="s">
        <v>10</v>
      </c>
      <c r="B1272" s="4">
        <f>ROUND(Table13_1[[#This Row],[bmi]],1)</f>
        <v>33.9</v>
      </c>
      <c r="C1272" s="4" t="str" cm="1">
        <f t="array" ref="C1272">_xlfn.IFS(Table13_1[[#This Row],[Round BMI]]&lt;18.5,"Underweight",AND(Table13_1[[#This Row],[Round BMI]]&gt;=18.5,Table13_1[[#This Row],[Round BMI]] &lt;=24.9),"Healthy Weight",AND(Table13_1[[#This Row],[Round BMI]]&gt;=25,Table13_1[[#This Row],[Round BMI]]&lt;=29.9),"Overweight",Table13_1[[#This Row],[Round BMI]]&gt;=30,"Obese")</f>
        <v>Obese</v>
      </c>
      <c r="D1272" s="4" t="s">
        <v>11</v>
      </c>
      <c r="E1272" s="4" t="str">
        <f>IF(Table13_1[[#This Row],[smoker]]="yes","smoker","non-smoker")</f>
        <v>non-smoker</v>
      </c>
      <c r="F1272" s="4" t="s">
        <v>13</v>
      </c>
      <c r="G1272" s="5">
        <v>26</v>
      </c>
      <c r="H1272" s="5">
        <f>IF(Table13_1[[#This Row],[smoker]]="yes",1,0)</f>
        <v>0</v>
      </c>
      <c r="I1272" s="4">
        <v>33.914999999999999</v>
      </c>
      <c r="J1272" s="4">
        <v>1</v>
      </c>
      <c r="K1272" s="12">
        <v>3292.5297999999998</v>
      </c>
      <c r="N1272">
        <v>1117</v>
      </c>
      <c r="O1272">
        <v>10376.247580296498</v>
      </c>
      <c r="P1272">
        <v>-1153.8449802964988</v>
      </c>
    </row>
    <row r="1273" spans="1:16" x14ac:dyDescent="0.25">
      <c r="A1273" s="4" t="s">
        <v>7</v>
      </c>
      <c r="B1273" s="4">
        <f>ROUND(Table13_1[[#This Row],[bmi]],1)</f>
        <v>34.5</v>
      </c>
      <c r="C1273" s="4" t="str" cm="1">
        <f t="array" ref="C1273">_xlfn.IFS(Table13_1[[#This Row],[Round BMI]]&lt;18.5,"Underweight",AND(Table13_1[[#This Row],[Round BMI]]&gt;=18.5,Table13_1[[#This Row],[Round BMI]] &lt;=24.9),"Healthy Weight",AND(Table13_1[[#This Row],[Round BMI]]&gt;=25,Table13_1[[#This Row],[Round BMI]]&lt;=29.9),"Overweight",Table13_1[[#This Row],[Round BMI]]&gt;=30,"Obese")</f>
        <v>Obese</v>
      </c>
      <c r="D1273" s="4" t="s">
        <v>11</v>
      </c>
      <c r="E1273" s="4" t="str">
        <f>IF(Table13_1[[#This Row],[smoker]]="yes","smoker","non-smoker")</f>
        <v>non-smoker</v>
      </c>
      <c r="F1273" s="4" t="s">
        <v>13</v>
      </c>
      <c r="G1273" s="5">
        <v>25</v>
      </c>
      <c r="H1273" s="5">
        <f>IF(Table13_1[[#This Row],[smoker]]="yes",1,0)</f>
        <v>0</v>
      </c>
      <c r="I1273" s="4">
        <v>34.484999999999999</v>
      </c>
      <c r="J1273" s="4">
        <v>0</v>
      </c>
      <c r="K1273" s="12">
        <v>3021.8092000000001</v>
      </c>
      <c r="N1273">
        <v>1118</v>
      </c>
      <c r="O1273">
        <v>29829.180038872928</v>
      </c>
      <c r="P1273">
        <v>6295.3936611270728</v>
      </c>
    </row>
    <row r="1274" spans="1:16" x14ac:dyDescent="0.25">
      <c r="A1274" s="4" t="s">
        <v>10</v>
      </c>
      <c r="B1274" s="4">
        <f>ROUND(Table13_1[[#This Row],[bmi]],1)</f>
        <v>25.5</v>
      </c>
      <c r="C1274" s="4" t="str" cm="1">
        <f t="array" ref="C1274">_xlfn.IFS(Table13_1[[#This Row],[Round BMI]]&lt;18.5,"Underweight",AND(Table13_1[[#This Row],[Round BMI]]&gt;=18.5,Table13_1[[#This Row],[Round BMI]] &lt;=24.9),"Healthy Weight",AND(Table13_1[[#This Row],[Round BMI]]&gt;=25,Table13_1[[#This Row],[Round BMI]]&lt;=29.9),"Overweight",Table13_1[[#This Row],[Round BMI]]&gt;=30,"Obese")</f>
        <v>Overweight</v>
      </c>
      <c r="D1274" s="4" t="s">
        <v>11</v>
      </c>
      <c r="E1274" s="4" t="str">
        <f>IF(Table13_1[[#This Row],[smoker]]="yes","smoker","non-smoker")</f>
        <v>non-smoker</v>
      </c>
      <c r="F1274" s="4" t="s">
        <v>12</v>
      </c>
      <c r="G1274" s="5">
        <v>43</v>
      </c>
      <c r="H1274" s="5">
        <f>IF(Table13_1[[#This Row],[smoker]]="yes",1,0)</f>
        <v>0</v>
      </c>
      <c r="I1274" s="4">
        <v>25.52</v>
      </c>
      <c r="J1274" s="4">
        <v>5</v>
      </c>
      <c r="K1274" s="12">
        <v>14478.3302</v>
      </c>
      <c r="N1274">
        <v>1119</v>
      </c>
      <c r="O1274">
        <v>32197.354176845689</v>
      </c>
      <c r="P1274">
        <v>6085.3953231543092</v>
      </c>
    </row>
    <row r="1275" spans="1:16" x14ac:dyDescent="0.25">
      <c r="A1275" s="4" t="s">
        <v>10</v>
      </c>
      <c r="B1275" s="4">
        <f>ROUND(Table13_1[[#This Row],[bmi]],1)</f>
        <v>27.6</v>
      </c>
      <c r="C1275" s="4" t="str" cm="1">
        <f t="array" ref="C1275">_xlfn.IFS(Table13_1[[#This Row],[Round BMI]]&lt;18.5,"Underweight",AND(Table13_1[[#This Row],[Round BMI]]&gt;=18.5,Table13_1[[#This Row],[Round BMI]] &lt;=24.9),"Healthy Weight",AND(Table13_1[[#This Row],[Round BMI]]&gt;=25,Table13_1[[#This Row],[Round BMI]]&lt;=29.9),"Overweight",Table13_1[[#This Row],[Round BMI]]&gt;=30,"Obese")</f>
        <v>Overweight</v>
      </c>
      <c r="D1275" s="4" t="s">
        <v>11</v>
      </c>
      <c r="E1275" s="4" t="str">
        <f>IF(Table13_1[[#This Row],[smoker]]="yes","smoker","non-smoker")</f>
        <v>non-smoker</v>
      </c>
      <c r="F1275" s="4" t="s">
        <v>12</v>
      </c>
      <c r="G1275" s="5">
        <v>35</v>
      </c>
      <c r="H1275" s="5">
        <f>IF(Table13_1[[#This Row],[smoker]]="yes",1,0)</f>
        <v>0</v>
      </c>
      <c r="I1275" s="4">
        <v>27.61</v>
      </c>
      <c r="J1275" s="4">
        <v>1</v>
      </c>
      <c r="K1275" s="12">
        <v>4747.0528999999997</v>
      </c>
      <c r="N1275">
        <v>1120</v>
      </c>
      <c r="O1275">
        <v>3474.1582750395846</v>
      </c>
      <c r="P1275">
        <v>2219.2722249604158</v>
      </c>
    </row>
    <row r="1276" spans="1:16" x14ac:dyDescent="0.25">
      <c r="A1276" s="4" t="s">
        <v>10</v>
      </c>
      <c r="B1276" s="4">
        <f>ROUND(Table13_1[[#This Row],[bmi]],1)</f>
        <v>27.1</v>
      </c>
      <c r="C1276" s="4" t="str" cm="1">
        <f t="array" ref="C1276">_xlfn.IFS(Table13_1[[#This Row],[Round BMI]]&lt;18.5,"Underweight",AND(Table13_1[[#This Row],[Round BMI]]&gt;=18.5,Table13_1[[#This Row],[Round BMI]] &lt;=24.9),"Healthy Weight",AND(Table13_1[[#This Row],[Round BMI]]&gt;=25,Table13_1[[#This Row],[Round BMI]]&lt;=29.9),"Overweight",Table13_1[[#This Row],[Round BMI]]&gt;=30,"Obese")</f>
        <v>Overweight</v>
      </c>
      <c r="D1276" s="4" t="s">
        <v>8</v>
      </c>
      <c r="E1276" s="4" t="str">
        <f>IF(Table13_1[[#This Row],[smoker]]="yes","smoker","non-smoker")</f>
        <v>smoker</v>
      </c>
      <c r="F1276" s="4" t="s">
        <v>12</v>
      </c>
      <c r="G1276" s="5">
        <v>26</v>
      </c>
      <c r="H1276" s="5">
        <f>IF(Table13_1[[#This Row],[smoker]]="yes",1,0)</f>
        <v>1</v>
      </c>
      <c r="I1276" s="4">
        <v>27.06</v>
      </c>
      <c r="J1276" s="4">
        <v>0</v>
      </c>
      <c r="K1276" s="12">
        <v>17043.341400000001</v>
      </c>
      <c r="N1276">
        <v>1121</v>
      </c>
      <c r="O1276">
        <v>27745.303185637029</v>
      </c>
      <c r="P1276">
        <v>6420.9698143629721</v>
      </c>
    </row>
    <row r="1277" spans="1:16" x14ac:dyDescent="0.25">
      <c r="A1277" s="4" t="s">
        <v>10</v>
      </c>
      <c r="B1277" s="4">
        <f>ROUND(Table13_1[[#This Row],[bmi]],1)</f>
        <v>23.7</v>
      </c>
      <c r="C1277" s="4" t="str" cm="1">
        <f t="array" ref="C1277">_xlfn.IFS(Table13_1[[#This Row],[Round BMI]]&lt;18.5,"Underweight",AND(Table13_1[[#This Row],[Round BMI]]&gt;=18.5,Table13_1[[#This Row],[Round BMI]] &lt;=24.9),"Healthy Weight",AND(Table13_1[[#This Row],[Round BMI]]&gt;=25,Table13_1[[#This Row],[Round BMI]]&lt;=29.9),"Overweight",Table13_1[[#This Row],[Round BMI]]&gt;=30,"Obese")</f>
        <v>Healthy Weight</v>
      </c>
      <c r="D1277" s="4" t="s">
        <v>11</v>
      </c>
      <c r="E1277" s="4" t="str">
        <f>IF(Table13_1[[#This Row],[smoker]]="yes","smoker","non-smoker")</f>
        <v>non-smoker</v>
      </c>
      <c r="F1277" s="4" t="s">
        <v>9</v>
      </c>
      <c r="G1277" s="5">
        <v>57</v>
      </c>
      <c r="H1277" s="5">
        <f>IF(Table13_1[[#This Row],[smoker]]="yes",1,0)</f>
        <v>0</v>
      </c>
      <c r="I1277" s="4">
        <v>23.7</v>
      </c>
      <c r="J1277" s="4">
        <v>0</v>
      </c>
      <c r="K1277" s="12">
        <v>10959.33</v>
      </c>
      <c r="N1277">
        <v>1122</v>
      </c>
      <c r="O1277">
        <v>12990.380636546348</v>
      </c>
      <c r="P1277">
        <v>-4643.2163365463475</v>
      </c>
    </row>
    <row r="1278" spans="1:16" x14ac:dyDescent="0.25">
      <c r="A1278" s="4" t="s">
        <v>7</v>
      </c>
      <c r="B1278" s="4">
        <f>ROUND(Table13_1[[#This Row],[bmi]],1)</f>
        <v>30.4</v>
      </c>
      <c r="C1278" s="4" t="str" cm="1">
        <f t="array" ref="C1278">_xlfn.IFS(Table13_1[[#This Row],[Round BMI]]&lt;18.5,"Underweight",AND(Table13_1[[#This Row],[Round BMI]]&gt;=18.5,Table13_1[[#This Row],[Round BMI]] &lt;=24.9),"Healthy Weight",AND(Table13_1[[#This Row],[Round BMI]]&gt;=25,Table13_1[[#This Row],[Round BMI]]&lt;=29.9),"Overweight",Table13_1[[#This Row],[Round BMI]]&gt;=30,"Obese")</f>
        <v>Obese</v>
      </c>
      <c r="D1278" s="4" t="s">
        <v>11</v>
      </c>
      <c r="E1278" s="4" t="str">
        <f>IF(Table13_1[[#This Row],[smoker]]="yes","smoker","non-smoker")</f>
        <v>non-smoker</v>
      </c>
      <c r="F1278" s="4" t="s">
        <v>14</v>
      </c>
      <c r="G1278" s="5">
        <v>22</v>
      </c>
      <c r="H1278" s="5">
        <f>IF(Table13_1[[#This Row],[smoker]]="yes",1,0)</f>
        <v>0</v>
      </c>
      <c r="I1278" s="4">
        <v>30.4</v>
      </c>
      <c r="J1278" s="4">
        <v>0</v>
      </c>
      <c r="K1278" s="12">
        <v>2741.9479999999999</v>
      </c>
      <c r="N1278">
        <v>1123</v>
      </c>
      <c r="O1278">
        <v>38658.604011698204</v>
      </c>
      <c r="P1278">
        <v>8002.8383883017959</v>
      </c>
    </row>
    <row r="1279" spans="1:16" x14ac:dyDescent="0.25">
      <c r="A1279" s="4" t="s">
        <v>7</v>
      </c>
      <c r="B1279" s="4">
        <f>ROUND(Table13_1[[#This Row],[bmi]],1)</f>
        <v>29.7</v>
      </c>
      <c r="C1279" s="4" t="str" cm="1">
        <f t="array" ref="C1279">_xlfn.IFS(Table13_1[[#This Row],[Round BMI]]&lt;18.5,"Underweight",AND(Table13_1[[#This Row],[Round BMI]]&gt;=18.5,Table13_1[[#This Row],[Round BMI]] &lt;=24.9),"Healthy Weight",AND(Table13_1[[#This Row],[Round BMI]]&gt;=25,Table13_1[[#This Row],[Round BMI]]&lt;=29.9),"Overweight",Table13_1[[#This Row],[Round BMI]]&gt;=30,"Obese")</f>
        <v>Overweight</v>
      </c>
      <c r="D1279" s="4" t="s">
        <v>11</v>
      </c>
      <c r="E1279" s="4" t="str">
        <f>IF(Table13_1[[#This Row],[smoker]]="yes","smoker","non-smoker")</f>
        <v>non-smoker</v>
      </c>
      <c r="F1279" s="4" t="s">
        <v>13</v>
      </c>
      <c r="G1279" s="5">
        <v>32</v>
      </c>
      <c r="H1279" s="5">
        <f>IF(Table13_1[[#This Row],[smoker]]="yes",1,0)</f>
        <v>0</v>
      </c>
      <c r="I1279" s="4">
        <v>29.734999999999999</v>
      </c>
      <c r="J1279" s="4">
        <v>0</v>
      </c>
      <c r="K1279" s="12">
        <v>4357.0436</v>
      </c>
      <c r="N1279">
        <v>1124</v>
      </c>
      <c r="O1279">
        <v>5759.0458303157611</v>
      </c>
      <c r="P1279">
        <v>13144.445569684238</v>
      </c>
    </row>
    <row r="1280" spans="1:16" x14ac:dyDescent="0.25">
      <c r="A1280" s="4" t="s">
        <v>10</v>
      </c>
      <c r="B1280" s="4">
        <f>ROUND(Table13_1[[#This Row],[bmi]],1)</f>
        <v>29.9</v>
      </c>
      <c r="C1280" s="4" t="str" cm="1">
        <f t="array" ref="C1280">_xlfn.IFS(Table13_1[[#This Row],[Round BMI]]&lt;18.5,"Underweight",AND(Table13_1[[#This Row],[Round BMI]]&gt;=18.5,Table13_1[[#This Row],[Round BMI]] &lt;=24.9),"Healthy Weight",AND(Table13_1[[#This Row],[Round BMI]]&gt;=25,Table13_1[[#This Row],[Round BMI]]&lt;=29.9),"Overweight",Table13_1[[#This Row],[Round BMI]]&gt;=30,"Obese")</f>
        <v>Overweight</v>
      </c>
      <c r="D1280" s="4" t="s">
        <v>8</v>
      </c>
      <c r="E1280" s="4" t="str">
        <f>IF(Table13_1[[#This Row],[smoker]]="yes","smoker","non-smoker")</f>
        <v>smoker</v>
      </c>
      <c r="F1280" s="4" t="s">
        <v>14</v>
      </c>
      <c r="G1280" s="5">
        <v>39</v>
      </c>
      <c r="H1280" s="5">
        <f>IF(Table13_1[[#This Row],[smoker]]="yes",1,0)</f>
        <v>1</v>
      </c>
      <c r="I1280" s="4">
        <v>29.925000000000001</v>
      </c>
      <c r="J1280" s="4">
        <v>1</v>
      </c>
      <c r="K1280" s="12">
        <v>22462.043799999999</v>
      </c>
      <c r="N1280">
        <v>1125</v>
      </c>
      <c r="O1280">
        <v>31871.818923430612</v>
      </c>
      <c r="P1280">
        <v>9032.3805765693905</v>
      </c>
    </row>
    <row r="1281" spans="1:16" x14ac:dyDescent="0.25">
      <c r="A1281" s="4" t="s">
        <v>7</v>
      </c>
      <c r="B1281" s="4">
        <f>ROUND(Table13_1[[#This Row],[bmi]],1)</f>
        <v>26.8</v>
      </c>
      <c r="C1281" s="4" t="str" cm="1">
        <f t="array" ref="C1281">_xlfn.IFS(Table13_1[[#This Row],[Round BMI]]&lt;18.5,"Underweight",AND(Table13_1[[#This Row],[Round BMI]]&gt;=18.5,Table13_1[[#This Row],[Round BMI]] &lt;=24.9),"Healthy Weight",AND(Table13_1[[#This Row],[Round BMI]]&gt;=25,Table13_1[[#This Row],[Round BMI]]&lt;=29.9),"Overweight",Table13_1[[#This Row],[Round BMI]]&gt;=30,"Obese")</f>
        <v>Overweight</v>
      </c>
      <c r="D1281" s="4" t="s">
        <v>11</v>
      </c>
      <c r="E1281" s="4" t="str">
        <f>IF(Table13_1[[#This Row],[smoker]]="yes","smoker","non-smoker")</f>
        <v>non-smoker</v>
      </c>
      <c r="F1281" s="4" t="s">
        <v>13</v>
      </c>
      <c r="G1281" s="5">
        <v>25</v>
      </c>
      <c r="H1281" s="5">
        <f>IF(Table13_1[[#This Row],[smoker]]="yes",1,0)</f>
        <v>0</v>
      </c>
      <c r="I1281" s="4">
        <v>26.79</v>
      </c>
      <c r="J1281" s="4">
        <v>2</v>
      </c>
      <c r="K1281" s="12">
        <v>4189.1130999999996</v>
      </c>
      <c r="N1281">
        <v>1126</v>
      </c>
      <c r="O1281">
        <v>12213.782766879282</v>
      </c>
      <c r="P1281">
        <v>2040.825433120719</v>
      </c>
    </row>
    <row r="1282" spans="1:16" x14ac:dyDescent="0.25">
      <c r="A1282" s="4" t="s">
        <v>7</v>
      </c>
      <c r="B1282" s="4">
        <f>ROUND(Table13_1[[#This Row],[bmi]],1)</f>
        <v>33.299999999999997</v>
      </c>
      <c r="C1282" s="4" t="str" cm="1">
        <f t="array" ref="C1282">_xlfn.IFS(Table13_1[[#This Row],[Round BMI]]&lt;18.5,"Underweight",AND(Table13_1[[#This Row],[Round BMI]]&gt;=18.5,Table13_1[[#This Row],[Round BMI]] &lt;=24.9),"Healthy Weight",AND(Table13_1[[#This Row],[Round BMI]]&gt;=25,Table13_1[[#This Row],[Round BMI]]&lt;=29.9),"Overweight",Table13_1[[#This Row],[Round BMI]]&gt;=30,"Obese")</f>
        <v>Obese</v>
      </c>
      <c r="D1282" s="4" t="s">
        <v>11</v>
      </c>
      <c r="E1282" s="4" t="str">
        <f>IF(Table13_1[[#This Row],[smoker]]="yes","smoker","non-smoker")</f>
        <v>non-smoker</v>
      </c>
      <c r="F1282" s="4" t="s">
        <v>12</v>
      </c>
      <c r="G1282" s="5">
        <v>48</v>
      </c>
      <c r="H1282" s="5">
        <f>IF(Table13_1[[#This Row],[smoker]]="yes",1,0)</f>
        <v>0</v>
      </c>
      <c r="I1282" s="4">
        <v>33.33</v>
      </c>
      <c r="J1282" s="4">
        <v>0</v>
      </c>
      <c r="K1282" s="12">
        <v>8283.6807000000008</v>
      </c>
      <c r="N1282">
        <v>1127</v>
      </c>
      <c r="O1282">
        <v>11702.310469931079</v>
      </c>
      <c r="P1282">
        <v>-1487.6744699310784</v>
      </c>
    </row>
    <row r="1283" spans="1:16" x14ac:dyDescent="0.25">
      <c r="A1283" s="4" t="s">
        <v>7</v>
      </c>
      <c r="B1283" s="4">
        <f>ROUND(Table13_1[[#This Row],[bmi]],1)</f>
        <v>27.6</v>
      </c>
      <c r="C1283" s="4" t="str" cm="1">
        <f t="array" ref="C1283">_xlfn.IFS(Table13_1[[#This Row],[Round BMI]]&lt;18.5,"Underweight",AND(Table13_1[[#This Row],[Round BMI]]&gt;=18.5,Table13_1[[#This Row],[Round BMI]] &lt;=24.9),"Healthy Weight",AND(Table13_1[[#This Row],[Round BMI]]&gt;=25,Table13_1[[#This Row],[Round BMI]]&lt;=29.9),"Overweight",Table13_1[[#This Row],[Round BMI]]&gt;=30,"Obese")</f>
        <v>Overweight</v>
      </c>
      <c r="D1283" s="4" t="s">
        <v>8</v>
      </c>
      <c r="E1283" s="4" t="str">
        <f>IF(Table13_1[[#This Row],[smoker]]="yes","smoker","non-smoker")</f>
        <v>smoker</v>
      </c>
      <c r="F1283" s="4" t="s">
        <v>13</v>
      </c>
      <c r="G1283" s="5">
        <v>47</v>
      </c>
      <c r="H1283" s="5">
        <f>IF(Table13_1[[#This Row],[smoker]]="yes",1,0)</f>
        <v>1</v>
      </c>
      <c r="I1283" s="4">
        <v>27.645</v>
      </c>
      <c r="J1283" s="4">
        <v>2</v>
      </c>
      <c r="K1283" s="12">
        <v>24535.6986</v>
      </c>
      <c r="N1283">
        <v>1128</v>
      </c>
      <c r="O1283">
        <v>9410.5593153492318</v>
      </c>
      <c r="P1283">
        <v>-3574.0389153492315</v>
      </c>
    </row>
    <row r="1284" spans="1:16" x14ac:dyDescent="0.25">
      <c r="A1284" s="4" t="s">
        <v>7</v>
      </c>
      <c r="B1284" s="4">
        <f>ROUND(Table13_1[[#This Row],[bmi]],1)</f>
        <v>21.7</v>
      </c>
      <c r="C1284" s="4" t="str" cm="1">
        <f t="array" ref="C1284">_xlfn.IFS(Table13_1[[#This Row],[Round BMI]]&lt;18.5,"Underweight",AND(Table13_1[[#This Row],[Round BMI]]&gt;=18.5,Table13_1[[#This Row],[Round BMI]] &lt;=24.9),"Healthy Weight",AND(Table13_1[[#This Row],[Round BMI]]&gt;=25,Table13_1[[#This Row],[Round BMI]]&lt;=29.9),"Overweight",Table13_1[[#This Row],[Round BMI]]&gt;=30,"Obese")</f>
        <v>Healthy Weight</v>
      </c>
      <c r="D1284" s="4" t="s">
        <v>8</v>
      </c>
      <c r="E1284" s="4" t="str">
        <f>IF(Table13_1[[#This Row],[smoker]]="yes","smoker","non-smoker")</f>
        <v>smoker</v>
      </c>
      <c r="F1284" s="4" t="s">
        <v>14</v>
      </c>
      <c r="G1284" s="5">
        <v>18</v>
      </c>
      <c r="H1284" s="5">
        <f>IF(Table13_1[[#This Row],[smoker]]="yes",1,0)</f>
        <v>1</v>
      </c>
      <c r="I1284" s="4">
        <v>21.66</v>
      </c>
      <c r="J1284" s="4">
        <v>0</v>
      </c>
      <c r="K1284" s="12">
        <v>14283.4594</v>
      </c>
      <c r="N1284">
        <v>1129</v>
      </c>
      <c r="O1284">
        <v>7694.3421997789419</v>
      </c>
      <c r="P1284">
        <v>6664.0222002210585</v>
      </c>
    </row>
    <row r="1285" spans="1:16" x14ac:dyDescent="0.25">
      <c r="A1285" s="4" t="s">
        <v>10</v>
      </c>
      <c r="B1285" s="4">
        <f>ROUND(Table13_1[[#This Row],[bmi]],1)</f>
        <v>30</v>
      </c>
      <c r="C1285" s="4" t="str" cm="1">
        <f t="array" ref="C1285">_xlfn.IFS(Table13_1[[#This Row],[Round BMI]]&lt;18.5,"Underweight",AND(Table13_1[[#This Row],[Round BMI]]&gt;=18.5,Table13_1[[#This Row],[Round BMI]] &lt;=24.9),"Healthy Weight",AND(Table13_1[[#This Row],[Round BMI]]&gt;=25,Table13_1[[#This Row],[Round BMI]]&lt;=29.9),"Overweight",Table13_1[[#This Row],[Round BMI]]&gt;=30,"Obese")</f>
        <v>Obese</v>
      </c>
      <c r="D1285" s="4" t="s">
        <v>11</v>
      </c>
      <c r="E1285" s="4" t="str">
        <f>IF(Table13_1[[#This Row],[smoker]]="yes","smoker","non-smoker")</f>
        <v>non-smoker</v>
      </c>
      <c r="F1285" s="4" t="s">
        <v>12</v>
      </c>
      <c r="G1285" s="5">
        <v>18</v>
      </c>
      <c r="H1285" s="5">
        <f>IF(Table13_1[[#This Row],[smoker]]="yes",1,0)</f>
        <v>0</v>
      </c>
      <c r="I1285" s="4">
        <v>30.03</v>
      </c>
      <c r="J1285" s="4">
        <v>1</v>
      </c>
      <c r="K1285" s="12">
        <v>1720.3536999999999</v>
      </c>
      <c r="N1285">
        <v>1130</v>
      </c>
      <c r="O1285">
        <v>-1217.1926460674367</v>
      </c>
      <c r="P1285">
        <v>2946.0896460674367</v>
      </c>
    </row>
    <row r="1286" spans="1:16" x14ac:dyDescent="0.25">
      <c r="A1286" s="4" t="s">
        <v>10</v>
      </c>
      <c r="B1286" s="4">
        <f>ROUND(Table13_1[[#This Row],[bmi]],1)</f>
        <v>36.299999999999997</v>
      </c>
      <c r="C1286" s="4" t="str" cm="1">
        <f t="array" ref="C1286">_xlfn.IFS(Table13_1[[#This Row],[Round BMI]]&lt;18.5,"Underweight",AND(Table13_1[[#This Row],[Round BMI]]&gt;=18.5,Table13_1[[#This Row],[Round BMI]] &lt;=24.9),"Healthy Weight",AND(Table13_1[[#This Row],[Round BMI]]&gt;=25,Table13_1[[#This Row],[Round BMI]]&lt;=29.9),"Overweight",Table13_1[[#This Row],[Round BMI]]&gt;=30,"Obese")</f>
        <v>Obese</v>
      </c>
      <c r="D1286" s="4" t="s">
        <v>8</v>
      </c>
      <c r="E1286" s="4" t="str">
        <f>IF(Table13_1[[#This Row],[smoker]]="yes","smoker","non-smoker")</f>
        <v>smoker</v>
      </c>
      <c r="F1286" s="4" t="s">
        <v>9</v>
      </c>
      <c r="G1286" s="5">
        <v>61</v>
      </c>
      <c r="H1286" s="5">
        <f>IF(Table13_1[[#This Row],[smoker]]="yes",1,0)</f>
        <v>1</v>
      </c>
      <c r="I1286" s="4">
        <v>36.299999999999997</v>
      </c>
      <c r="J1286" s="4">
        <v>1</v>
      </c>
      <c r="K1286" s="12">
        <v>47403.88</v>
      </c>
      <c r="N1286">
        <v>1131</v>
      </c>
      <c r="O1286">
        <v>8003.4659712419898</v>
      </c>
      <c r="P1286">
        <v>578.83632875800959</v>
      </c>
    </row>
    <row r="1287" spans="1:16" x14ac:dyDescent="0.25">
      <c r="A1287" s="4" t="s">
        <v>7</v>
      </c>
      <c r="B1287" s="4">
        <f>ROUND(Table13_1[[#This Row],[bmi]],1)</f>
        <v>24.3</v>
      </c>
      <c r="C1287" s="4" t="str" cm="1">
        <f t="array" ref="C1287">_xlfn.IFS(Table13_1[[#This Row],[Round BMI]]&lt;18.5,"Underweight",AND(Table13_1[[#This Row],[Round BMI]]&gt;=18.5,Table13_1[[#This Row],[Round BMI]] &lt;=24.9),"Healthy Weight",AND(Table13_1[[#This Row],[Round BMI]]&gt;=25,Table13_1[[#This Row],[Round BMI]]&lt;=29.9),"Overweight",Table13_1[[#This Row],[Round BMI]]&gt;=30,"Obese")</f>
        <v>Healthy Weight</v>
      </c>
      <c r="D1287" s="4" t="s">
        <v>11</v>
      </c>
      <c r="E1287" s="4" t="str">
        <f>IF(Table13_1[[#This Row],[smoker]]="yes","smoker","non-smoker")</f>
        <v>non-smoker</v>
      </c>
      <c r="F1287" s="4" t="s">
        <v>14</v>
      </c>
      <c r="G1287" s="5">
        <v>47</v>
      </c>
      <c r="H1287" s="5">
        <f>IF(Table13_1[[#This Row],[smoker]]="yes",1,0)</f>
        <v>0</v>
      </c>
      <c r="I1287" s="4">
        <v>24.32</v>
      </c>
      <c r="J1287" s="4">
        <v>0</v>
      </c>
      <c r="K1287" s="12">
        <v>8534.6718000000001</v>
      </c>
      <c r="N1287">
        <v>1132</v>
      </c>
      <c r="O1287">
        <v>10579.151341232156</v>
      </c>
      <c r="P1287">
        <v>-6885.7233412321566</v>
      </c>
    </row>
    <row r="1288" spans="1:16" x14ac:dyDescent="0.25">
      <c r="A1288" s="4" t="s">
        <v>7</v>
      </c>
      <c r="B1288" s="4">
        <f>ROUND(Table13_1[[#This Row],[bmi]],1)</f>
        <v>17.3</v>
      </c>
      <c r="C1288" s="4" t="str" cm="1">
        <f t="array" ref="C1288">_xlfn.IFS(Table13_1[[#This Row],[Round BMI]]&lt;18.5,"Underweight",AND(Table13_1[[#This Row],[Round BMI]]&gt;=18.5,Table13_1[[#This Row],[Round BMI]] &lt;=24.9),"Healthy Weight",AND(Table13_1[[#This Row],[Round BMI]]&gt;=25,Table13_1[[#This Row],[Round BMI]]&lt;=29.9),"Overweight",Table13_1[[#This Row],[Round BMI]]&gt;=30,"Obese")</f>
        <v>Underweight</v>
      </c>
      <c r="D1288" s="4" t="s">
        <v>11</v>
      </c>
      <c r="E1288" s="4" t="str">
        <f>IF(Table13_1[[#This Row],[smoker]]="yes","smoker","non-smoker")</f>
        <v>non-smoker</v>
      </c>
      <c r="F1288" s="4" t="s">
        <v>14</v>
      </c>
      <c r="G1288" s="5">
        <v>28</v>
      </c>
      <c r="H1288" s="5">
        <f>IF(Table13_1[[#This Row],[smoker]]="yes",1,0)</f>
        <v>0</v>
      </c>
      <c r="I1288" s="4">
        <v>17.29</v>
      </c>
      <c r="J1288" s="4">
        <v>0</v>
      </c>
      <c r="K1288" s="12">
        <v>3732.6251000000002</v>
      </c>
      <c r="N1288">
        <v>1133</v>
      </c>
      <c r="O1288">
        <v>15558.827046083576</v>
      </c>
      <c r="P1288">
        <v>5150.1932539164245</v>
      </c>
    </row>
    <row r="1289" spans="1:16" x14ac:dyDescent="0.25">
      <c r="A1289" s="4" t="s">
        <v>7</v>
      </c>
      <c r="B1289" s="4">
        <f>ROUND(Table13_1[[#This Row],[bmi]],1)</f>
        <v>25.9</v>
      </c>
      <c r="C1289" s="4" t="str" cm="1">
        <f t="array" ref="C1289">_xlfn.IFS(Table13_1[[#This Row],[Round BMI]]&lt;18.5,"Underweight",AND(Table13_1[[#This Row],[Round BMI]]&gt;=18.5,Table13_1[[#This Row],[Round BMI]] &lt;=24.9),"Healthy Weight",AND(Table13_1[[#This Row],[Round BMI]]&gt;=25,Table13_1[[#This Row],[Round BMI]]&lt;=29.9),"Overweight",Table13_1[[#This Row],[Round BMI]]&gt;=30,"Obese")</f>
        <v>Overweight</v>
      </c>
      <c r="D1289" s="4" t="s">
        <v>11</v>
      </c>
      <c r="E1289" s="4" t="str">
        <f>IF(Table13_1[[#This Row],[smoker]]="yes","smoker","non-smoker")</f>
        <v>non-smoker</v>
      </c>
      <c r="F1289" s="4" t="s">
        <v>9</v>
      </c>
      <c r="G1289" s="5">
        <v>36</v>
      </c>
      <c r="H1289" s="5">
        <f>IF(Table13_1[[#This Row],[smoker]]="yes",1,0)</f>
        <v>0</v>
      </c>
      <c r="I1289" s="4">
        <v>25.9</v>
      </c>
      <c r="J1289" s="4">
        <v>1</v>
      </c>
      <c r="K1289" s="12">
        <v>5472.4489999999996</v>
      </c>
      <c r="N1289">
        <v>1134</v>
      </c>
      <c r="O1289">
        <v>7206.5504740813876</v>
      </c>
      <c r="P1289">
        <v>2784.487125918612</v>
      </c>
    </row>
    <row r="1290" spans="1:16" x14ac:dyDescent="0.25">
      <c r="A1290" s="4" t="s">
        <v>10</v>
      </c>
      <c r="B1290" s="4">
        <f>ROUND(Table13_1[[#This Row],[bmi]],1)</f>
        <v>39.4</v>
      </c>
      <c r="C1290" s="4" t="str" cm="1">
        <f t="array" ref="C1290">_xlfn.IFS(Table13_1[[#This Row],[Round BMI]]&lt;18.5,"Underweight",AND(Table13_1[[#This Row],[Round BMI]]&gt;=18.5,Table13_1[[#This Row],[Round BMI]] &lt;=24.9),"Healthy Weight",AND(Table13_1[[#This Row],[Round BMI]]&gt;=25,Table13_1[[#This Row],[Round BMI]]&lt;=29.9),"Overweight",Table13_1[[#This Row],[Round BMI]]&gt;=30,"Obese")</f>
        <v>Obese</v>
      </c>
      <c r="D1290" s="4" t="s">
        <v>8</v>
      </c>
      <c r="E1290" s="4" t="str">
        <f>IF(Table13_1[[#This Row],[smoker]]="yes","smoker","non-smoker")</f>
        <v>smoker</v>
      </c>
      <c r="F1290" s="4" t="s">
        <v>9</v>
      </c>
      <c r="G1290" s="5">
        <v>20</v>
      </c>
      <c r="H1290" s="5">
        <f>IF(Table13_1[[#This Row],[smoker]]="yes",1,0)</f>
        <v>1</v>
      </c>
      <c r="I1290" s="4">
        <v>39.4</v>
      </c>
      <c r="J1290" s="4">
        <v>2</v>
      </c>
      <c r="K1290" s="12">
        <v>38344.565999999999</v>
      </c>
      <c r="N1290">
        <v>1135</v>
      </c>
      <c r="O1290">
        <v>6002.0312711490214</v>
      </c>
      <c r="P1290">
        <v>13671.304428850977</v>
      </c>
    </row>
    <row r="1291" spans="1:16" x14ac:dyDescent="0.25">
      <c r="A1291" s="4" t="s">
        <v>10</v>
      </c>
      <c r="B1291" s="4">
        <f>ROUND(Table13_1[[#This Row],[bmi]],1)</f>
        <v>34.299999999999997</v>
      </c>
      <c r="C1291" s="4" t="str" cm="1">
        <f t="array" ref="C1291">_xlfn.IFS(Table13_1[[#This Row],[Round BMI]]&lt;18.5,"Underweight",AND(Table13_1[[#This Row],[Round BMI]]&gt;=18.5,Table13_1[[#This Row],[Round BMI]] &lt;=24.9),"Healthy Weight",AND(Table13_1[[#This Row],[Round BMI]]&gt;=25,Table13_1[[#This Row],[Round BMI]]&lt;=29.9),"Overweight",Table13_1[[#This Row],[Round BMI]]&gt;=30,"Obese")</f>
        <v>Obese</v>
      </c>
      <c r="D1291" s="4" t="s">
        <v>11</v>
      </c>
      <c r="E1291" s="4" t="str">
        <f>IF(Table13_1[[#This Row],[smoker]]="yes","smoker","non-smoker")</f>
        <v>non-smoker</v>
      </c>
      <c r="F1291" s="4" t="s">
        <v>12</v>
      </c>
      <c r="G1291" s="5">
        <v>44</v>
      </c>
      <c r="H1291" s="5">
        <f>IF(Table13_1[[#This Row],[smoker]]="yes",1,0)</f>
        <v>0</v>
      </c>
      <c r="I1291" s="4">
        <v>34.32</v>
      </c>
      <c r="J1291" s="4">
        <v>1</v>
      </c>
      <c r="K1291" s="12">
        <v>7147.4727999999996</v>
      </c>
      <c r="N1291">
        <v>1136</v>
      </c>
      <c r="O1291">
        <v>11260.674382859412</v>
      </c>
      <c r="P1291">
        <v>-175.08758285941258</v>
      </c>
    </row>
    <row r="1292" spans="1:16" x14ac:dyDescent="0.25">
      <c r="A1292" s="4" t="s">
        <v>7</v>
      </c>
      <c r="B1292" s="4">
        <f>ROUND(Table13_1[[#This Row],[bmi]],1)</f>
        <v>20</v>
      </c>
      <c r="C1292" s="4" t="str" cm="1">
        <f t="array" ref="C1292">_xlfn.IFS(Table13_1[[#This Row],[Round BMI]]&lt;18.5,"Underweight",AND(Table13_1[[#This Row],[Round BMI]]&gt;=18.5,Table13_1[[#This Row],[Round BMI]] &lt;=24.9),"Healthy Weight",AND(Table13_1[[#This Row],[Round BMI]]&gt;=25,Table13_1[[#This Row],[Round BMI]]&lt;=29.9),"Overweight",Table13_1[[#This Row],[Round BMI]]&gt;=30,"Obese")</f>
        <v>Healthy Weight</v>
      </c>
      <c r="D1292" s="4" t="s">
        <v>11</v>
      </c>
      <c r="E1292" s="4" t="str">
        <f>IF(Table13_1[[#This Row],[smoker]]="yes","smoker","non-smoker")</f>
        <v>non-smoker</v>
      </c>
      <c r="F1292" s="4" t="s">
        <v>14</v>
      </c>
      <c r="G1292" s="5">
        <v>38</v>
      </c>
      <c r="H1292" s="5">
        <f>IF(Table13_1[[#This Row],[smoker]]="yes",1,0)</f>
        <v>0</v>
      </c>
      <c r="I1292" s="4">
        <v>19.95</v>
      </c>
      <c r="J1292" s="4">
        <v>2</v>
      </c>
      <c r="K1292" s="12">
        <v>7133.9025000000001</v>
      </c>
      <c r="N1292">
        <v>1137</v>
      </c>
      <c r="O1292">
        <v>7762.3963309210449</v>
      </c>
      <c r="P1292">
        <v>-138.87833092104484</v>
      </c>
    </row>
    <row r="1293" spans="1:16" x14ac:dyDescent="0.25">
      <c r="A1293" s="4" t="s">
        <v>10</v>
      </c>
      <c r="B1293" s="4">
        <f>ROUND(Table13_1[[#This Row],[bmi]],1)</f>
        <v>34.9</v>
      </c>
      <c r="C1293" s="4" t="str" cm="1">
        <f t="array" ref="C1293">_xlfn.IFS(Table13_1[[#This Row],[Round BMI]]&lt;18.5,"Underweight",AND(Table13_1[[#This Row],[Round BMI]]&gt;=18.5,Table13_1[[#This Row],[Round BMI]] &lt;=24.9),"Healthy Weight",AND(Table13_1[[#This Row],[Round BMI]]&gt;=25,Table13_1[[#This Row],[Round BMI]]&lt;=29.9),"Overweight",Table13_1[[#This Row],[Round BMI]]&gt;=30,"Obese")</f>
        <v>Obese</v>
      </c>
      <c r="D1293" s="4" t="s">
        <v>8</v>
      </c>
      <c r="E1293" s="4" t="str">
        <f>IF(Table13_1[[#This Row],[smoker]]="yes","smoker","non-smoker")</f>
        <v>smoker</v>
      </c>
      <c r="F1293" s="4" t="s">
        <v>9</v>
      </c>
      <c r="G1293" s="5">
        <v>19</v>
      </c>
      <c r="H1293" s="5">
        <f>IF(Table13_1[[#This Row],[smoker]]="yes",1,0)</f>
        <v>1</v>
      </c>
      <c r="I1293" s="4">
        <v>34.9</v>
      </c>
      <c r="J1293" s="4">
        <v>0</v>
      </c>
      <c r="K1293" s="12">
        <v>34828.654000000002</v>
      </c>
      <c r="N1293">
        <v>1138</v>
      </c>
      <c r="O1293">
        <v>1756.0744975586558</v>
      </c>
      <c r="P1293">
        <v>1420.213202441344</v>
      </c>
    </row>
    <row r="1294" spans="1:16" x14ac:dyDescent="0.25">
      <c r="A1294" s="4" t="s">
        <v>10</v>
      </c>
      <c r="B1294" s="4">
        <f>ROUND(Table13_1[[#This Row],[bmi]],1)</f>
        <v>23.2</v>
      </c>
      <c r="C1294" s="4" t="str" cm="1">
        <f t="array" ref="C1294">_xlfn.IFS(Table13_1[[#This Row],[Round BMI]]&lt;18.5,"Underweight",AND(Table13_1[[#This Row],[Round BMI]]&gt;=18.5,Table13_1[[#This Row],[Round BMI]] &lt;=24.9),"Healthy Weight",AND(Table13_1[[#This Row],[Round BMI]]&gt;=25,Table13_1[[#This Row],[Round BMI]]&lt;=29.9),"Overweight",Table13_1[[#This Row],[Round BMI]]&gt;=30,"Obese")</f>
        <v>Healthy Weight</v>
      </c>
      <c r="D1294" s="4" t="s">
        <v>11</v>
      </c>
      <c r="E1294" s="4" t="str">
        <f>IF(Table13_1[[#This Row],[smoker]]="yes","smoker","non-smoker")</f>
        <v>non-smoker</v>
      </c>
      <c r="F1294" s="4" t="s">
        <v>12</v>
      </c>
      <c r="G1294" s="5">
        <v>21</v>
      </c>
      <c r="H1294" s="5">
        <f>IF(Table13_1[[#This Row],[smoker]]="yes",1,0)</f>
        <v>0</v>
      </c>
      <c r="I1294" s="4">
        <v>23.21</v>
      </c>
      <c r="J1294" s="4">
        <v>0</v>
      </c>
      <c r="K1294" s="12">
        <v>1515.3449000000001</v>
      </c>
      <c r="N1294">
        <v>1139</v>
      </c>
      <c r="O1294">
        <v>6142.2692996576734</v>
      </c>
      <c r="P1294">
        <v>-2437.9147996576735</v>
      </c>
    </row>
    <row r="1295" spans="1:16" x14ac:dyDescent="0.25">
      <c r="A1295" s="4" t="s">
        <v>10</v>
      </c>
      <c r="B1295" s="4">
        <f>ROUND(Table13_1[[#This Row],[bmi]],1)</f>
        <v>25.7</v>
      </c>
      <c r="C1295" s="4" t="str" cm="1">
        <f t="array" ref="C1295">_xlfn.IFS(Table13_1[[#This Row],[Round BMI]]&lt;18.5,"Underweight",AND(Table13_1[[#This Row],[Round BMI]]&gt;=18.5,Table13_1[[#This Row],[Round BMI]] &lt;=24.9),"Healthy Weight",AND(Table13_1[[#This Row],[Round BMI]]&gt;=25,Table13_1[[#This Row],[Round BMI]]&lt;=29.9),"Overweight",Table13_1[[#This Row],[Round BMI]]&gt;=30,"Obese")</f>
        <v>Overweight</v>
      </c>
      <c r="D1295" s="4" t="s">
        <v>11</v>
      </c>
      <c r="E1295" s="4" t="str">
        <f>IF(Table13_1[[#This Row],[smoker]]="yes","smoker","non-smoker")</f>
        <v>non-smoker</v>
      </c>
      <c r="F1295" s="4" t="s">
        <v>13</v>
      </c>
      <c r="G1295" s="5">
        <v>46</v>
      </c>
      <c r="H1295" s="5">
        <f>IF(Table13_1[[#This Row],[smoker]]="yes",1,0)</f>
        <v>0</v>
      </c>
      <c r="I1295" s="4">
        <v>25.745000000000001</v>
      </c>
      <c r="J1295" s="4">
        <v>3</v>
      </c>
      <c r="K1295" s="12">
        <v>9301.8935999999994</v>
      </c>
      <c r="N1295">
        <v>1140</v>
      </c>
      <c r="O1295">
        <v>27064.723185412528</v>
      </c>
      <c r="P1295">
        <v>9834.0099145874701</v>
      </c>
    </row>
    <row r="1296" spans="1:16" x14ac:dyDescent="0.25">
      <c r="A1296" s="4" t="s">
        <v>10</v>
      </c>
      <c r="B1296" s="4">
        <f>ROUND(Table13_1[[#This Row],[bmi]],1)</f>
        <v>25.2</v>
      </c>
      <c r="C1296" s="4" t="str" cm="1">
        <f t="array" ref="C1296">_xlfn.IFS(Table13_1[[#This Row],[Round BMI]]&lt;18.5,"Underweight",AND(Table13_1[[#This Row],[Round BMI]]&gt;=18.5,Table13_1[[#This Row],[Round BMI]] &lt;=24.9),"Healthy Weight",AND(Table13_1[[#This Row],[Round BMI]]&gt;=25,Table13_1[[#This Row],[Round BMI]]&lt;=29.9),"Overweight",Table13_1[[#This Row],[Round BMI]]&gt;=30,"Obese")</f>
        <v>Overweight</v>
      </c>
      <c r="D1296" s="4" t="s">
        <v>11</v>
      </c>
      <c r="E1296" s="4" t="str">
        <f>IF(Table13_1[[#This Row],[smoker]]="yes","smoker","non-smoker")</f>
        <v>non-smoker</v>
      </c>
      <c r="F1296" s="4" t="s">
        <v>14</v>
      </c>
      <c r="G1296" s="5">
        <v>58</v>
      </c>
      <c r="H1296" s="5">
        <f>IF(Table13_1[[#This Row],[smoker]]="yes",1,0)</f>
        <v>0</v>
      </c>
      <c r="I1296" s="4">
        <v>25.175000000000001</v>
      </c>
      <c r="J1296" s="4">
        <v>0</v>
      </c>
      <c r="K1296" s="12">
        <v>11931.1252</v>
      </c>
      <c r="N1296">
        <v>1141</v>
      </c>
      <c r="O1296">
        <v>13194.239807196616</v>
      </c>
      <c r="P1296">
        <v>-4146.2125071966166</v>
      </c>
    </row>
    <row r="1297" spans="1:16" x14ac:dyDescent="0.25">
      <c r="A1297" s="4" t="s">
        <v>10</v>
      </c>
      <c r="B1297" s="4">
        <f>ROUND(Table13_1[[#This Row],[bmi]],1)</f>
        <v>22</v>
      </c>
      <c r="C1297" s="4" t="str" cm="1">
        <f t="array" ref="C1297">_xlfn.IFS(Table13_1[[#This Row],[Round BMI]]&lt;18.5,"Underweight",AND(Table13_1[[#This Row],[Round BMI]]&gt;=18.5,Table13_1[[#This Row],[Round BMI]] &lt;=24.9),"Healthy Weight",AND(Table13_1[[#This Row],[Round BMI]]&gt;=25,Table13_1[[#This Row],[Round BMI]]&lt;=29.9),"Overweight",Table13_1[[#This Row],[Round BMI]]&gt;=30,"Obese")</f>
        <v>Healthy Weight</v>
      </c>
      <c r="D1297" s="4" t="s">
        <v>11</v>
      </c>
      <c r="E1297" s="4" t="str">
        <f>IF(Table13_1[[#This Row],[smoker]]="yes","smoker","non-smoker")</f>
        <v>non-smoker</v>
      </c>
      <c r="F1297" s="4" t="s">
        <v>9</v>
      </c>
      <c r="G1297" s="5">
        <v>20</v>
      </c>
      <c r="H1297" s="5">
        <f>IF(Table13_1[[#This Row],[smoker]]="yes",1,0)</f>
        <v>0</v>
      </c>
      <c r="I1297" s="4">
        <v>22</v>
      </c>
      <c r="J1297" s="4">
        <v>1</v>
      </c>
      <c r="K1297" s="12">
        <v>1964.78</v>
      </c>
      <c r="N1297">
        <v>1142</v>
      </c>
      <c r="O1297">
        <v>10381.923101614839</v>
      </c>
      <c r="P1297">
        <v>-2427.4061016148389</v>
      </c>
    </row>
    <row r="1298" spans="1:16" x14ac:dyDescent="0.25">
      <c r="A1298" s="4" t="s">
        <v>10</v>
      </c>
      <c r="B1298" s="4">
        <f>ROUND(Table13_1[[#This Row],[bmi]],1)</f>
        <v>26.1</v>
      </c>
      <c r="C1298" s="4" t="str" cm="1">
        <f t="array" ref="C1298">_xlfn.IFS(Table13_1[[#This Row],[Round BMI]]&lt;18.5,"Underweight",AND(Table13_1[[#This Row],[Round BMI]]&gt;=18.5,Table13_1[[#This Row],[Round BMI]] &lt;=24.9),"Healthy Weight",AND(Table13_1[[#This Row],[Round BMI]]&gt;=25,Table13_1[[#This Row],[Round BMI]]&lt;=29.9),"Overweight",Table13_1[[#This Row],[Round BMI]]&gt;=30,"Obese")</f>
        <v>Overweight</v>
      </c>
      <c r="D1298" s="4" t="s">
        <v>11</v>
      </c>
      <c r="E1298" s="4" t="str">
        <f>IF(Table13_1[[#This Row],[smoker]]="yes","smoker","non-smoker")</f>
        <v>non-smoker</v>
      </c>
      <c r="F1298" s="4" t="s">
        <v>14</v>
      </c>
      <c r="G1298" s="5">
        <v>18</v>
      </c>
      <c r="H1298" s="5">
        <f>IF(Table13_1[[#This Row],[smoker]]="yes",1,0)</f>
        <v>0</v>
      </c>
      <c r="I1298" s="4">
        <v>26.125</v>
      </c>
      <c r="J1298" s="4">
        <v>0</v>
      </c>
      <c r="K1298" s="12">
        <v>1708.9258</v>
      </c>
      <c r="N1298">
        <v>1143</v>
      </c>
      <c r="O1298">
        <v>9306.6308776203005</v>
      </c>
      <c r="P1298">
        <v>17811.3629223797</v>
      </c>
    </row>
    <row r="1299" spans="1:16" x14ac:dyDescent="0.25">
      <c r="A1299" s="4" t="s">
        <v>7</v>
      </c>
      <c r="B1299" s="4">
        <f>ROUND(Table13_1[[#This Row],[bmi]],1)</f>
        <v>26.5</v>
      </c>
      <c r="C1299" s="4" t="str" cm="1">
        <f t="array" ref="C1299">_xlfn.IFS(Table13_1[[#This Row],[Round BMI]]&lt;18.5,"Underweight",AND(Table13_1[[#This Row],[Round BMI]]&gt;=18.5,Table13_1[[#This Row],[Round BMI]] &lt;=24.9),"Healthy Weight",AND(Table13_1[[#This Row],[Round BMI]]&gt;=25,Table13_1[[#This Row],[Round BMI]]&lt;=29.9),"Overweight",Table13_1[[#This Row],[Round BMI]]&gt;=30,"Obese")</f>
        <v>Overweight</v>
      </c>
      <c r="D1299" s="4" t="s">
        <v>11</v>
      </c>
      <c r="E1299" s="4" t="str">
        <f>IF(Table13_1[[#This Row],[smoker]]="yes","smoker","non-smoker")</f>
        <v>non-smoker</v>
      </c>
      <c r="F1299" s="4" t="s">
        <v>12</v>
      </c>
      <c r="G1299" s="5">
        <v>28</v>
      </c>
      <c r="H1299" s="5">
        <f>IF(Table13_1[[#This Row],[smoker]]="yes",1,0)</f>
        <v>0</v>
      </c>
      <c r="I1299" s="4">
        <v>26.51</v>
      </c>
      <c r="J1299" s="4">
        <v>2</v>
      </c>
      <c r="K1299" s="12">
        <v>4340.4408999999996</v>
      </c>
      <c r="N1299">
        <v>1144</v>
      </c>
      <c r="O1299">
        <v>9309.0404066695901</v>
      </c>
      <c r="P1299">
        <v>-2970.96480666959</v>
      </c>
    </row>
    <row r="1300" spans="1:16" x14ac:dyDescent="0.25">
      <c r="A1300" s="4" t="s">
        <v>10</v>
      </c>
      <c r="B1300" s="4">
        <f>ROUND(Table13_1[[#This Row],[bmi]],1)</f>
        <v>27.5</v>
      </c>
      <c r="C1300" s="4" t="str" cm="1">
        <f t="array" ref="C1300">_xlfn.IFS(Table13_1[[#This Row],[Round BMI]]&lt;18.5,"Underweight",AND(Table13_1[[#This Row],[Round BMI]]&gt;=18.5,Table13_1[[#This Row],[Round BMI]] &lt;=24.9),"Healthy Weight",AND(Table13_1[[#This Row],[Round BMI]]&gt;=25,Table13_1[[#This Row],[Round BMI]]&lt;=29.9),"Overweight",Table13_1[[#This Row],[Round BMI]]&gt;=30,"Obese")</f>
        <v>Overweight</v>
      </c>
      <c r="D1300" s="4" t="s">
        <v>11</v>
      </c>
      <c r="E1300" s="4" t="str">
        <f>IF(Table13_1[[#This Row],[smoker]]="yes","smoker","non-smoker")</f>
        <v>non-smoker</v>
      </c>
      <c r="F1300" s="4" t="s">
        <v>13</v>
      </c>
      <c r="G1300" s="5">
        <v>33</v>
      </c>
      <c r="H1300" s="5">
        <f>IF(Table13_1[[#This Row],[smoker]]="yes",1,0)</f>
        <v>0</v>
      </c>
      <c r="I1300" s="4">
        <v>27.454999999999998</v>
      </c>
      <c r="J1300" s="4">
        <v>2</v>
      </c>
      <c r="K1300" s="12">
        <v>5261.4694</v>
      </c>
      <c r="N1300">
        <v>1145</v>
      </c>
      <c r="O1300">
        <v>12132.510931189854</v>
      </c>
      <c r="P1300">
        <v>-2502.1139311898532</v>
      </c>
    </row>
    <row r="1301" spans="1:16" x14ac:dyDescent="0.25">
      <c r="A1301" s="4" t="s">
        <v>7</v>
      </c>
      <c r="B1301" s="4">
        <f>ROUND(Table13_1[[#This Row],[bmi]],1)</f>
        <v>25.7</v>
      </c>
      <c r="C1301" s="4" t="str" cm="1">
        <f t="array" ref="C1301">_xlfn.IFS(Table13_1[[#This Row],[Round BMI]]&lt;18.5,"Underweight",AND(Table13_1[[#This Row],[Round BMI]]&gt;=18.5,Table13_1[[#This Row],[Round BMI]] &lt;=24.9),"Healthy Weight",AND(Table13_1[[#This Row],[Round BMI]]&gt;=25,Table13_1[[#This Row],[Round BMI]]&lt;=29.9),"Overweight",Table13_1[[#This Row],[Round BMI]]&gt;=30,"Obese")</f>
        <v>Overweight</v>
      </c>
      <c r="D1301" s="4" t="s">
        <v>11</v>
      </c>
      <c r="E1301" s="4" t="str">
        <f>IF(Table13_1[[#This Row],[smoker]]="yes","smoker","non-smoker")</f>
        <v>non-smoker</v>
      </c>
      <c r="F1301" s="4" t="s">
        <v>13</v>
      </c>
      <c r="G1301" s="5">
        <v>19</v>
      </c>
      <c r="H1301" s="5">
        <f>IF(Table13_1[[#This Row],[smoker]]="yes",1,0)</f>
        <v>0</v>
      </c>
      <c r="I1301" s="4">
        <v>25.745000000000001</v>
      </c>
      <c r="J1301" s="4">
        <v>1</v>
      </c>
      <c r="K1301" s="12">
        <v>2710.8285999999998</v>
      </c>
      <c r="N1301">
        <v>1146</v>
      </c>
      <c r="O1301">
        <v>13274.591677745966</v>
      </c>
      <c r="P1301">
        <v>-1985.4824777459653</v>
      </c>
    </row>
    <row r="1302" spans="1:16" x14ac:dyDescent="0.25">
      <c r="A1302" s="4" t="s">
        <v>10</v>
      </c>
      <c r="B1302" s="4">
        <f>ROUND(Table13_1[[#This Row],[bmi]],1)</f>
        <v>30.4</v>
      </c>
      <c r="C1302" s="4" t="str" cm="1">
        <f t="array" ref="C1302">_xlfn.IFS(Table13_1[[#This Row],[Round BMI]]&lt;18.5,"Underweight",AND(Table13_1[[#This Row],[Round BMI]]&gt;=18.5,Table13_1[[#This Row],[Round BMI]] &lt;=24.9),"Healthy Weight",AND(Table13_1[[#This Row],[Round BMI]]&gt;=25,Table13_1[[#This Row],[Round BMI]]&lt;=29.9),"Overweight",Table13_1[[#This Row],[Round BMI]]&gt;=30,"Obese")</f>
        <v>Obese</v>
      </c>
      <c r="D1302" s="4" t="s">
        <v>8</v>
      </c>
      <c r="E1302" s="4" t="str">
        <f>IF(Table13_1[[#This Row],[smoker]]="yes","smoker","non-smoker")</f>
        <v>smoker</v>
      </c>
      <c r="F1302" s="4" t="s">
        <v>12</v>
      </c>
      <c r="G1302" s="5">
        <v>45</v>
      </c>
      <c r="H1302" s="5">
        <f>IF(Table13_1[[#This Row],[smoker]]="yes",1,0)</f>
        <v>1</v>
      </c>
      <c r="I1302" s="4">
        <v>30.36</v>
      </c>
      <c r="J1302" s="4">
        <v>0</v>
      </c>
      <c r="K1302" s="12">
        <v>62592.873099999997</v>
      </c>
      <c r="N1302">
        <v>1147</v>
      </c>
      <c r="O1302">
        <v>37736.326920837899</v>
      </c>
      <c r="P1302">
        <v>14854.502479162104</v>
      </c>
    </row>
    <row r="1303" spans="1:16" x14ac:dyDescent="0.25">
      <c r="A1303" s="4" t="s">
        <v>10</v>
      </c>
      <c r="B1303" s="4">
        <f>ROUND(Table13_1[[#This Row],[bmi]],1)</f>
        <v>30.9</v>
      </c>
      <c r="C1303" s="4" t="str" cm="1">
        <f t="array" ref="C1303">_xlfn.IFS(Table13_1[[#This Row],[Round BMI]]&lt;18.5,"Underweight",AND(Table13_1[[#This Row],[Round BMI]]&gt;=18.5,Table13_1[[#This Row],[Round BMI]] &lt;=24.9),"Healthy Weight",AND(Table13_1[[#This Row],[Round BMI]]&gt;=25,Table13_1[[#This Row],[Round BMI]]&lt;=29.9),"Overweight",Table13_1[[#This Row],[Round BMI]]&gt;=30,"Obese")</f>
        <v>Obese</v>
      </c>
      <c r="D1303" s="4" t="s">
        <v>8</v>
      </c>
      <c r="E1303" s="4" t="str">
        <f>IF(Table13_1[[#This Row],[smoker]]="yes","smoker","non-smoker")</f>
        <v>smoker</v>
      </c>
      <c r="F1303" s="4" t="s">
        <v>13</v>
      </c>
      <c r="G1303" s="5">
        <v>62</v>
      </c>
      <c r="H1303" s="5">
        <f>IF(Table13_1[[#This Row],[smoker]]="yes",1,0)</f>
        <v>1</v>
      </c>
      <c r="I1303" s="4">
        <v>30.875</v>
      </c>
      <c r="J1303" s="4">
        <v>3</v>
      </c>
      <c r="K1303" s="12">
        <v>46718.163200000003</v>
      </c>
      <c r="N1303">
        <v>1148</v>
      </c>
      <c r="O1303">
        <v>3327.7175471078699</v>
      </c>
      <c r="P1303">
        <v>-1066.1487471078699</v>
      </c>
    </row>
    <row r="1304" spans="1:16" x14ac:dyDescent="0.25">
      <c r="A1304" s="4" t="s">
        <v>7</v>
      </c>
      <c r="B1304" s="4">
        <f>ROUND(Table13_1[[#This Row],[bmi]],1)</f>
        <v>20.8</v>
      </c>
      <c r="C1304" s="4" t="str" cm="1">
        <f t="array" ref="C1304">_xlfn.IFS(Table13_1[[#This Row],[Round BMI]]&lt;18.5,"Underweight",AND(Table13_1[[#This Row],[Round BMI]]&gt;=18.5,Table13_1[[#This Row],[Round BMI]] &lt;=24.9),"Healthy Weight",AND(Table13_1[[#This Row],[Round BMI]]&gt;=25,Table13_1[[#This Row],[Round BMI]]&lt;=29.9),"Overweight",Table13_1[[#This Row],[Round BMI]]&gt;=30,"Obese")</f>
        <v>Healthy Weight</v>
      </c>
      <c r="D1304" s="4" t="s">
        <v>11</v>
      </c>
      <c r="E1304" s="4" t="str">
        <f>IF(Table13_1[[#This Row],[smoker]]="yes","smoker","non-smoker")</f>
        <v>non-smoker</v>
      </c>
      <c r="F1304" s="4" t="s">
        <v>9</v>
      </c>
      <c r="G1304" s="5">
        <v>25</v>
      </c>
      <c r="H1304" s="5">
        <f>IF(Table13_1[[#This Row],[smoker]]="yes",1,0)</f>
        <v>0</v>
      </c>
      <c r="I1304" s="4">
        <v>20.8</v>
      </c>
      <c r="J1304" s="4">
        <v>1</v>
      </c>
      <c r="K1304" s="12">
        <v>3208.7869999999998</v>
      </c>
      <c r="N1304">
        <v>1149</v>
      </c>
      <c r="O1304">
        <v>9472.2610016107174</v>
      </c>
      <c r="P1304">
        <v>1319.6989983892818</v>
      </c>
    </row>
    <row r="1305" spans="1:16" x14ac:dyDescent="0.25">
      <c r="A1305" s="4" t="s">
        <v>10</v>
      </c>
      <c r="B1305" s="4">
        <f>ROUND(Table13_1[[#This Row],[bmi]],1)</f>
        <v>27.8</v>
      </c>
      <c r="C1305" s="4" t="str" cm="1">
        <f t="array" ref="C1305">_xlfn.IFS(Table13_1[[#This Row],[Round BMI]]&lt;18.5,"Underweight",AND(Table13_1[[#This Row],[Round BMI]]&gt;=18.5,Table13_1[[#This Row],[Round BMI]] &lt;=24.9),"Healthy Weight",AND(Table13_1[[#This Row],[Round BMI]]&gt;=25,Table13_1[[#This Row],[Round BMI]]&lt;=29.9),"Overweight",Table13_1[[#This Row],[Round BMI]]&gt;=30,"Obese")</f>
        <v>Overweight</v>
      </c>
      <c r="D1305" s="4" t="s">
        <v>8</v>
      </c>
      <c r="E1305" s="4" t="str">
        <f>IF(Table13_1[[#This Row],[smoker]]="yes","smoker","non-smoker")</f>
        <v>smoker</v>
      </c>
      <c r="F1305" s="4" t="s">
        <v>9</v>
      </c>
      <c r="G1305" s="5">
        <v>43</v>
      </c>
      <c r="H1305" s="5">
        <f>IF(Table13_1[[#This Row],[smoker]]="yes",1,0)</f>
        <v>1</v>
      </c>
      <c r="I1305" s="4">
        <v>27.8</v>
      </c>
      <c r="J1305" s="4">
        <v>0</v>
      </c>
      <c r="K1305" s="12">
        <v>37829.724199999997</v>
      </c>
      <c r="N1305">
        <v>1150</v>
      </c>
      <c r="O1305">
        <v>9702.0427665695443</v>
      </c>
      <c r="P1305">
        <v>-3722.3117665695445</v>
      </c>
    </row>
    <row r="1306" spans="1:16" x14ac:dyDescent="0.25">
      <c r="A1306" s="4" t="s">
        <v>10</v>
      </c>
      <c r="B1306" s="4">
        <f>ROUND(Table13_1[[#This Row],[bmi]],1)</f>
        <v>24.6</v>
      </c>
      <c r="C1306" s="4" t="str" cm="1">
        <f t="array" ref="C1306">_xlfn.IFS(Table13_1[[#This Row],[Round BMI]]&lt;18.5,"Underweight",AND(Table13_1[[#This Row],[Round BMI]]&gt;=18.5,Table13_1[[#This Row],[Round BMI]] &lt;=24.9),"Healthy Weight",AND(Table13_1[[#This Row],[Round BMI]]&gt;=25,Table13_1[[#This Row],[Round BMI]]&lt;=29.9),"Overweight",Table13_1[[#This Row],[Round BMI]]&gt;=30,"Obese")</f>
        <v>Healthy Weight</v>
      </c>
      <c r="D1306" s="4" t="s">
        <v>8</v>
      </c>
      <c r="E1306" s="4" t="str">
        <f>IF(Table13_1[[#This Row],[smoker]]="yes","smoker","non-smoker")</f>
        <v>smoker</v>
      </c>
      <c r="F1306" s="4" t="s">
        <v>14</v>
      </c>
      <c r="G1306" s="5">
        <v>42</v>
      </c>
      <c r="H1306" s="5">
        <f>IF(Table13_1[[#This Row],[smoker]]="yes",1,0)</f>
        <v>1</v>
      </c>
      <c r="I1306" s="4">
        <v>24.605</v>
      </c>
      <c r="J1306" s="4">
        <v>2</v>
      </c>
      <c r="K1306" s="12">
        <v>21259.378000000001</v>
      </c>
      <c r="N1306">
        <v>1151</v>
      </c>
      <c r="O1306">
        <v>2292.2285168586004</v>
      </c>
      <c r="P1306">
        <v>-88.492516858600538</v>
      </c>
    </row>
    <row r="1307" spans="1:16" x14ac:dyDescent="0.25">
      <c r="A1307" s="4" t="s">
        <v>7</v>
      </c>
      <c r="B1307" s="4">
        <f>ROUND(Table13_1[[#This Row],[bmi]],1)</f>
        <v>27.7</v>
      </c>
      <c r="C1307" s="4" t="str" cm="1">
        <f t="array" ref="C1307">_xlfn.IFS(Table13_1[[#This Row],[Round BMI]]&lt;18.5,"Underweight",AND(Table13_1[[#This Row],[Round BMI]]&gt;=18.5,Table13_1[[#This Row],[Round BMI]] &lt;=24.9),"Healthy Weight",AND(Table13_1[[#This Row],[Round BMI]]&gt;=25,Table13_1[[#This Row],[Round BMI]]&lt;=29.9),"Overweight",Table13_1[[#This Row],[Round BMI]]&gt;=30,"Obese")</f>
        <v>Overweight</v>
      </c>
      <c r="D1307" s="4" t="s">
        <v>11</v>
      </c>
      <c r="E1307" s="4" t="str">
        <f>IF(Table13_1[[#This Row],[smoker]]="yes","smoker","non-smoker")</f>
        <v>non-smoker</v>
      </c>
      <c r="F1307" s="4" t="s">
        <v>12</v>
      </c>
      <c r="G1307" s="5">
        <v>24</v>
      </c>
      <c r="H1307" s="5">
        <f>IF(Table13_1[[#This Row],[smoker]]="yes",1,0)</f>
        <v>0</v>
      </c>
      <c r="I1307" s="4">
        <v>27.72</v>
      </c>
      <c r="J1307" s="4">
        <v>0</v>
      </c>
      <c r="K1307" s="12">
        <v>2464.6188000000002</v>
      </c>
      <c r="N1307">
        <v>1152</v>
      </c>
      <c r="O1307">
        <v>14593.641222617323</v>
      </c>
      <c r="P1307">
        <v>-2357.802022617323</v>
      </c>
    </row>
    <row r="1308" spans="1:16" x14ac:dyDescent="0.25">
      <c r="A1308" s="4" t="s">
        <v>7</v>
      </c>
      <c r="B1308" s="4">
        <f>ROUND(Table13_1[[#This Row],[bmi]],1)</f>
        <v>21.9</v>
      </c>
      <c r="C1308" s="4" t="str" cm="1">
        <f t="array" ref="C1308">_xlfn.IFS(Table13_1[[#This Row],[Round BMI]]&lt;18.5,"Underweight",AND(Table13_1[[#This Row],[Round BMI]]&gt;=18.5,Table13_1[[#This Row],[Round BMI]] &lt;=24.9),"Healthy Weight",AND(Table13_1[[#This Row],[Round BMI]]&gt;=25,Table13_1[[#This Row],[Round BMI]]&lt;=29.9),"Overweight",Table13_1[[#This Row],[Round BMI]]&gt;=30,"Obese")</f>
        <v>Healthy Weight</v>
      </c>
      <c r="D1308" s="4" t="s">
        <v>8</v>
      </c>
      <c r="E1308" s="4" t="str">
        <f>IF(Table13_1[[#This Row],[smoker]]="yes","smoker","non-smoker")</f>
        <v>smoker</v>
      </c>
      <c r="F1308" s="4" t="s">
        <v>14</v>
      </c>
      <c r="G1308" s="5">
        <v>29</v>
      </c>
      <c r="H1308" s="5">
        <f>IF(Table13_1[[#This Row],[smoker]]="yes",1,0)</f>
        <v>1</v>
      </c>
      <c r="I1308" s="4">
        <v>21.85</v>
      </c>
      <c r="J1308" s="4">
        <v>0</v>
      </c>
      <c r="K1308" s="12">
        <v>16115.3045</v>
      </c>
      <c r="N1308">
        <v>1153</v>
      </c>
      <c r="O1308">
        <v>34696.14790617743</v>
      </c>
      <c r="P1308">
        <v>6245.1374938225708</v>
      </c>
    </row>
    <row r="1309" spans="1:16" x14ac:dyDescent="0.25">
      <c r="A1309" s="4" t="s">
        <v>10</v>
      </c>
      <c r="B1309" s="4">
        <f>ROUND(Table13_1[[#This Row],[bmi]],1)</f>
        <v>28.1</v>
      </c>
      <c r="C1309" s="4" t="str" cm="1">
        <f t="array" ref="C1309">_xlfn.IFS(Table13_1[[#This Row],[Round BMI]]&lt;18.5,"Underweight",AND(Table13_1[[#This Row],[Round BMI]]&gt;=18.5,Table13_1[[#This Row],[Round BMI]] &lt;=24.9),"Healthy Weight",AND(Table13_1[[#This Row],[Round BMI]]&gt;=25,Table13_1[[#This Row],[Round BMI]]&lt;=29.9),"Overweight",Table13_1[[#This Row],[Round BMI]]&gt;=30,"Obese")</f>
        <v>Overweight</v>
      </c>
      <c r="D1309" s="4" t="s">
        <v>8</v>
      </c>
      <c r="E1309" s="4" t="str">
        <f>IF(Table13_1[[#This Row],[smoker]]="yes","smoker","non-smoker")</f>
        <v>smoker</v>
      </c>
      <c r="F1309" s="4" t="s">
        <v>13</v>
      </c>
      <c r="G1309" s="5">
        <v>32</v>
      </c>
      <c r="H1309" s="5">
        <f>IF(Table13_1[[#This Row],[smoker]]="yes",1,0)</f>
        <v>1</v>
      </c>
      <c r="I1309" s="4">
        <v>28.12</v>
      </c>
      <c r="J1309" s="4">
        <v>4</v>
      </c>
      <c r="K1309" s="12">
        <v>21472.478800000001</v>
      </c>
      <c r="N1309">
        <v>1154</v>
      </c>
      <c r="O1309">
        <v>8922.5736866755542</v>
      </c>
      <c r="P1309">
        <v>-3292.1158866755541</v>
      </c>
    </row>
    <row r="1310" spans="1:16" x14ac:dyDescent="0.25">
      <c r="A1310" s="4" t="s">
        <v>7</v>
      </c>
      <c r="B1310" s="4">
        <f>ROUND(Table13_1[[#This Row],[bmi]],1)</f>
        <v>30.2</v>
      </c>
      <c r="C1310" s="4" t="str" cm="1">
        <f t="array" ref="C1310">_xlfn.IFS(Table13_1[[#This Row],[Round BMI]]&lt;18.5,"Underweight",AND(Table13_1[[#This Row],[Round BMI]]&gt;=18.5,Table13_1[[#This Row],[Round BMI]] &lt;=24.9),"Healthy Weight",AND(Table13_1[[#This Row],[Round BMI]]&gt;=25,Table13_1[[#This Row],[Round BMI]]&lt;=29.9),"Overweight",Table13_1[[#This Row],[Round BMI]]&gt;=30,"Obese")</f>
        <v>Obese</v>
      </c>
      <c r="D1310" s="4" t="s">
        <v>8</v>
      </c>
      <c r="E1310" s="4" t="str">
        <f>IF(Table13_1[[#This Row],[smoker]]="yes","smoker","non-smoker")</f>
        <v>smoker</v>
      </c>
      <c r="F1310" s="4" t="s">
        <v>9</v>
      </c>
      <c r="G1310" s="5">
        <v>25</v>
      </c>
      <c r="H1310" s="5">
        <f>IF(Table13_1[[#This Row],[smoker]]="yes",1,0)</f>
        <v>1</v>
      </c>
      <c r="I1310" s="4">
        <v>30.2</v>
      </c>
      <c r="J1310" s="4">
        <v>0</v>
      </c>
      <c r="K1310" s="12">
        <v>33900.652999999998</v>
      </c>
      <c r="N1310">
        <v>1155</v>
      </c>
      <c r="O1310">
        <v>11157.325917204693</v>
      </c>
      <c r="P1310">
        <v>-142.15121720469324</v>
      </c>
    </row>
    <row r="1311" spans="1:16" x14ac:dyDescent="0.25">
      <c r="A1311" s="4" t="s">
        <v>10</v>
      </c>
      <c r="B1311" s="4">
        <f>ROUND(Table13_1[[#This Row],[bmi]],1)</f>
        <v>32.200000000000003</v>
      </c>
      <c r="C1311" s="4" t="str" cm="1">
        <f t="array" ref="C1311">_xlfn.IFS(Table13_1[[#This Row],[Round BMI]]&lt;18.5,"Underweight",AND(Table13_1[[#This Row],[Round BMI]]&gt;=18.5,Table13_1[[#This Row],[Round BMI]] &lt;=24.9),"Healthy Weight",AND(Table13_1[[#This Row],[Round BMI]]&gt;=25,Table13_1[[#This Row],[Round BMI]]&lt;=29.9),"Overweight",Table13_1[[#This Row],[Round BMI]]&gt;=30,"Obese")</f>
        <v>Obese</v>
      </c>
      <c r="D1311" s="4" t="s">
        <v>11</v>
      </c>
      <c r="E1311" s="4" t="str">
        <f>IF(Table13_1[[#This Row],[smoker]]="yes","smoker","non-smoker")</f>
        <v>non-smoker</v>
      </c>
      <c r="F1311" s="4" t="s">
        <v>9</v>
      </c>
      <c r="G1311" s="5">
        <v>41</v>
      </c>
      <c r="H1311" s="5">
        <f>IF(Table13_1[[#This Row],[smoker]]="yes",1,0)</f>
        <v>0</v>
      </c>
      <c r="I1311" s="4">
        <v>32.200000000000003</v>
      </c>
      <c r="J1311" s="4">
        <v>2</v>
      </c>
      <c r="K1311" s="12">
        <v>6875.9610000000002</v>
      </c>
      <c r="N1311">
        <v>1156</v>
      </c>
      <c r="O1311">
        <v>5724.5006342297711</v>
      </c>
      <c r="P1311">
        <v>1503.7149657702294</v>
      </c>
    </row>
    <row r="1312" spans="1:16" x14ac:dyDescent="0.25">
      <c r="A1312" s="4" t="s">
        <v>10</v>
      </c>
      <c r="B1312" s="4">
        <f>ROUND(Table13_1[[#This Row],[bmi]],1)</f>
        <v>26.3</v>
      </c>
      <c r="C1312" s="4" t="str" cm="1">
        <f t="array" ref="C1312">_xlfn.IFS(Table13_1[[#This Row],[Round BMI]]&lt;18.5,"Underweight",AND(Table13_1[[#This Row],[Round BMI]]&gt;=18.5,Table13_1[[#This Row],[Round BMI]] &lt;=24.9),"Healthy Weight",AND(Table13_1[[#This Row],[Round BMI]]&gt;=25,Table13_1[[#This Row],[Round BMI]]&lt;=29.9),"Overweight",Table13_1[[#This Row],[Round BMI]]&gt;=30,"Obese")</f>
        <v>Overweight</v>
      </c>
      <c r="D1312" s="4" t="s">
        <v>11</v>
      </c>
      <c r="E1312" s="4" t="str">
        <f>IF(Table13_1[[#This Row],[smoker]]="yes","smoker","non-smoker")</f>
        <v>non-smoker</v>
      </c>
      <c r="F1312" s="4" t="s">
        <v>13</v>
      </c>
      <c r="G1312" s="5">
        <v>42</v>
      </c>
      <c r="H1312" s="5">
        <f>IF(Table13_1[[#This Row],[smoker]]="yes",1,0)</f>
        <v>0</v>
      </c>
      <c r="I1312" s="4">
        <v>26.315000000000001</v>
      </c>
      <c r="J1312" s="4">
        <v>1</v>
      </c>
      <c r="K1312" s="12">
        <v>6940.9098000000004</v>
      </c>
      <c r="N1312">
        <v>1157</v>
      </c>
      <c r="O1312">
        <v>31052.462066615153</v>
      </c>
      <c r="P1312">
        <v>8670.2841333848482</v>
      </c>
    </row>
    <row r="1313" spans="1:16" x14ac:dyDescent="0.25">
      <c r="A1313" s="4" t="s">
        <v>7</v>
      </c>
      <c r="B1313" s="4">
        <f>ROUND(Table13_1[[#This Row],[bmi]],1)</f>
        <v>26.7</v>
      </c>
      <c r="C1313" s="4" t="str" cm="1">
        <f t="array" ref="C1313">_xlfn.IFS(Table13_1[[#This Row],[Round BMI]]&lt;18.5,"Underweight",AND(Table13_1[[#This Row],[Round BMI]]&gt;=18.5,Table13_1[[#This Row],[Round BMI]] &lt;=24.9),"Healthy Weight",AND(Table13_1[[#This Row],[Round BMI]]&gt;=25,Table13_1[[#This Row],[Round BMI]]&lt;=29.9),"Overweight",Table13_1[[#This Row],[Round BMI]]&gt;=30,"Obese")</f>
        <v>Overweight</v>
      </c>
      <c r="D1313" s="4" t="s">
        <v>11</v>
      </c>
      <c r="E1313" s="4" t="str">
        <f>IF(Table13_1[[#This Row],[smoker]]="yes","smoker","non-smoker")</f>
        <v>non-smoker</v>
      </c>
      <c r="F1313" s="4" t="s">
        <v>13</v>
      </c>
      <c r="G1313" s="5">
        <v>33</v>
      </c>
      <c r="H1313" s="5">
        <f>IF(Table13_1[[#This Row],[smoker]]="yes",1,0)</f>
        <v>0</v>
      </c>
      <c r="I1313" s="4">
        <v>26.695</v>
      </c>
      <c r="J1313" s="4">
        <v>0</v>
      </c>
      <c r="K1313" s="12">
        <v>4571.4129999999996</v>
      </c>
      <c r="N1313">
        <v>1158</v>
      </c>
      <c r="O1313">
        <v>2235.2894393583865</v>
      </c>
      <c r="P1313">
        <v>12190.784360641614</v>
      </c>
    </row>
    <row r="1314" spans="1:16" x14ac:dyDescent="0.25">
      <c r="A1314" s="4" t="s">
        <v>10</v>
      </c>
      <c r="B1314" s="4">
        <f>ROUND(Table13_1[[#This Row],[bmi]],1)</f>
        <v>42.9</v>
      </c>
      <c r="C1314" s="4" t="str" cm="1">
        <f t="array" ref="C1314">_xlfn.IFS(Table13_1[[#This Row],[Round BMI]]&lt;18.5,"Underweight",AND(Table13_1[[#This Row],[Round BMI]]&gt;=18.5,Table13_1[[#This Row],[Round BMI]] &lt;=24.9),"Healthy Weight",AND(Table13_1[[#This Row],[Round BMI]]&gt;=25,Table13_1[[#This Row],[Round BMI]]&lt;=29.9),"Overweight",Table13_1[[#This Row],[Round BMI]]&gt;=30,"Obese")</f>
        <v>Obese</v>
      </c>
      <c r="D1314" s="4" t="s">
        <v>11</v>
      </c>
      <c r="E1314" s="4" t="str">
        <f>IF(Table13_1[[#This Row],[smoker]]="yes","smoker","non-smoker")</f>
        <v>non-smoker</v>
      </c>
      <c r="F1314" s="4" t="s">
        <v>9</v>
      </c>
      <c r="G1314" s="5">
        <v>34</v>
      </c>
      <c r="H1314" s="5">
        <f>IF(Table13_1[[#This Row],[smoker]]="yes",1,0)</f>
        <v>0</v>
      </c>
      <c r="I1314" s="4">
        <v>42.9</v>
      </c>
      <c r="J1314" s="4">
        <v>1</v>
      </c>
      <c r="K1314" s="12">
        <v>4536.259</v>
      </c>
      <c r="N1314">
        <v>1159</v>
      </c>
      <c r="O1314">
        <v>2899.6551813290571</v>
      </c>
      <c r="P1314">
        <v>-439.93508132905708</v>
      </c>
    </row>
    <row r="1315" spans="1:16" x14ac:dyDescent="0.25">
      <c r="A1315" s="4" t="s">
        <v>7</v>
      </c>
      <c r="B1315" s="4">
        <f>ROUND(Table13_1[[#This Row],[bmi]],1)</f>
        <v>34.700000000000003</v>
      </c>
      <c r="C1315" s="4" t="str" cm="1">
        <f t="array" ref="C1315">_xlfn.IFS(Table13_1[[#This Row],[Round BMI]]&lt;18.5,"Underweight",AND(Table13_1[[#This Row],[Round BMI]]&gt;=18.5,Table13_1[[#This Row],[Round BMI]] &lt;=24.9),"Healthy Weight",AND(Table13_1[[#This Row],[Round BMI]]&gt;=25,Table13_1[[#This Row],[Round BMI]]&lt;=29.9),"Overweight",Table13_1[[#This Row],[Round BMI]]&gt;=30,"Obese")</f>
        <v>Obese</v>
      </c>
      <c r="D1315" s="4" t="s">
        <v>8</v>
      </c>
      <c r="E1315" s="4" t="str">
        <f>IF(Table13_1[[#This Row],[smoker]]="yes","smoker","non-smoker")</f>
        <v>smoker</v>
      </c>
      <c r="F1315" s="4" t="s">
        <v>9</v>
      </c>
      <c r="G1315" s="5">
        <v>19</v>
      </c>
      <c r="H1315" s="5">
        <f>IF(Table13_1[[#This Row],[smoker]]="yes",1,0)</f>
        <v>1</v>
      </c>
      <c r="I1315" s="4">
        <v>34.700000000000003</v>
      </c>
      <c r="J1315" s="4">
        <v>2</v>
      </c>
      <c r="K1315" s="12">
        <v>36397.576000000001</v>
      </c>
      <c r="N1315">
        <v>1160</v>
      </c>
      <c r="O1315">
        <v>9376.5075131544727</v>
      </c>
      <c r="P1315">
        <v>-5386.6665131544723</v>
      </c>
    </row>
    <row r="1316" spans="1:16" x14ac:dyDescent="0.25">
      <c r="A1316" s="4" t="s">
        <v>7</v>
      </c>
      <c r="B1316" s="4">
        <f>ROUND(Table13_1[[#This Row],[bmi]],1)</f>
        <v>23.7</v>
      </c>
      <c r="C1316" s="4" t="str" cm="1">
        <f t="array" ref="C1316">_xlfn.IFS(Table13_1[[#This Row],[Round BMI]]&lt;18.5,"Underweight",AND(Table13_1[[#This Row],[Round BMI]]&gt;=18.5,Table13_1[[#This Row],[Round BMI]] &lt;=24.9),"Healthy Weight",AND(Table13_1[[#This Row],[Round BMI]]&gt;=25,Table13_1[[#This Row],[Round BMI]]&lt;=29.9),"Overweight",Table13_1[[#This Row],[Round BMI]]&gt;=30,"Obese")</f>
        <v>Healthy Weight</v>
      </c>
      <c r="D1316" s="4" t="s">
        <v>8</v>
      </c>
      <c r="E1316" s="4" t="str">
        <f>IF(Table13_1[[#This Row],[smoker]]="yes","smoker","non-smoker")</f>
        <v>smoker</v>
      </c>
      <c r="F1316" s="4" t="s">
        <v>13</v>
      </c>
      <c r="G1316" s="5">
        <v>30</v>
      </c>
      <c r="H1316" s="5">
        <f>IF(Table13_1[[#This Row],[smoker]]="yes",1,0)</f>
        <v>1</v>
      </c>
      <c r="I1316" s="4">
        <v>23.655000000000001</v>
      </c>
      <c r="J1316" s="4">
        <v>3</v>
      </c>
      <c r="K1316" s="12">
        <v>18765.875400000001</v>
      </c>
      <c r="N1316">
        <v>1161</v>
      </c>
      <c r="O1316">
        <v>10587.883262809504</v>
      </c>
      <c r="P1316">
        <v>-2860.6300628095041</v>
      </c>
    </row>
    <row r="1317" spans="1:16" x14ac:dyDescent="0.25">
      <c r="A1317" s="4" t="s">
        <v>10</v>
      </c>
      <c r="B1317" s="4">
        <f>ROUND(Table13_1[[#This Row],[bmi]],1)</f>
        <v>28.3</v>
      </c>
      <c r="C1317" s="4" t="str" cm="1">
        <f t="array" ref="C1317">_xlfn.IFS(Table13_1[[#This Row],[Round BMI]]&lt;18.5,"Underweight",AND(Table13_1[[#This Row],[Round BMI]]&gt;=18.5,Table13_1[[#This Row],[Round BMI]] &lt;=24.9),"Healthy Weight",AND(Table13_1[[#This Row],[Round BMI]]&gt;=25,Table13_1[[#This Row],[Round BMI]]&lt;=29.9),"Overweight",Table13_1[[#This Row],[Round BMI]]&gt;=30,"Obese")</f>
        <v>Overweight</v>
      </c>
      <c r="D1317" s="4" t="s">
        <v>11</v>
      </c>
      <c r="E1317" s="4" t="str">
        <f>IF(Table13_1[[#This Row],[smoker]]="yes","smoker","non-smoker")</f>
        <v>non-smoker</v>
      </c>
      <c r="F1317" s="4" t="s">
        <v>14</v>
      </c>
      <c r="G1317" s="5">
        <v>18</v>
      </c>
      <c r="H1317" s="5">
        <f>IF(Table13_1[[#This Row],[smoker]]="yes",1,0)</f>
        <v>0</v>
      </c>
      <c r="I1317" s="4">
        <v>28.31</v>
      </c>
      <c r="J1317" s="4">
        <v>1</v>
      </c>
      <c r="K1317" s="12">
        <v>11272.331399999999</v>
      </c>
      <c r="N1317">
        <v>1162</v>
      </c>
      <c r="O1317">
        <v>11170.718103833278</v>
      </c>
      <c r="P1317">
        <v>-6046.5294038332786</v>
      </c>
    </row>
    <row r="1318" spans="1:16" x14ac:dyDescent="0.25">
      <c r="A1318" s="4" t="s">
        <v>7</v>
      </c>
      <c r="B1318" s="4">
        <f>ROUND(Table13_1[[#This Row],[bmi]],1)</f>
        <v>20.6</v>
      </c>
      <c r="C1318" s="4" t="str" cm="1">
        <f t="array" ref="C1318">_xlfn.IFS(Table13_1[[#This Row],[Round BMI]]&lt;18.5,"Underweight",AND(Table13_1[[#This Row],[Round BMI]]&gt;=18.5,Table13_1[[#This Row],[Round BMI]] &lt;=24.9),"Healthy Weight",AND(Table13_1[[#This Row],[Round BMI]]&gt;=25,Table13_1[[#This Row],[Round BMI]]&lt;=29.9),"Overweight",Table13_1[[#This Row],[Round BMI]]&gt;=30,"Obese")</f>
        <v>Healthy Weight</v>
      </c>
      <c r="D1318" s="4" t="s">
        <v>11</v>
      </c>
      <c r="E1318" s="4" t="str">
        <f>IF(Table13_1[[#This Row],[smoker]]="yes","smoker","non-smoker")</f>
        <v>non-smoker</v>
      </c>
      <c r="F1318" s="4" t="s">
        <v>9</v>
      </c>
      <c r="G1318" s="5">
        <v>19</v>
      </c>
      <c r="H1318" s="5">
        <f>IF(Table13_1[[#This Row],[smoker]]="yes",1,0)</f>
        <v>0</v>
      </c>
      <c r="I1318" s="4">
        <v>20.6</v>
      </c>
      <c r="J1318" s="4">
        <v>0</v>
      </c>
      <c r="K1318" s="12">
        <v>1731.6769999999999</v>
      </c>
      <c r="N1318">
        <v>1163</v>
      </c>
      <c r="O1318">
        <v>8603.7081295900298</v>
      </c>
      <c r="P1318">
        <v>10359.463770409971</v>
      </c>
    </row>
    <row r="1319" spans="1:16" x14ac:dyDescent="0.25">
      <c r="A1319" s="4" t="s">
        <v>10</v>
      </c>
      <c r="B1319" s="4">
        <f>ROUND(Table13_1[[#This Row],[bmi]],1)</f>
        <v>53.1</v>
      </c>
      <c r="C1319" s="4" t="str" cm="1">
        <f t="array" ref="C1319">_xlfn.IFS(Table13_1[[#This Row],[Round BMI]]&lt;18.5,"Underweight",AND(Table13_1[[#This Row],[Round BMI]]&gt;=18.5,Table13_1[[#This Row],[Round BMI]] &lt;=24.9),"Healthy Weight",AND(Table13_1[[#This Row],[Round BMI]]&gt;=25,Table13_1[[#This Row],[Round BMI]]&lt;=29.9),"Overweight",Table13_1[[#This Row],[Round BMI]]&gt;=30,"Obese")</f>
        <v>Obese</v>
      </c>
      <c r="D1319" s="4" t="s">
        <v>11</v>
      </c>
      <c r="E1319" s="4" t="str">
        <f>IF(Table13_1[[#This Row],[smoker]]="yes","smoker","non-smoker")</f>
        <v>non-smoker</v>
      </c>
      <c r="F1319" s="4" t="s">
        <v>12</v>
      </c>
      <c r="G1319" s="5">
        <v>18</v>
      </c>
      <c r="H1319" s="5">
        <f>IF(Table13_1[[#This Row],[smoker]]="yes",1,0)</f>
        <v>0</v>
      </c>
      <c r="I1319" s="4">
        <v>53.13</v>
      </c>
      <c r="J1319" s="4">
        <v>0</v>
      </c>
      <c r="K1319" s="12">
        <v>1163.4627</v>
      </c>
      <c r="N1319">
        <v>1164</v>
      </c>
      <c r="O1319">
        <v>1619.5590849204655</v>
      </c>
      <c r="P1319">
        <v>581.27171507953472</v>
      </c>
    </row>
    <row r="1320" spans="1:16" x14ac:dyDescent="0.25">
      <c r="A1320" s="4" t="s">
        <v>10</v>
      </c>
      <c r="B1320" s="4">
        <f>ROUND(Table13_1[[#This Row],[bmi]],1)</f>
        <v>39.700000000000003</v>
      </c>
      <c r="C1320" s="4" t="str" cm="1">
        <f t="array" ref="C1320">_xlfn.IFS(Table13_1[[#This Row],[Round BMI]]&lt;18.5,"Underweight",AND(Table13_1[[#This Row],[Round BMI]]&gt;=18.5,Table13_1[[#This Row],[Round BMI]] &lt;=24.9),"Healthy Weight",AND(Table13_1[[#This Row],[Round BMI]]&gt;=25,Table13_1[[#This Row],[Round BMI]]&lt;=29.9),"Overweight",Table13_1[[#This Row],[Round BMI]]&gt;=30,"Obese")</f>
        <v>Obese</v>
      </c>
      <c r="D1320" s="4" t="s">
        <v>11</v>
      </c>
      <c r="E1320" s="4" t="str">
        <f>IF(Table13_1[[#This Row],[smoker]]="yes","smoker","non-smoker")</f>
        <v>non-smoker</v>
      </c>
      <c r="F1320" s="4" t="s">
        <v>14</v>
      </c>
      <c r="G1320" s="5">
        <v>35</v>
      </c>
      <c r="H1320" s="5">
        <f>IF(Table13_1[[#This Row],[smoker]]="yes",1,0)</f>
        <v>0</v>
      </c>
      <c r="I1320" s="4">
        <v>39.71</v>
      </c>
      <c r="J1320" s="4">
        <v>4</v>
      </c>
      <c r="K1320" s="12">
        <v>19496.7192</v>
      </c>
      <c r="N1320">
        <v>1165</v>
      </c>
      <c r="O1320">
        <v>8054.1759523343908</v>
      </c>
      <c r="P1320">
        <v>-900.6220523343909</v>
      </c>
    </row>
    <row r="1321" spans="1:16" x14ac:dyDescent="0.25">
      <c r="A1321" s="4" t="s">
        <v>7</v>
      </c>
      <c r="B1321" s="4">
        <f>ROUND(Table13_1[[#This Row],[bmi]],1)</f>
        <v>26.3</v>
      </c>
      <c r="C1321" s="4" t="str" cm="1">
        <f t="array" ref="C1321">_xlfn.IFS(Table13_1[[#This Row],[Round BMI]]&lt;18.5,"Underweight",AND(Table13_1[[#This Row],[Round BMI]]&gt;=18.5,Table13_1[[#This Row],[Round BMI]] &lt;=24.9),"Healthy Weight",AND(Table13_1[[#This Row],[Round BMI]]&gt;=25,Table13_1[[#This Row],[Round BMI]]&lt;=29.9),"Overweight",Table13_1[[#This Row],[Round BMI]]&gt;=30,"Obese")</f>
        <v>Overweight</v>
      </c>
      <c r="D1321" s="4" t="s">
        <v>11</v>
      </c>
      <c r="E1321" s="4" t="str">
        <f>IF(Table13_1[[#This Row],[smoker]]="yes","smoker","non-smoker")</f>
        <v>non-smoker</v>
      </c>
      <c r="F1321" s="4" t="s">
        <v>13</v>
      </c>
      <c r="G1321" s="5">
        <v>39</v>
      </c>
      <c r="H1321" s="5">
        <f>IF(Table13_1[[#This Row],[smoker]]="yes",1,0)</f>
        <v>0</v>
      </c>
      <c r="I1321" s="4">
        <v>26.315000000000001</v>
      </c>
      <c r="J1321" s="4">
        <v>2</v>
      </c>
      <c r="K1321" s="12">
        <v>7201.7007999999996</v>
      </c>
      <c r="N1321">
        <v>1166</v>
      </c>
      <c r="O1321">
        <v>5330.3312775983832</v>
      </c>
      <c r="P1321">
        <v>-102.34247759838308</v>
      </c>
    </row>
    <row r="1322" spans="1:16" x14ac:dyDescent="0.25">
      <c r="A1322" s="4" t="s">
        <v>10</v>
      </c>
      <c r="B1322" s="4">
        <f>ROUND(Table13_1[[#This Row],[bmi]],1)</f>
        <v>31.1</v>
      </c>
      <c r="C1322" s="4" t="str" cm="1">
        <f t="array" ref="C1322">_xlfn.IFS(Table13_1[[#This Row],[Round BMI]]&lt;18.5,"Underweight",AND(Table13_1[[#This Row],[Round BMI]]&gt;=18.5,Table13_1[[#This Row],[Round BMI]] &lt;=24.9),"Healthy Weight",AND(Table13_1[[#This Row],[Round BMI]]&gt;=25,Table13_1[[#This Row],[Round BMI]]&lt;=29.9),"Overweight",Table13_1[[#This Row],[Round BMI]]&gt;=30,"Obese")</f>
        <v>Obese</v>
      </c>
      <c r="D1322" s="4" t="s">
        <v>11</v>
      </c>
      <c r="E1322" s="4" t="str">
        <f>IF(Table13_1[[#This Row],[smoker]]="yes","smoker","non-smoker")</f>
        <v>non-smoker</v>
      </c>
      <c r="F1322" s="4" t="s">
        <v>13</v>
      </c>
      <c r="G1322" s="5">
        <v>31</v>
      </c>
      <c r="H1322" s="5">
        <f>IF(Table13_1[[#This Row],[smoker]]="yes",1,0)</f>
        <v>0</v>
      </c>
      <c r="I1322" s="4">
        <v>31.065000000000001</v>
      </c>
      <c r="J1322" s="4">
        <v>3</v>
      </c>
      <c r="K1322" s="12">
        <v>5425.0234</v>
      </c>
      <c r="N1322">
        <v>1167</v>
      </c>
      <c r="O1322">
        <v>15587.793672339283</v>
      </c>
      <c r="P1322">
        <v>-4605.2923723392832</v>
      </c>
    </row>
    <row r="1323" spans="1:16" x14ac:dyDescent="0.25">
      <c r="A1323" s="4" t="s">
        <v>10</v>
      </c>
      <c r="B1323" s="4">
        <f>ROUND(Table13_1[[#This Row],[bmi]],1)</f>
        <v>26.7</v>
      </c>
      <c r="C1323" s="4" t="str" cm="1">
        <f t="array" ref="C1323">_xlfn.IFS(Table13_1[[#This Row],[Round BMI]]&lt;18.5,"Underweight",AND(Table13_1[[#This Row],[Round BMI]]&gt;=18.5,Table13_1[[#This Row],[Round BMI]] &lt;=24.9),"Healthy Weight",AND(Table13_1[[#This Row],[Round BMI]]&gt;=25,Table13_1[[#This Row],[Round BMI]]&lt;=29.9),"Overweight",Table13_1[[#This Row],[Round BMI]]&gt;=30,"Obese")</f>
        <v>Overweight</v>
      </c>
      <c r="D1323" s="4" t="s">
        <v>8</v>
      </c>
      <c r="E1323" s="4" t="str">
        <f>IF(Table13_1[[#This Row],[smoker]]="yes","smoker","non-smoker")</f>
        <v>smoker</v>
      </c>
      <c r="F1323" s="4" t="s">
        <v>14</v>
      </c>
      <c r="G1323" s="5">
        <v>62</v>
      </c>
      <c r="H1323" s="5">
        <f>IF(Table13_1[[#This Row],[smoker]]="yes",1,0)</f>
        <v>1</v>
      </c>
      <c r="I1323" s="4">
        <v>26.695</v>
      </c>
      <c r="J1323" s="4">
        <v>0</v>
      </c>
      <c r="K1323" s="12">
        <v>28101.332999999999</v>
      </c>
      <c r="N1323">
        <v>1168</v>
      </c>
      <c r="O1323">
        <v>4239.4154753750445</v>
      </c>
      <c r="P1323">
        <v>290.06152462495538</v>
      </c>
    </row>
    <row r="1324" spans="1:16" x14ac:dyDescent="0.25">
      <c r="A1324" s="4" t="s">
        <v>10</v>
      </c>
      <c r="B1324" s="4">
        <f>ROUND(Table13_1[[#This Row],[bmi]],1)</f>
        <v>38.799999999999997</v>
      </c>
      <c r="C1324" s="4" t="str" cm="1">
        <f t="array" ref="C1324">_xlfn.IFS(Table13_1[[#This Row],[Round BMI]]&lt;18.5,"Underweight",AND(Table13_1[[#This Row],[Round BMI]]&gt;=18.5,Table13_1[[#This Row],[Round BMI]] &lt;=24.9),"Healthy Weight",AND(Table13_1[[#This Row],[Round BMI]]&gt;=25,Table13_1[[#This Row],[Round BMI]]&lt;=29.9),"Overweight",Table13_1[[#This Row],[Round BMI]]&gt;=30,"Obese")</f>
        <v>Obese</v>
      </c>
      <c r="D1324" s="4" t="s">
        <v>11</v>
      </c>
      <c r="E1324" s="4" t="str">
        <f>IF(Table13_1[[#This Row],[smoker]]="yes","smoker","non-smoker")</f>
        <v>non-smoker</v>
      </c>
      <c r="F1324" s="4" t="s">
        <v>12</v>
      </c>
      <c r="G1324" s="5">
        <v>62</v>
      </c>
      <c r="H1324" s="5">
        <f>IF(Table13_1[[#This Row],[smoker]]="yes",1,0)</f>
        <v>0</v>
      </c>
      <c r="I1324" s="4">
        <v>38.83</v>
      </c>
      <c r="J1324" s="4">
        <v>0</v>
      </c>
      <c r="K1324" s="12">
        <v>12981.3457</v>
      </c>
      <c r="N1324">
        <v>1169</v>
      </c>
      <c r="O1324">
        <v>8424.5888674829657</v>
      </c>
      <c r="P1324">
        <v>-3753.9488674829654</v>
      </c>
    </row>
    <row r="1325" spans="1:16" x14ac:dyDescent="0.25">
      <c r="A1325" s="4" t="s">
        <v>7</v>
      </c>
      <c r="B1325" s="4">
        <f>ROUND(Table13_1[[#This Row],[bmi]],1)</f>
        <v>40.4</v>
      </c>
      <c r="C1325" s="4" t="str" cm="1">
        <f t="array" ref="C1325">_xlfn.IFS(Table13_1[[#This Row],[Round BMI]]&lt;18.5,"Underweight",AND(Table13_1[[#This Row],[Round BMI]]&gt;=18.5,Table13_1[[#This Row],[Round BMI]] &lt;=24.9),"Healthy Weight",AND(Table13_1[[#This Row],[Round BMI]]&gt;=25,Table13_1[[#This Row],[Round BMI]]&lt;=29.9),"Overweight",Table13_1[[#This Row],[Round BMI]]&gt;=30,"Obese")</f>
        <v>Obese</v>
      </c>
      <c r="D1325" s="4" t="s">
        <v>8</v>
      </c>
      <c r="E1325" s="4" t="str">
        <f>IF(Table13_1[[#This Row],[smoker]]="yes","smoker","non-smoker")</f>
        <v>smoker</v>
      </c>
      <c r="F1325" s="4" t="s">
        <v>12</v>
      </c>
      <c r="G1325" s="5">
        <v>42</v>
      </c>
      <c r="H1325" s="5">
        <f>IF(Table13_1[[#This Row],[smoker]]="yes",1,0)</f>
        <v>1</v>
      </c>
      <c r="I1325" s="4">
        <v>40.369999999999997</v>
      </c>
      <c r="J1325" s="4">
        <v>2</v>
      </c>
      <c r="K1325" s="12">
        <v>43896.376300000004</v>
      </c>
      <c r="N1325">
        <v>1170</v>
      </c>
      <c r="O1325">
        <v>8887.9068024777916</v>
      </c>
      <c r="P1325">
        <v>-2775.5538024777916</v>
      </c>
    </row>
    <row r="1326" spans="1:16" x14ac:dyDescent="0.25">
      <c r="A1326" s="4" t="s">
        <v>10</v>
      </c>
      <c r="B1326" s="4">
        <f>ROUND(Table13_1[[#This Row],[bmi]],1)</f>
        <v>25.9</v>
      </c>
      <c r="C1326" s="4" t="str" cm="1">
        <f t="array" ref="C1326">_xlfn.IFS(Table13_1[[#This Row],[Round BMI]]&lt;18.5,"Underweight",AND(Table13_1[[#This Row],[Round BMI]]&gt;=18.5,Table13_1[[#This Row],[Round BMI]] &lt;=24.9),"Healthy Weight",AND(Table13_1[[#This Row],[Round BMI]]&gt;=25,Table13_1[[#This Row],[Round BMI]]&lt;=29.9),"Overweight",Table13_1[[#This Row],[Round BMI]]&gt;=30,"Obese")</f>
        <v>Overweight</v>
      </c>
      <c r="D1326" s="4" t="s">
        <v>11</v>
      </c>
      <c r="E1326" s="4" t="str">
        <f>IF(Table13_1[[#This Row],[smoker]]="yes","smoker","non-smoker")</f>
        <v>non-smoker</v>
      </c>
      <c r="F1326" s="4" t="s">
        <v>13</v>
      </c>
      <c r="G1326" s="5">
        <v>31</v>
      </c>
      <c r="H1326" s="5">
        <f>IF(Table13_1[[#This Row],[smoker]]="yes",1,0)</f>
        <v>0</v>
      </c>
      <c r="I1326" s="4">
        <v>25.934999999999999</v>
      </c>
      <c r="J1326" s="4">
        <v>1</v>
      </c>
      <c r="K1326" s="12">
        <v>4239.8926000000001</v>
      </c>
      <c r="N1326">
        <v>1171</v>
      </c>
      <c r="O1326">
        <v>25629.278297052577</v>
      </c>
      <c r="P1326">
        <v>-8450.5958970525753</v>
      </c>
    </row>
    <row r="1327" spans="1:16" x14ac:dyDescent="0.25">
      <c r="A1327" s="4" t="s">
        <v>10</v>
      </c>
      <c r="B1327" s="4">
        <f>ROUND(Table13_1[[#This Row],[bmi]],1)</f>
        <v>33.5</v>
      </c>
      <c r="C1327" s="4" t="str" cm="1">
        <f t="array" ref="C1327">_xlfn.IFS(Table13_1[[#This Row],[Round BMI]]&lt;18.5,"Underweight",AND(Table13_1[[#This Row],[Round BMI]]&gt;=18.5,Table13_1[[#This Row],[Round BMI]] &lt;=24.9),"Healthy Weight",AND(Table13_1[[#This Row],[Round BMI]]&gt;=25,Table13_1[[#This Row],[Round BMI]]&lt;=29.9),"Overweight",Table13_1[[#This Row],[Round BMI]]&gt;=30,"Obese")</f>
        <v>Obese</v>
      </c>
      <c r="D1327" s="4" t="s">
        <v>11</v>
      </c>
      <c r="E1327" s="4" t="str">
        <f>IF(Table13_1[[#This Row],[smoker]]="yes","smoker","non-smoker")</f>
        <v>non-smoker</v>
      </c>
      <c r="F1327" s="4" t="s">
        <v>14</v>
      </c>
      <c r="G1327" s="5">
        <v>61</v>
      </c>
      <c r="H1327" s="5">
        <f>IF(Table13_1[[#This Row],[smoker]]="yes",1,0)</f>
        <v>0</v>
      </c>
      <c r="I1327" s="4">
        <v>33.534999999999997</v>
      </c>
      <c r="J1327" s="4">
        <v>0</v>
      </c>
      <c r="K1327" s="12">
        <v>13143.336600000001</v>
      </c>
      <c r="N1327">
        <v>1172</v>
      </c>
      <c r="O1327">
        <v>32336.596369982097</v>
      </c>
      <c r="P1327">
        <v>-9857.9963699820983</v>
      </c>
    </row>
    <row r="1328" spans="1:16" x14ac:dyDescent="0.25">
      <c r="A1328" s="4" t="s">
        <v>7</v>
      </c>
      <c r="B1328" s="4">
        <f>ROUND(Table13_1[[#This Row],[bmi]],1)</f>
        <v>32.9</v>
      </c>
      <c r="C1328" s="4" t="str" cm="1">
        <f t="array" ref="C1328">_xlfn.IFS(Table13_1[[#This Row],[Round BMI]]&lt;18.5,"Underweight",AND(Table13_1[[#This Row],[Round BMI]]&gt;=18.5,Table13_1[[#This Row],[Round BMI]] &lt;=24.9),"Healthy Weight",AND(Table13_1[[#This Row],[Round BMI]]&gt;=25,Table13_1[[#This Row],[Round BMI]]&lt;=29.9),"Overweight",Table13_1[[#This Row],[Round BMI]]&gt;=30,"Obese")</f>
        <v>Obese</v>
      </c>
      <c r="D1328" s="4" t="s">
        <v>11</v>
      </c>
      <c r="E1328" s="4" t="str">
        <f>IF(Table13_1[[#This Row],[smoker]]="yes","smoker","non-smoker")</f>
        <v>non-smoker</v>
      </c>
      <c r="F1328" s="4" t="s">
        <v>14</v>
      </c>
      <c r="G1328" s="5">
        <v>42</v>
      </c>
      <c r="H1328" s="5">
        <f>IF(Table13_1[[#This Row],[smoker]]="yes",1,0)</f>
        <v>0</v>
      </c>
      <c r="I1328" s="4">
        <v>32.869999999999997</v>
      </c>
      <c r="J1328" s="4">
        <v>0</v>
      </c>
      <c r="K1328" s="12">
        <v>7050.0213000000003</v>
      </c>
      <c r="N1328">
        <v>1173</v>
      </c>
      <c r="O1328">
        <v>15825.595325384396</v>
      </c>
      <c r="P1328">
        <v>-4731.972425384396</v>
      </c>
    </row>
    <row r="1329" spans="1:16" x14ac:dyDescent="0.25">
      <c r="A1329" s="4" t="s">
        <v>10</v>
      </c>
      <c r="B1329" s="4">
        <f>ROUND(Table13_1[[#This Row],[bmi]],1)</f>
        <v>30</v>
      </c>
      <c r="C1329" s="4" t="str" cm="1">
        <f t="array" ref="C1329">_xlfn.IFS(Table13_1[[#This Row],[Round BMI]]&lt;18.5,"Underweight",AND(Table13_1[[#This Row],[Round BMI]]&gt;=18.5,Table13_1[[#This Row],[Round BMI]] &lt;=24.9),"Healthy Weight",AND(Table13_1[[#This Row],[Round BMI]]&gt;=25,Table13_1[[#This Row],[Round BMI]]&lt;=29.9),"Overweight",Table13_1[[#This Row],[Round BMI]]&gt;=30,"Obese")</f>
        <v>Obese</v>
      </c>
      <c r="D1329" s="4" t="s">
        <v>11</v>
      </c>
      <c r="E1329" s="4" t="str">
        <f>IF(Table13_1[[#This Row],[smoker]]="yes","smoker","non-smoker")</f>
        <v>non-smoker</v>
      </c>
      <c r="F1329" s="4" t="s">
        <v>12</v>
      </c>
      <c r="G1329" s="5">
        <v>51</v>
      </c>
      <c r="H1329" s="5">
        <f>IF(Table13_1[[#This Row],[smoker]]="yes",1,0)</f>
        <v>0</v>
      </c>
      <c r="I1329" s="4">
        <v>30.03</v>
      </c>
      <c r="J1329" s="4">
        <v>1</v>
      </c>
      <c r="K1329" s="12">
        <v>9377.9046999999991</v>
      </c>
      <c r="N1329">
        <v>1174</v>
      </c>
      <c r="O1329">
        <v>8059.8885785882985</v>
      </c>
      <c r="P1329">
        <v>-1602.0451785882988</v>
      </c>
    </row>
    <row r="1330" spans="1:16" x14ac:dyDescent="0.25">
      <c r="A1330" s="4" t="s">
        <v>7</v>
      </c>
      <c r="B1330" s="4">
        <f>ROUND(Table13_1[[#This Row],[bmi]],1)</f>
        <v>24.2</v>
      </c>
      <c r="C1330" s="4" t="str" cm="1">
        <f t="array" ref="C1330">_xlfn.IFS(Table13_1[[#This Row],[Round BMI]]&lt;18.5,"Underweight",AND(Table13_1[[#This Row],[Round BMI]]&gt;=18.5,Table13_1[[#This Row],[Round BMI]] &lt;=24.9),"Healthy Weight",AND(Table13_1[[#This Row],[Round BMI]]&gt;=25,Table13_1[[#This Row],[Round BMI]]&lt;=29.9),"Overweight",Table13_1[[#This Row],[Round BMI]]&gt;=30,"Obese")</f>
        <v>Healthy Weight</v>
      </c>
      <c r="D1330" s="4" t="s">
        <v>11</v>
      </c>
      <c r="E1330" s="4" t="str">
        <f>IF(Table13_1[[#This Row],[smoker]]="yes","smoker","non-smoker")</f>
        <v>non-smoker</v>
      </c>
      <c r="F1330" s="4" t="s">
        <v>14</v>
      </c>
      <c r="G1330" s="5">
        <v>23</v>
      </c>
      <c r="H1330" s="5">
        <f>IF(Table13_1[[#This Row],[smoker]]="yes",1,0)</f>
        <v>0</v>
      </c>
      <c r="I1330" s="4">
        <v>24.225000000000001</v>
      </c>
      <c r="J1330" s="4">
        <v>2</v>
      </c>
      <c r="K1330" s="12">
        <v>22395.744200000001</v>
      </c>
      <c r="N1330">
        <v>1175</v>
      </c>
      <c r="O1330">
        <v>6656.5195107125501</v>
      </c>
      <c r="P1330">
        <v>-2222.6036107125501</v>
      </c>
    </row>
    <row r="1331" spans="1:16" x14ac:dyDescent="0.25">
      <c r="A1331" s="4" t="s">
        <v>10</v>
      </c>
      <c r="B1331" s="4">
        <f>ROUND(Table13_1[[#This Row],[bmi]],1)</f>
        <v>38.6</v>
      </c>
      <c r="C1331" s="4" t="str" cm="1">
        <f t="array" ref="C1331">_xlfn.IFS(Table13_1[[#This Row],[Round BMI]]&lt;18.5,"Underweight",AND(Table13_1[[#This Row],[Round BMI]]&gt;=18.5,Table13_1[[#This Row],[Round BMI]] &lt;=24.9),"Healthy Weight",AND(Table13_1[[#This Row],[Round BMI]]&gt;=25,Table13_1[[#This Row],[Round BMI]]&lt;=29.9),"Overweight",Table13_1[[#This Row],[Round BMI]]&gt;=30,"Obese")</f>
        <v>Obese</v>
      </c>
      <c r="D1331" s="4" t="s">
        <v>11</v>
      </c>
      <c r="E1331" s="4" t="str">
        <f>IF(Table13_1[[#This Row],[smoker]]="yes","smoker","non-smoker")</f>
        <v>non-smoker</v>
      </c>
      <c r="F1331" s="4" t="s">
        <v>9</v>
      </c>
      <c r="G1331" s="5">
        <v>52</v>
      </c>
      <c r="H1331" s="5">
        <f>IF(Table13_1[[#This Row],[smoker]]="yes",1,0)</f>
        <v>0</v>
      </c>
      <c r="I1331" s="4">
        <v>38.6</v>
      </c>
      <c r="J1331" s="4">
        <v>2</v>
      </c>
      <c r="K1331" s="12">
        <v>10325.206</v>
      </c>
      <c r="N1331">
        <v>1176</v>
      </c>
      <c r="O1331">
        <v>2292.0928000739377</v>
      </c>
      <c r="P1331">
        <v>-137.73180007393785</v>
      </c>
    </row>
    <row r="1332" spans="1:16" x14ac:dyDescent="0.25">
      <c r="A1332" s="4" t="s">
        <v>7</v>
      </c>
      <c r="B1332" s="4">
        <f>ROUND(Table13_1[[#This Row],[bmi]],1)</f>
        <v>25.7</v>
      </c>
      <c r="C1332" s="4" t="str" cm="1">
        <f t="array" ref="C1332">_xlfn.IFS(Table13_1[[#This Row],[Round BMI]]&lt;18.5,"Underweight",AND(Table13_1[[#This Row],[Round BMI]]&gt;=18.5,Table13_1[[#This Row],[Round BMI]] &lt;=24.9),"Healthy Weight",AND(Table13_1[[#This Row],[Round BMI]]&gt;=25,Table13_1[[#This Row],[Round BMI]]&lt;=29.9),"Overweight",Table13_1[[#This Row],[Round BMI]]&gt;=30,"Obese")</f>
        <v>Overweight</v>
      </c>
      <c r="D1332" s="4" t="s">
        <v>11</v>
      </c>
      <c r="E1332" s="4" t="str">
        <f>IF(Table13_1[[#This Row],[smoker]]="yes","smoker","non-smoker")</f>
        <v>non-smoker</v>
      </c>
      <c r="F1332" s="4" t="s">
        <v>12</v>
      </c>
      <c r="G1332" s="5">
        <v>57</v>
      </c>
      <c r="H1332" s="5">
        <f>IF(Table13_1[[#This Row],[smoker]]="yes",1,0)</f>
        <v>0</v>
      </c>
      <c r="I1332" s="4">
        <v>25.74</v>
      </c>
      <c r="J1332" s="4">
        <v>2</v>
      </c>
      <c r="K1332" s="12">
        <v>12629.1656</v>
      </c>
      <c r="N1332">
        <v>1177</v>
      </c>
      <c r="O1332">
        <v>33356.581515107566</v>
      </c>
      <c r="P1332">
        <v>-9468.918815107565</v>
      </c>
    </row>
    <row r="1333" spans="1:16" x14ac:dyDescent="0.25">
      <c r="A1333" s="4" t="s">
        <v>7</v>
      </c>
      <c r="B1333" s="4">
        <f>ROUND(Table13_1[[#This Row],[bmi]],1)</f>
        <v>33.4</v>
      </c>
      <c r="C1333" s="4" t="str" cm="1">
        <f t="array" ref="C1333">_xlfn.IFS(Table13_1[[#This Row],[Round BMI]]&lt;18.5,"Underweight",AND(Table13_1[[#This Row],[Round BMI]]&gt;=18.5,Table13_1[[#This Row],[Round BMI]] &lt;=24.9),"Healthy Weight",AND(Table13_1[[#This Row],[Round BMI]]&gt;=25,Table13_1[[#This Row],[Round BMI]]&lt;=29.9),"Overweight",Table13_1[[#This Row],[Round BMI]]&gt;=30,"Obese")</f>
        <v>Obese</v>
      </c>
      <c r="D1333" s="4" t="s">
        <v>11</v>
      </c>
      <c r="E1333" s="4" t="str">
        <f>IF(Table13_1[[#This Row],[smoker]]="yes","smoker","non-smoker")</f>
        <v>non-smoker</v>
      </c>
      <c r="F1333" s="4" t="s">
        <v>9</v>
      </c>
      <c r="G1333" s="5">
        <v>23</v>
      </c>
      <c r="H1333" s="5">
        <f>IF(Table13_1[[#This Row],[smoker]]="yes",1,0)</f>
        <v>0</v>
      </c>
      <c r="I1333" s="4">
        <v>33.4</v>
      </c>
      <c r="J1333" s="4">
        <v>0</v>
      </c>
      <c r="K1333" s="12">
        <v>10795.9373</v>
      </c>
      <c r="N1333">
        <v>1178</v>
      </c>
      <c r="O1333">
        <v>7503.4416684185298</v>
      </c>
      <c r="P1333">
        <v>-1006.5556684185294</v>
      </c>
    </row>
    <row r="1334" spans="1:16" x14ac:dyDescent="0.25">
      <c r="A1334" s="4" t="s">
        <v>7</v>
      </c>
      <c r="B1334" s="4">
        <f>ROUND(Table13_1[[#This Row],[bmi]],1)</f>
        <v>44.7</v>
      </c>
      <c r="C1334" s="4" t="str" cm="1">
        <f t="array" ref="C1334">_xlfn.IFS(Table13_1[[#This Row],[Round BMI]]&lt;18.5,"Underweight",AND(Table13_1[[#This Row],[Round BMI]]&gt;=18.5,Table13_1[[#This Row],[Round BMI]] &lt;=24.9),"Healthy Weight",AND(Table13_1[[#This Row],[Round BMI]]&gt;=25,Table13_1[[#This Row],[Round BMI]]&lt;=29.9),"Overweight",Table13_1[[#This Row],[Round BMI]]&gt;=30,"Obese")</f>
        <v>Obese</v>
      </c>
      <c r="D1334" s="4" t="s">
        <v>11</v>
      </c>
      <c r="E1334" s="4" t="str">
        <f>IF(Table13_1[[#This Row],[smoker]]="yes","smoker","non-smoker")</f>
        <v>non-smoker</v>
      </c>
      <c r="F1334" s="4" t="s">
        <v>9</v>
      </c>
      <c r="G1334" s="5">
        <v>52</v>
      </c>
      <c r="H1334" s="5">
        <f>IF(Table13_1[[#This Row],[smoker]]="yes",1,0)</f>
        <v>0</v>
      </c>
      <c r="I1334" s="4">
        <v>44.7</v>
      </c>
      <c r="J1334" s="4">
        <v>3</v>
      </c>
      <c r="K1334" s="12">
        <v>11411.684999999999</v>
      </c>
      <c r="N1334">
        <v>1179</v>
      </c>
      <c r="O1334">
        <v>5049.1184504663088</v>
      </c>
      <c r="P1334">
        <v>-2149.6290504663089</v>
      </c>
    </row>
    <row r="1335" spans="1:16" x14ac:dyDescent="0.25">
      <c r="A1335" s="4" t="s">
        <v>10</v>
      </c>
      <c r="B1335" s="4">
        <f>ROUND(Table13_1[[#This Row],[bmi]],1)</f>
        <v>31</v>
      </c>
      <c r="C1335" s="4" t="str" cm="1">
        <f t="array" ref="C1335">_xlfn.IFS(Table13_1[[#This Row],[Round BMI]]&lt;18.5,"Underweight",AND(Table13_1[[#This Row],[Round BMI]]&gt;=18.5,Table13_1[[#This Row],[Round BMI]] &lt;=24.9),"Healthy Weight",AND(Table13_1[[#This Row],[Round BMI]]&gt;=25,Table13_1[[#This Row],[Round BMI]]&lt;=29.9),"Overweight",Table13_1[[#This Row],[Round BMI]]&gt;=30,"Obese")</f>
        <v>Obese</v>
      </c>
      <c r="D1335" s="4" t="s">
        <v>11</v>
      </c>
      <c r="E1335" s="4" t="str">
        <f>IF(Table13_1[[#This Row],[smoker]]="yes","smoker","non-smoker")</f>
        <v>non-smoker</v>
      </c>
      <c r="F1335" s="4" t="s">
        <v>13</v>
      </c>
      <c r="G1335" s="5">
        <v>50</v>
      </c>
      <c r="H1335" s="5">
        <f>IF(Table13_1[[#This Row],[smoker]]="yes",1,0)</f>
        <v>0</v>
      </c>
      <c r="I1335" s="4">
        <v>30.97</v>
      </c>
      <c r="J1335" s="4">
        <v>3</v>
      </c>
      <c r="K1335" s="12">
        <v>10600.5483</v>
      </c>
      <c r="N1335">
        <v>1180</v>
      </c>
      <c r="O1335">
        <v>29296.355513762348</v>
      </c>
      <c r="P1335">
        <v>-9945.9866137623467</v>
      </c>
    </row>
    <row r="1336" spans="1:16" x14ac:dyDescent="0.25">
      <c r="A1336" s="4" t="s">
        <v>7</v>
      </c>
      <c r="B1336" s="4">
        <f>ROUND(Table13_1[[#This Row],[bmi]],1)</f>
        <v>31.9</v>
      </c>
      <c r="C1336" s="4" t="str" cm="1">
        <f t="array" ref="C1336">_xlfn.IFS(Table13_1[[#This Row],[Round BMI]]&lt;18.5,"Underweight",AND(Table13_1[[#This Row],[Round BMI]]&gt;=18.5,Table13_1[[#This Row],[Round BMI]] &lt;=24.9),"Healthy Weight",AND(Table13_1[[#This Row],[Round BMI]]&gt;=25,Table13_1[[#This Row],[Round BMI]]&lt;=29.9),"Overweight",Table13_1[[#This Row],[Round BMI]]&gt;=30,"Obese")</f>
        <v>Obese</v>
      </c>
      <c r="D1336" s="4" t="s">
        <v>11</v>
      </c>
      <c r="E1336" s="4" t="str">
        <f>IF(Table13_1[[#This Row],[smoker]]="yes","smoker","non-smoker")</f>
        <v>non-smoker</v>
      </c>
      <c r="F1336" s="4" t="s">
        <v>14</v>
      </c>
      <c r="G1336" s="5">
        <v>18</v>
      </c>
      <c r="H1336" s="5">
        <f>IF(Table13_1[[#This Row],[smoker]]="yes",1,0)</f>
        <v>0</v>
      </c>
      <c r="I1336" s="4">
        <v>31.92</v>
      </c>
      <c r="J1336" s="4">
        <v>0</v>
      </c>
      <c r="K1336" s="12">
        <v>2205.9807999999998</v>
      </c>
      <c r="N1336">
        <v>1181</v>
      </c>
      <c r="O1336">
        <v>12500.921467643129</v>
      </c>
      <c r="P1336">
        <v>-4850.1476676431294</v>
      </c>
    </row>
    <row r="1337" spans="1:16" x14ac:dyDescent="0.25">
      <c r="A1337" s="4" t="s">
        <v>7</v>
      </c>
      <c r="B1337" s="4">
        <f>ROUND(Table13_1[[#This Row],[bmi]],1)</f>
        <v>36.9</v>
      </c>
      <c r="C1337" s="4" t="str" cm="1">
        <f t="array" ref="C1337">_xlfn.IFS(Table13_1[[#This Row],[Round BMI]]&lt;18.5,"Underweight",AND(Table13_1[[#This Row],[Round BMI]]&gt;=18.5,Table13_1[[#This Row],[Round BMI]] &lt;=24.9),"Healthy Weight",AND(Table13_1[[#This Row],[Round BMI]]&gt;=25,Table13_1[[#This Row],[Round BMI]]&lt;=29.9),"Overweight",Table13_1[[#This Row],[Round BMI]]&gt;=30,"Obese")</f>
        <v>Obese</v>
      </c>
      <c r="D1337" s="4" t="s">
        <v>11</v>
      </c>
      <c r="E1337" s="4" t="str">
        <f>IF(Table13_1[[#This Row],[smoker]]="yes","smoker","non-smoker")</f>
        <v>non-smoker</v>
      </c>
      <c r="F1337" s="4" t="s">
        <v>12</v>
      </c>
      <c r="G1337" s="5">
        <v>18</v>
      </c>
      <c r="H1337" s="5">
        <f>IF(Table13_1[[#This Row],[smoker]]="yes",1,0)</f>
        <v>0</v>
      </c>
      <c r="I1337" s="4">
        <v>36.85</v>
      </c>
      <c r="J1337" s="4">
        <v>0</v>
      </c>
      <c r="K1337" s="12">
        <v>1629.8335</v>
      </c>
      <c r="N1337">
        <v>1182</v>
      </c>
      <c r="O1337">
        <v>3717.0220277610752</v>
      </c>
      <c r="P1337">
        <v>-866.33822776107536</v>
      </c>
    </row>
    <row r="1338" spans="1:16" x14ac:dyDescent="0.25">
      <c r="A1338" s="4" t="s">
        <v>7</v>
      </c>
      <c r="B1338" s="4">
        <f>ROUND(Table13_1[[#This Row],[bmi]],1)</f>
        <v>25.8</v>
      </c>
      <c r="C1338" s="4" t="str" cm="1">
        <f t="array" ref="C1338">_xlfn.IFS(Table13_1[[#This Row],[Round BMI]]&lt;18.5,"Underweight",AND(Table13_1[[#This Row],[Round BMI]]&gt;=18.5,Table13_1[[#This Row],[Round BMI]] &lt;=24.9),"Healthy Weight",AND(Table13_1[[#This Row],[Round BMI]]&gt;=25,Table13_1[[#This Row],[Round BMI]]&lt;=29.9),"Overweight",Table13_1[[#This Row],[Round BMI]]&gt;=30,"Obese")</f>
        <v>Overweight</v>
      </c>
      <c r="D1338" s="4" t="s">
        <v>11</v>
      </c>
      <c r="E1338" s="4" t="str">
        <f>IF(Table13_1[[#This Row],[smoker]]="yes","smoker","non-smoker")</f>
        <v>non-smoker</v>
      </c>
      <c r="F1338" s="4" t="s">
        <v>9</v>
      </c>
      <c r="G1338" s="5">
        <v>21</v>
      </c>
      <c r="H1338" s="5">
        <f>IF(Table13_1[[#This Row],[smoker]]="yes",1,0)</f>
        <v>0</v>
      </c>
      <c r="I1338" s="4">
        <v>25.8</v>
      </c>
      <c r="J1338" s="4">
        <v>0</v>
      </c>
      <c r="K1338" s="12">
        <v>2007.9449999999999</v>
      </c>
      <c r="N1338">
        <v>1183</v>
      </c>
      <c r="O1338">
        <v>4095.5658111568855</v>
      </c>
      <c r="P1338">
        <v>-1462.5738111568853</v>
      </c>
    </row>
    <row r="1339" spans="1:16" x14ac:dyDescent="0.25">
      <c r="A1339" s="4" t="s">
        <v>7</v>
      </c>
      <c r="B1339" s="4">
        <f>ROUND(Table13_1[[#This Row],[bmi]],1)</f>
        <v>29.1</v>
      </c>
      <c r="C1339" s="4" t="str" cm="1">
        <f t="array" ref="C1339">_xlfn.IFS(Table13_1[[#This Row],[Round BMI]]&lt;18.5,"Underweight",AND(Table13_1[[#This Row],[Round BMI]]&gt;=18.5,Table13_1[[#This Row],[Round BMI]] &lt;=24.9),"Healthy Weight",AND(Table13_1[[#This Row],[Round BMI]]&gt;=25,Table13_1[[#This Row],[Round BMI]]&lt;=29.9),"Overweight",Table13_1[[#This Row],[Round BMI]]&gt;=30,"Obese")</f>
        <v>Overweight</v>
      </c>
      <c r="D1339" s="4" t="s">
        <v>8</v>
      </c>
      <c r="E1339" s="4" t="str">
        <f>IF(Table13_1[[#This Row],[smoker]]="yes","smoker","non-smoker")</f>
        <v>smoker</v>
      </c>
      <c r="F1339" s="4" t="s">
        <v>13</v>
      </c>
      <c r="G1339" s="5">
        <v>61</v>
      </c>
      <c r="H1339" s="5">
        <f>IF(Table13_1[[#This Row],[smoker]]="yes",1,0)</f>
        <v>1</v>
      </c>
      <c r="I1339" s="4">
        <v>29.07</v>
      </c>
      <c r="J1339" s="4">
        <v>0</v>
      </c>
      <c r="K1339" s="12">
        <v>29141.3603</v>
      </c>
      <c r="N1339">
        <v>1184</v>
      </c>
      <c r="O1339">
        <v>9553.3636709477323</v>
      </c>
      <c r="P1339">
        <v>-105.9812709477319</v>
      </c>
    </row>
    <row r="1340" spans="1:16" x14ac:dyDescent="0.25">
      <c r="N1340">
        <v>1185</v>
      </c>
      <c r="O1340">
        <v>27282.217918914921</v>
      </c>
      <c r="P1340">
        <v>-8953.9798189149224</v>
      </c>
    </row>
    <row r="1341" spans="1:16" x14ac:dyDescent="0.25">
      <c r="N1341">
        <v>1186</v>
      </c>
      <c r="O1341">
        <v>8030.2821337058795</v>
      </c>
      <c r="P1341">
        <v>573.54126629411985</v>
      </c>
    </row>
    <row r="1342" spans="1:16" x14ac:dyDescent="0.25">
      <c r="N1342">
        <v>1187</v>
      </c>
      <c r="O1342">
        <v>29752.083787287556</v>
      </c>
      <c r="P1342">
        <v>7713.260012712446</v>
      </c>
    </row>
    <row r="1343" spans="1:16" x14ac:dyDescent="0.25">
      <c r="N1343">
        <v>1188</v>
      </c>
      <c r="O1343">
        <v>14402.003921142141</v>
      </c>
      <c r="P1343">
        <v>-557.20672114213994</v>
      </c>
    </row>
    <row r="1344" spans="1:16" x14ac:dyDescent="0.25">
      <c r="N1344">
        <v>1189</v>
      </c>
      <c r="O1344">
        <v>31402.846548373338</v>
      </c>
      <c r="P1344">
        <v>-9631.5042483733378</v>
      </c>
    </row>
    <row r="1345" spans="14:16" x14ac:dyDescent="0.25">
      <c r="N1345">
        <v>1190</v>
      </c>
      <c r="O1345">
        <v>2839.608569961385</v>
      </c>
      <c r="P1345">
        <v>10287.068830038615</v>
      </c>
    </row>
    <row r="1346" spans="14:16" x14ac:dyDescent="0.25">
      <c r="N1346">
        <v>1191</v>
      </c>
      <c r="O1346">
        <v>7386.2497082626687</v>
      </c>
      <c r="P1346">
        <v>-2058.8495082626687</v>
      </c>
    </row>
    <row r="1347" spans="14:16" x14ac:dyDescent="0.25">
      <c r="N1347">
        <v>1192</v>
      </c>
      <c r="O1347">
        <v>5944.4400067102424</v>
      </c>
      <c r="P1347">
        <v>7781.0317932897569</v>
      </c>
    </row>
    <row r="1348" spans="14:16" x14ac:dyDescent="0.25">
      <c r="N1348">
        <v>1193</v>
      </c>
      <c r="O1348">
        <v>13752.380557556797</v>
      </c>
      <c r="P1348">
        <v>-733.21955755679664</v>
      </c>
    </row>
    <row r="1349" spans="14:16" x14ac:dyDescent="0.25">
      <c r="N1349">
        <v>1194</v>
      </c>
      <c r="O1349">
        <v>12045.722032583682</v>
      </c>
      <c r="P1349">
        <v>-3374.5308325836832</v>
      </c>
    </row>
    <row r="1350" spans="14:16" x14ac:dyDescent="0.25">
      <c r="N1350">
        <v>1195</v>
      </c>
      <c r="O1350">
        <v>2892.4426178608601</v>
      </c>
      <c r="P1350">
        <v>1241.6397821391402</v>
      </c>
    </row>
    <row r="1351" spans="14:16" x14ac:dyDescent="0.25">
      <c r="N1351">
        <v>1196</v>
      </c>
      <c r="O1351">
        <v>3206.1878890785456</v>
      </c>
      <c r="P1351">
        <v>15632.515810921454</v>
      </c>
    </row>
    <row r="1352" spans="14:16" x14ac:dyDescent="0.25">
      <c r="N1352">
        <v>1197</v>
      </c>
      <c r="O1352">
        <v>26269.750220394733</v>
      </c>
      <c r="P1352">
        <v>7037.8005796052639</v>
      </c>
    </row>
    <row r="1353" spans="14:16" x14ac:dyDescent="0.25">
      <c r="N1353">
        <v>1198</v>
      </c>
      <c r="O1353">
        <v>9267.1749876765207</v>
      </c>
      <c r="P1353">
        <v>-3567.3374876765211</v>
      </c>
    </row>
    <row r="1354" spans="14:16" x14ac:dyDescent="0.25">
      <c r="N1354">
        <v>1199</v>
      </c>
      <c r="O1354">
        <v>8132.6611609731017</v>
      </c>
      <c r="P1354">
        <v>-1739.0577609731017</v>
      </c>
    </row>
    <row r="1355" spans="14:16" x14ac:dyDescent="0.25">
      <c r="N1355">
        <v>1200</v>
      </c>
      <c r="O1355">
        <v>5141.3361734452119</v>
      </c>
      <c r="P1355">
        <v>-206.63117344521197</v>
      </c>
    </row>
    <row r="1356" spans="14:16" x14ac:dyDescent="0.25">
      <c r="N1356">
        <v>1201</v>
      </c>
      <c r="O1356">
        <v>6212.0931412223517</v>
      </c>
      <c r="P1356">
        <v>-13.34134122235173</v>
      </c>
    </row>
    <row r="1357" spans="14:16" x14ac:dyDescent="0.25">
      <c r="N1357">
        <v>1202</v>
      </c>
      <c r="O1357">
        <v>13700.062979811222</v>
      </c>
      <c r="P1357">
        <v>-4966.8337798112225</v>
      </c>
    </row>
    <row r="1358" spans="14:16" x14ac:dyDescent="0.25">
      <c r="N1358">
        <v>1203</v>
      </c>
      <c r="O1358">
        <v>3904.5683283084118</v>
      </c>
      <c r="P1358">
        <v>-1849.2434283084117</v>
      </c>
    </row>
    <row r="1359" spans="14:16" x14ac:dyDescent="0.25">
      <c r="N1359">
        <v>1204</v>
      </c>
      <c r="O1359">
        <v>11916.858122974387</v>
      </c>
      <c r="P1359">
        <v>-1952.7981229743873</v>
      </c>
    </row>
    <row r="1360" spans="14:16" x14ac:dyDescent="0.25">
      <c r="N1360">
        <v>1205</v>
      </c>
      <c r="O1360">
        <v>26550.534815916926</v>
      </c>
      <c r="P1360">
        <v>-8327.0836159169266</v>
      </c>
    </row>
    <row r="1361" spans="14:16" x14ac:dyDescent="0.25">
      <c r="N1361">
        <v>1206</v>
      </c>
      <c r="O1361">
        <v>3143.7317486615843</v>
      </c>
      <c r="P1361">
        <v>1972.7686513384156</v>
      </c>
    </row>
    <row r="1362" spans="14:16" x14ac:dyDescent="0.25">
      <c r="N1362">
        <v>1207</v>
      </c>
      <c r="O1362">
        <v>15257.785004266088</v>
      </c>
      <c r="P1362">
        <v>21652.822995733914</v>
      </c>
    </row>
    <row r="1363" spans="14:16" x14ac:dyDescent="0.25">
      <c r="N1363">
        <v>1208</v>
      </c>
      <c r="O1363">
        <v>32688.054217705729</v>
      </c>
      <c r="P1363">
        <v>5727.4197822942733</v>
      </c>
    </row>
    <row r="1364" spans="14:16" x14ac:dyDescent="0.25">
      <c r="N1364">
        <v>1209</v>
      </c>
      <c r="O1364">
        <v>29947.477154200948</v>
      </c>
      <c r="P1364">
        <v>-9650.6137542009492</v>
      </c>
    </row>
    <row r="1365" spans="14:16" x14ac:dyDescent="0.25">
      <c r="N1365">
        <v>1210</v>
      </c>
      <c r="O1365">
        <v>15524.540915255058</v>
      </c>
      <c r="P1365">
        <v>-3177.3689152550578</v>
      </c>
    </row>
    <row r="1366" spans="14:16" x14ac:dyDescent="0.25">
      <c r="N1366">
        <v>1211</v>
      </c>
      <c r="O1366">
        <v>7590.4772639703215</v>
      </c>
      <c r="P1366">
        <v>-2217.1130639703215</v>
      </c>
    </row>
    <row r="1367" spans="14:16" x14ac:dyDescent="0.25">
      <c r="N1367">
        <v>1212</v>
      </c>
      <c r="O1367">
        <v>9875.4988756701223</v>
      </c>
      <c r="P1367">
        <v>13687.517324329876</v>
      </c>
    </row>
    <row r="1368" spans="14:16" x14ac:dyDescent="0.25">
      <c r="N1368">
        <v>1213</v>
      </c>
      <c r="O1368">
        <v>-551.32862724351344</v>
      </c>
      <c r="P1368">
        <v>2253.7839272435135</v>
      </c>
    </row>
    <row r="1369" spans="14:16" x14ac:dyDescent="0.25">
      <c r="N1369">
        <v>1214</v>
      </c>
      <c r="O1369">
        <v>12970.061348691777</v>
      </c>
      <c r="P1369">
        <v>-2163.2223486917774</v>
      </c>
    </row>
    <row r="1370" spans="14:16" x14ac:dyDescent="0.25">
      <c r="N1370">
        <v>1215</v>
      </c>
      <c r="O1370">
        <v>5392.1352310767779</v>
      </c>
      <c r="P1370">
        <v>-1436.0638310767781</v>
      </c>
    </row>
    <row r="1371" spans="14:16" x14ac:dyDescent="0.25">
      <c r="N1371">
        <v>1216</v>
      </c>
      <c r="O1371">
        <v>5135.7856609607134</v>
      </c>
      <c r="P1371">
        <v>7754.2719390392867</v>
      </c>
    </row>
    <row r="1372" spans="14:16" x14ac:dyDescent="0.25">
      <c r="N1372">
        <v>1217</v>
      </c>
      <c r="O1372">
        <v>6283.244098281094</v>
      </c>
      <c r="P1372">
        <v>-867.58289828109446</v>
      </c>
    </row>
    <row r="1373" spans="14:16" x14ac:dyDescent="0.25">
      <c r="N1373">
        <v>1218</v>
      </c>
      <c r="O1373">
        <v>8323.709777430031</v>
      </c>
      <c r="P1373">
        <v>-4265.5936774300308</v>
      </c>
    </row>
    <row r="1374" spans="14:16" x14ac:dyDescent="0.25">
      <c r="N1374">
        <v>1219</v>
      </c>
      <c r="O1374">
        <v>35179.268658872919</v>
      </c>
      <c r="P1374">
        <v>6482.3333411270796</v>
      </c>
    </row>
    <row r="1375" spans="14:16" x14ac:dyDescent="0.25">
      <c r="N1375">
        <v>1220</v>
      </c>
      <c r="O1375">
        <v>8839.1497268332732</v>
      </c>
      <c r="P1375">
        <v>-1301.9858268332737</v>
      </c>
    </row>
    <row r="1376" spans="14:16" x14ac:dyDescent="0.25">
      <c r="N1376">
        <v>1221</v>
      </c>
      <c r="O1376">
        <v>3169.2471926161575</v>
      </c>
      <c r="P1376">
        <v>1548.9564073838424</v>
      </c>
    </row>
    <row r="1377" spans="14:16" x14ac:dyDescent="0.25">
      <c r="N1377">
        <v>1222</v>
      </c>
      <c r="O1377">
        <v>7194.8450750602078</v>
      </c>
      <c r="P1377">
        <v>-601.3367750602074</v>
      </c>
    </row>
    <row r="1378" spans="14:16" x14ac:dyDescent="0.25">
      <c r="N1378">
        <v>1223</v>
      </c>
      <c r="O1378">
        <v>8932.5464802097231</v>
      </c>
      <c r="P1378">
        <v>-489.87948020972362</v>
      </c>
    </row>
    <row r="1379" spans="14:16" x14ac:dyDescent="0.25">
      <c r="N1379">
        <v>1224</v>
      </c>
      <c r="O1379">
        <v>24725.2318718143</v>
      </c>
      <c r="P1379">
        <v>1400.442928185701</v>
      </c>
    </row>
    <row r="1380" spans="14:16" x14ac:dyDescent="0.25">
      <c r="N1380">
        <v>1225</v>
      </c>
      <c r="O1380">
        <v>6647.6853219182922</v>
      </c>
      <c r="P1380">
        <v>210.79427808170749</v>
      </c>
    </row>
    <row r="1381" spans="14:16" x14ac:dyDescent="0.25">
      <c r="N1381">
        <v>1226</v>
      </c>
      <c r="O1381">
        <v>9695.8895403939005</v>
      </c>
      <c r="P1381">
        <v>-4900.2327403939007</v>
      </c>
    </row>
    <row r="1382" spans="14:16" x14ac:dyDescent="0.25">
      <c r="N1382">
        <v>1227</v>
      </c>
      <c r="O1382">
        <v>4054.4478702294091</v>
      </c>
      <c r="P1382">
        <v>2586.0969297705906</v>
      </c>
    </row>
    <row r="1383" spans="14:16" x14ac:dyDescent="0.25">
      <c r="N1383">
        <v>1228</v>
      </c>
      <c r="O1383">
        <v>11640.349718412124</v>
      </c>
      <c r="P1383">
        <v>-4478.3375184121242</v>
      </c>
    </row>
    <row r="1384" spans="14:16" x14ac:dyDescent="0.25">
      <c r="N1384">
        <v>1229</v>
      </c>
      <c r="O1384">
        <v>13418.146832132128</v>
      </c>
      <c r="P1384">
        <v>-2823.9211321321272</v>
      </c>
    </row>
    <row r="1385" spans="14:16" x14ac:dyDescent="0.25">
      <c r="N1385">
        <v>1230</v>
      </c>
      <c r="O1385">
        <v>12606.208810072838</v>
      </c>
      <c r="P1385">
        <v>-667.95281007283847</v>
      </c>
    </row>
    <row r="1386" spans="14:16" x14ac:dyDescent="0.25">
      <c r="N1386">
        <v>1231</v>
      </c>
      <c r="O1386">
        <v>37636.357422619963</v>
      </c>
      <c r="P1386">
        <v>22385.041577380034</v>
      </c>
    </row>
    <row r="1387" spans="14:16" x14ac:dyDescent="0.25">
      <c r="N1387">
        <v>1232</v>
      </c>
      <c r="O1387">
        <v>23881.981196370321</v>
      </c>
      <c r="P1387">
        <v>-3714.6451963703221</v>
      </c>
    </row>
    <row r="1388" spans="14:16" x14ac:dyDescent="0.25">
      <c r="N1388">
        <v>1233</v>
      </c>
      <c r="O1388">
        <v>11160.764731193973</v>
      </c>
      <c r="P1388">
        <v>1318.944268806028</v>
      </c>
    </row>
    <row r="1389" spans="14:16" x14ac:dyDescent="0.25">
      <c r="N1389">
        <v>1234</v>
      </c>
      <c r="O1389">
        <v>10351.639733170145</v>
      </c>
      <c r="P1389">
        <v>993.87926682985562</v>
      </c>
    </row>
    <row r="1390" spans="14:16" x14ac:dyDescent="0.25">
      <c r="N1390">
        <v>1235</v>
      </c>
      <c r="O1390">
        <v>9404.5876238378551</v>
      </c>
      <c r="P1390">
        <v>-888.82892383785475</v>
      </c>
    </row>
    <row r="1391" spans="14:16" x14ac:dyDescent="0.25">
      <c r="N1391">
        <v>1236</v>
      </c>
      <c r="O1391">
        <v>4599.6316416607697</v>
      </c>
      <c r="P1391">
        <v>-1900.0632416607696</v>
      </c>
    </row>
    <row r="1392" spans="14:16" x14ac:dyDescent="0.25">
      <c r="N1392">
        <v>1237</v>
      </c>
      <c r="O1392">
        <v>11113.050969162334</v>
      </c>
      <c r="P1392">
        <v>3336.8034308376664</v>
      </c>
    </row>
    <row r="1393" spans="14:16" x14ac:dyDescent="0.25">
      <c r="N1393">
        <v>1238</v>
      </c>
      <c r="O1393">
        <v>11933.539378134703</v>
      </c>
      <c r="P1393">
        <v>290.81142186529723</v>
      </c>
    </row>
    <row r="1394" spans="14:16" x14ac:dyDescent="0.25">
      <c r="N1394">
        <v>1239</v>
      </c>
      <c r="O1394">
        <v>6165.8054411796165</v>
      </c>
      <c r="P1394">
        <v>819.70155882038307</v>
      </c>
    </row>
    <row r="1395" spans="14:16" x14ac:dyDescent="0.25">
      <c r="N1395">
        <v>1240</v>
      </c>
      <c r="O1395">
        <v>8376.5702223142525</v>
      </c>
      <c r="P1395">
        <v>-5138.1345223142525</v>
      </c>
    </row>
    <row r="1396" spans="14:16" x14ac:dyDescent="0.25">
      <c r="N1396">
        <v>1241</v>
      </c>
      <c r="O1396">
        <v>39517.19811885761</v>
      </c>
      <c r="P1396">
        <v>7752.6558811423893</v>
      </c>
    </row>
    <row r="1397" spans="14:16" x14ac:dyDescent="0.25">
      <c r="N1397">
        <v>1242</v>
      </c>
      <c r="O1397">
        <v>41053.631417070414</v>
      </c>
      <c r="P1397">
        <v>8524.0309829295875</v>
      </c>
    </row>
    <row r="1398" spans="14:16" x14ac:dyDescent="0.25">
      <c r="N1398">
        <v>1243</v>
      </c>
      <c r="O1398">
        <v>1839.4245821755503</v>
      </c>
      <c r="P1398">
        <v>2456.8466178244498</v>
      </c>
    </row>
    <row r="1399" spans="14:16" x14ac:dyDescent="0.25">
      <c r="N1399">
        <v>1244</v>
      </c>
      <c r="O1399">
        <v>5773.5167751317595</v>
      </c>
      <c r="P1399">
        <v>-2601.9018751317594</v>
      </c>
    </row>
    <row r="1400" spans="14:16" x14ac:dyDescent="0.25">
      <c r="N1400">
        <v>1245</v>
      </c>
      <c r="O1400">
        <v>3265.829010453268</v>
      </c>
      <c r="P1400">
        <v>-2129.8883104532679</v>
      </c>
    </row>
    <row r="1401" spans="14:16" x14ac:dyDescent="0.25">
      <c r="N1401">
        <v>1246</v>
      </c>
      <c r="O1401">
        <v>5305.5174938297951</v>
      </c>
      <c r="P1401">
        <v>309.85150617020463</v>
      </c>
    </row>
    <row r="1402" spans="14:16" x14ac:dyDescent="0.25">
      <c r="N1402">
        <v>1247</v>
      </c>
      <c r="O1402">
        <v>9192.5464513318966</v>
      </c>
      <c r="P1402">
        <v>-90.748451331895922</v>
      </c>
    </row>
    <row r="1403" spans="14:16" x14ac:dyDescent="0.25">
      <c r="N1403">
        <v>1248</v>
      </c>
      <c r="O1403">
        <v>7762.7048694259356</v>
      </c>
      <c r="P1403">
        <v>-1703.5318694259358</v>
      </c>
    </row>
    <row r="1404" spans="14:16" x14ac:dyDescent="0.25">
      <c r="N1404">
        <v>1249</v>
      </c>
      <c r="O1404">
        <v>5354.6446148927371</v>
      </c>
      <c r="P1404">
        <v>-3720.682814892737</v>
      </c>
    </row>
    <row r="1405" spans="14:16" x14ac:dyDescent="0.25">
      <c r="N1405">
        <v>1250</v>
      </c>
      <c r="O1405">
        <v>31257.179695491959</v>
      </c>
      <c r="P1405">
        <v>6350.3480045080396</v>
      </c>
    </row>
    <row r="1406" spans="14:16" x14ac:dyDescent="0.25">
      <c r="N1406">
        <v>1251</v>
      </c>
      <c r="O1406">
        <v>27497.845990506681</v>
      </c>
      <c r="P1406">
        <v>-8849.4242905066822</v>
      </c>
    </row>
    <row r="1407" spans="14:16" x14ac:dyDescent="0.25">
      <c r="N1407">
        <v>1252</v>
      </c>
      <c r="O1407">
        <v>-830.97096265798154</v>
      </c>
      <c r="P1407">
        <v>2072.5359626579816</v>
      </c>
    </row>
    <row r="1408" spans="14:16" x14ac:dyDescent="0.25">
      <c r="N1408">
        <v>1253</v>
      </c>
      <c r="O1408">
        <v>25652.163911996991</v>
      </c>
      <c r="P1408">
        <v>-9419.3169119969916</v>
      </c>
    </row>
    <row r="1409" spans="14:16" x14ac:dyDescent="0.25">
      <c r="N1409">
        <v>1254</v>
      </c>
      <c r="O1409">
        <v>9535.4662804543059</v>
      </c>
      <c r="P1409">
        <v>6293.3554195456945</v>
      </c>
    </row>
    <row r="1410" spans="14:16" x14ac:dyDescent="0.25">
      <c r="N1410">
        <v>1255</v>
      </c>
      <c r="O1410">
        <v>5585.8347577997592</v>
      </c>
      <c r="P1410">
        <v>-1170.6759577997591</v>
      </c>
    </row>
    <row r="1411" spans="14:16" x14ac:dyDescent="0.25">
      <c r="N1411">
        <v>1256</v>
      </c>
      <c r="O1411">
        <v>10925.078097366151</v>
      </c>
      <c r="P1411">
        <v>-4451.0650973661513</v>
      </c>
    </row>
    <row r="1412" spans="14:16" x14ac:dyDescent="0.25">
      <c r="N1412">
        <v>1257</v>
      </c>
      <c r="O1412">
        <v>14178.625734672387</v>
      </c>
      <c r="P1412">
        <v>-2741.8875346723871</v>
      </c>
    </row>
    <row r="1413" spans="14:16" x14ac:dyDescent="0.25">
      <c r="N1413">
        <v>1258</v>
      </c>
      <c r="O1413">
        <v>11192.188364739612</v>
      </c>
      <c r="P1413">
        <v>113.74623526038886</v>
      </c>
    </row>
    <row r="1414" spans="14:16" x14ac:dyDescent="0.25">
      <c r="N1414">
        <v>1259</v>
      </c>
      <c r="O1414">
        <v>15638.086129772626</v>
      </c>
      <c r="P1414">
        <v>14425.494470227375</v>
      </c>
    </row>
    <row r="1415" spans="14:16" x14ac:dyDescent="0.25">
      <c r="N1415">
        <v>1260</v>
      </c>
      <c r="O1415">
        <v>8765.920520847063</v>
      </c>
      <c r="P1415">
        <v>1431.8516791529364</v>
      </c>
    </row>
    <row r="1416" spans="14:16" x14ac:dyDescent="0.25">
      <c r="N1416">
        <v>1261</v>
      </c>
      <c r="O1416">
        <v>2752.8056426823186</v>
      </c>
      <c r="P1416">
        <v>1791.4291573176815</v>
      </c>
    </row>
    <row r="1417" spans="14:16" x14ac:dyDescent="0.25">
      <c r="N1417">
        <v>1262</v>
      </c>
      <c r="O1417">
        <v>7531.2061880140227</v>
      </c>
      <c r="P1417">
        <v>-4254.0451880140226</v>
      </c>
    </row>
    <row r="1418" spans="14:16" x14ac:dyDescent="0.25">
      <c r="N1418">
        <v>1263</v>
      </c>
      <c r="O1418">
        <v>7970.4945875956755</v>
      </c>
      <c r="P1418">
        <v>-1200.3020875956754</v>
      </c>
    </row>
    <row r="1419" spans="14:16" x14ac:dyDescent="0.25">
      <c r="N1419">
        <v>1264</v>
      </c>
      <c r="O1419">
        <v>9081.6186975126311</v>
      </c>
      <c r="P1419">
        <v>-1743.8706975126315</v>
      </c>
    </row>
    <row r="1420" spans="14:16" x14ac:dyDescent="0.25">
      <c r="N1420">
        <v>1265</v>
      </c>
      <c r="O1420">
        <v>12210.996139828565</v>
      </c>
      <c r="P1420">
        <v>-1840.0835398285653</v>
      </c>
    </row>
    <row r="1421" spans="14:16" x14ac:dyDescent="0.25">
      <c r="N1421">
        <v>1266</v>
      </c>
      <c r="O1421">
        <v>35858.188268474762</v>
      </c>
      <c r="P1421">
        <v>-8931.6738684747615</v>
      </c>
    </row>
    <row r="1422" spans="14:16" x14ac:dyDescent="0.25">
      <c r="N1422">
        <v>1267</v>
      </c>
      <c r="O1422">
        <v>11895.421311635806</v>
      </c>
      <c r="P1422">
        <v>-1190.9513116358066</v>
      </c>
    </row>
    <row r="1423" spans="14:16" x14ac:dyDescent="0.25">
      <c r="N1423">
        <v>1268</v>
      </c>
      <c r="O1423">
        <v>27895.33247301558</v>
      </c>
      <c r="P1423">
        <v>6358.720926984417</v>
      </c>
    </row>
    <row r="1424" spans="14:16" x14ac:dyDescent="0.25">
      <c r="N1424">
        <v>1269</v>
      </c>
      <c r="O1424">
        <v>3771.872483028741</v>
      </c>
      <c r="P1424">
        <v>-1891.385483028741</v>
      </c>
    </row>
    <row r="1425" spans="14:16" x14ac:dyDescent="0.25">
      <c r="N1425">
        <v>1270</v>
      </c>
      <c r="O1425">
        <v>9771.8789764460798</v>
      </c>
      <c r="P1425">
        <v>-1156.5789764460806</v>
      </c>
    </row>
    <row r="1426" spans="14:16" x14ac:dyDescent="0.25">
      <c r="N1426">
        <v>1271</v>
      </c>
      <c r="O1426">
        <v>5990.4104553040461</v>
      </c>
      <c r="P1426">
        <v>-2697.8806553040463</v>
      </c>
    </row>
    <row r="1427" spans="14:16" x14ac:dyDescent="0.25">
      <c r="N1427">
        <v>1272</v>
      </c>
      <c r="O1427">
        <v>5442.51393204736</v>
      </c>
      <c r="P1427">
        <v>-2420.7047320473598</v>
      </c>
    </row>
    <row r="1428" spans="14:16" x14ac:dyDescent="0.25">
      <c r="N1428">
        <v>1273</v>
      </c>
      <c r="O1428">
        <v>9565.9188152514107</v>
      </c>
      <c r="P1428">
        <v>4912.4113847485896</v>
      </c>
    </row>
    <row r="1429" spans="14:16" x14ac:dyDescent="0.25">
      <c r="N1429">
        <v>1274</v>
      </c>
      <c r="O1429">
        <v>6281.7829263634057</v>
      </c>
      <c r="P1429">
        <v>-1534.7300263634061</v>
      </c>
    </row>
    <row r="1430" spans="14:16" x14ac:dyDescent="0.25">
      <c r="N1430">
        <v>1275</v>
      </c>
      <c r="O1430">
        <v>27122.016619297236</v>
      </c>
      <c r="P1430">
        <v>-10078.675219297234</v>
      </c>
    </row>
    <row r="1431" spans="14:16" x14ac:dyDescent="0.25">
      <c r="N1431">
        <v>1276</v>
      </c>
      <c r="O1431">
        <v>10222.530786976273</v>
      </c>
      <c r="P1431">
        <v>736.79921302372713</v>
      </c>
    </row>
    <row r="1432" spans="14:16" x14ac:dyDescent="0.25">
      <c r="N1432">
        <v>1277</v>
      </c>
      <c r="O1432">
        <v>3354.2024294499379</v>
      </c>
      <c r="P1432">
        <v>-612.25442944993802</v>
      </c>
    </row>
    <row r="1433" spans="14:16" x14ac:dyDescent="0.25">
      <c r="N1433">
        <v>1278</v>
      </c>
      <c r="O1433">
        <v>5718.6663198640908</v>
      </c>
      <c r="P1433">
        <v>-1361.6227198640909</v>
      </c>
    </row>
    <row r="1434" spans="14:16" x14ac:dyDescent="0.25">
      <c r="N1434">
        <v>1279</v>
      </c>
      <c r="O1434">
        <v>31869.666799277762</v>
      </c>
      <c r="P1434">
        <v>-9407.6229992777626</v>
      </c>
    </row>
    <row r="1435" spans="14:16" x14ac:dyDescent="0.25">
      <c r="N1435">
        <v>1280</v>
      </c>
      <c r="O1435">
        <v>3912.8720182758752</v>
      </c>
      <c r="P1435">
        <v>276.24108172412434</v>
      </c>
    </row>
    <row r="1436" spans="14:16" x14ac:dyDescent="0.25">
      <c r="N1436">
        <v>1281</v>
      </c>
      <c r="O1436">
        <v>11001.314230363947</v>
      </c>
      <c r="P1436">
        <v>-2717.6335303639462</v>
      </c>
    </row>
    <row r="1437" spans="14:16" x14ac:dyDescent="0.25">
      <c r="N1437">
        <v>1282</v>
      </c>
      <c r="O1437">
        <v>33672.143974988467</v>
      </c>
      <c r="P1437">
        <v>-9136.4453749884669</v>
      </c>
    </row>
    <row r="1438" spans="14:16" x14ac:dyDescent="0.25">
      <c r="N1438">
        <v>1283</v>
      </c>
      <c r="O1438">
        <v>23321.222985311841</v>
      </c>
      <c r="P1438">
        <v>-9037.7635853118409</v>
      </c>
    </row>
    <row r="1439" spans="14:16" x14ac:dyDescent="0.25">
      <c r="N1439">
        <v>1284</v>
      </c>
      <c r="O1439">
        <v>2677.2216966230894</v>
      </c>
      <c r="P1439">
        <v>-956.86799662308954</v>
      </c>
    </row>
    <row r="1440" spans="14:16" x14ac:dyDescent="0.25">
      <c r="N1440">
        <v>1285</v>
      </c>
      <c r="O1440">
        <v>39594.15865365832</v>
      </c>
      <c r="P1440">
        <v>7809.7213463416774</v>
      </c>
    </row>
    <row r="1441" spans="14:16" x14ac:dyDescent="0.25">
      <c r="N1441">
        <v>1286</v>
      </c>
      <c r="O1441">
        <v>7843.5835834342652</v>
      </c>
      <c r="P1441">
        <v>691.08821656573491</v>
      </c>
    </row>
    <row r="1442" spans="14:16" x14ac:dyDescent="0.25">
      <c r="N1442">
        <v>1287</v>
      </c>
      <c r="O1442">
        <v>681.82758218377785</v>
      </c>
      <c r="P1442">
        <v>3050.7975178162224</v>
      </c>
    </row>
    <row r="1443" spans="14:16" x14ac:dyDescent="0.25">
      <c r="N1443">
        <v>1288</v>
      </c>
      <c r="O1443">
        <v>5989.2665348352884</v>
      </c>
      <c r="P1443">
        <v>-516.81753483528882</v>
      </c>
    </row>
    <row r="1444" spans="14:16" x14ac:dyDescent="0.25">
      <c r="N1444">
        <v>1289</v>
      </c>
      <c r="O1444">
        <v>30493.570517467309</v>
      </c>
      <c r="P1444">
        <v>7850.9954825326895</v>
      </c>
    </row>
    <row r="1445" spans="14:16" x14ac:dyDescent="0.25">
      <c r="N1445">
        <v>1290</v>
      </c>
      <c r="O1445">
        <v>10762.051405401147</v>
      </c>
      <c r="P1445">
        <v>-3614.5786054011478</v>
      </c>
    </row>
    <row r="1446" spans="14:16" x14ac:dyDescent="0.25">
      <c r="N1446">
        <v>1291</v>
      </c>
      <c r="O1446">
        <v>5063.4520181366097</v>
      </c>
      <c r="P1446">
        <v>2070.4504818633905</v>
      </c>
    </row>
    <row r="1447" spans="14:16" x14ac:dyDescent="0.25">
      <c r="N1447">
        <v>1292</v>
      </c>
      <c r="O1447">
        <v>27840.385066259849</v>
      </c>
      <c r="P1447">
        <v>6988.2689337401534</v>
      </c>
    </row>
    <row r="1448" spans="14:16" x14ac:dyDescent="0.25">
      <c r="N1448">
        <v>1293</v>
      </c>
      <c r="O1448">
        <v>782.2413356912657</v>
      </c>
      <c r="P1448">
        <v>733.10356430873435</v>
      </c>
    </row>
    <row r="1449" spans="14:16" x14ac:dyDescent="0.25">
      <c r="N1449">
        <v>1294</v>
      </c>
      <c r="O1449">
        <v>9464.8792717901069</v>
      </c>
      <c r="P1449">
        <v>-162.98567179010752</v>
      </c>
    </row>
    <row r="1450" spans="14:16" x14ac:dyDescent="0.25">
      <c r="N1450">
        <v>1295</v>
      </c>
      <c r="O1450">
        <v>10955.111113497416</v>
      </c>
      <c r="P1450">
        <v>976.01408650258418</v>
      </c>
    </row>
    <row r="1451" spans="14:16" x14ac:dyDescent="0.25">
      <c r="N1451">
        <v>1296</v>
      </c>
      <c r="O1451">
        <v>608.4539464688645</v>
      </c>
      <c r="P1451">
        <v>1356.3260535311356</v>
      </c>
    </row>
    <row r="1452" spans="14:16" x14ac:dyDescent="0.25">
      <c r="N1452">
        <v>1297</v>
      </c>
      <c r="O1452">
        <v>946.88965298233234</v>
      </c>
      <c r="P1452">
        <v>762.03614701766764</v>
      </c>
    </row>
    <row r="1453" spans="14:16" x14ac:dyDescent="0.25">
      <c r="N1453">
        <v>1298</v>
      </c>
      <c r="O1453">
        <v>4596.302147471406</v>
      </c>
      <c r="P1453">
        <v>-255.86124747140639</v>
      </c>
    </row>
    <row r="1454" spans="14:16" x14ac:dyDescent="0.25">
      <c r="N1454">
        <v>1299</v>
      </c>
      <c r="O1454">
        <v>6189.6992598081297</v>
      </c>
      <c r="P1454">
        <v>-928.22985980812973</v>
      </c>
    </row>
    <row r="1455" spans="14:16" x14ac:dyDescent="0.25">
      <c r="N1455">
        <v>1300</v>
      </c>
      <c r="O1455">
        <v>1555.9379427788504</v>
      </c>
      <c r="P1455">
        <v>1154.8906572211495</v>
      </c>
    </row>
    <row r="1456" spans="14:16" x14ac:dyDescent="0.25">
      <c r="N1456">
        <v>1301</v>
      </c>
      <c r="O1456">
        <v>33083.266887949998</v>
      </c>
      <c r="P1456">
        <v>29509.606212049999</v>
      </c>
    </row>
    <row r="1457" spans="14:16" x14ac:dyDescent="0.25">
      <c r="N1457">
        <v>1302</v>
      </c>
      <c r="O1457">
        <v>39052.96893166675</v>
      </c>
      <c r="P1457">
        <v>7665.1942683332527</v>
      </c>
    </row>
    <row r="1458" spans="14:16" x14ac:dyDescent="0.25">
      <c r="N1458">
        <v>1303</v>
      </c>
      <c r="O1458">
        <v>1511.4797997111905</v>
      </c>
      <c r="P1458">
        <v>1697.3072002888093</v>
      </c>
    </row>
    <row r="1459" spans="14:16" x14ac:dyDescent="0.25">
      <c r="N1459">
        <v>1304</v>
      </c>
      <c r="O1459">
        <v>31743.628282015787</v>
      </c>
      <c r="P1459">
        <v>6086.0959179842102</v>
      </c>
    </row>
    <row r="1460" spans="14:16" x14ac:dyDescent="0.25">
      <c r="N1460">
        <v>1305</v>
      </c>
      <c r="O1460">
        <v>31404.468173699406</v>
      </c>
      <c r="P1460">
        <v>-10145.090173699406</v>
      </c>
    </row>
    <row r="1461" spans="14:16" x14ac:dyDescent="0.25">
      <c r="N1461">
        <v>1306</v>
      </c>
      <c r="O1461">
        <v>3007.3396844962008</v>
      </c>
      <c r="P1461">
        <v>-542.7208844962006</v>
      </c>
    </row>
    <row r="1462" spans="14:16" x14ac:dyDescent="0.25">
      <c r="N1462">
        <v>1307</v>
      </c>
      <c r="O1462">
        <v>26218.719332485591</v>
      </c>
      <c r="P1462">
        <v>-10103.414832485591</v>
      </c>
    </row>
    <row r="1463" spans="14:16" x14ac:dyDescent="0.25">
      <c r="N1463">
        <v>1308</v>
      </c>
      <c r="O1463">
        <v>30904.28541247435</v>
      </c>
      <c r="P1463">
        <v>-9431.8066124743491</v>
      </c>
    </row>
    <row r="1464" spans="14:16" x14ac:dyDescent="0.25">
      <c r="N1464">
        <v>1309</v>
      </c>
      <c r="O1464">
        <v>27874.780516888284</v>
      </c>
      <c r="P1464">
        <v>6025.8724831117142</v>
      </c>
    </row>
    <row r="1465" spans="14:16" x14ac:dyDescent="0.25">
      <c r="N1465">
        <v>1310</v>
      </c>
      <c r="O1465">
        <v>9779.6802249325319</v>
      </c>
      <c r="P1465">
        <v>-2903.7192249325317</v>
      </c>
    </row>
    <row r="1466" spans="14:16" x14ac:dyDescent="0.25">
      <c r="N1466">
        <v>1311</v>
      </c>
      <c r="O1466">
        <v>7669.9319109965281</v>
      </c>
      <c r="P1466">
        <v>-729.02211099652777</v>
      </c>
    </row>
    <row r="1467" spans="14:16" x14ac:dyDescent="0.25">
      <c r="N1467">
        <v>1312</v>
      </c>
      <c r="O1467">
        <v>4998.0875625571625</v>
      </c>
      <c r="P1467">
        <v>-426.67456255716297</v>
      </c>
    </row>
    <row r="1468" spans="14:16" x14ac:dyDescent="0.25">
      <c r="N1468">
        <v>1313</v>
      </c>
      <c r="O1468">
        <v>10945.041368475189</v>
      </c>
      <c r="P1468">
        <v>-6408.7823684751893</v>
      </c>
    </row>
    <row r="1469" spans="14:16" x14ac:dyDescent="0.25">
      <c r="N1469">
        <v>1314</v>
      </c>
      <c r="O1469">
        <v>28723.019416783256</v>
      </c>
      <c r="P1469">
        <v>7674.5565832167449</v>
      </c>
    </row>
    <row r="1470" spans="14:16" x14ac:dyDescent="0.25">
      <c r="N1470">
        <v>1315</v>
      </c>
      <c r="O1470">
        <v>28478.017568581799</v>
      </c>
      <c r="P1470">
        <v>-9712.1421685817986</v>
      </c>
    </row>
    <row r="1471" spans="14:16" x14ac:dyDescent="0.25">
      <c r="N1471">
        <v>1316</v>
      </c>
      <c r="O1471">
        <v>2123.6372837362046</v>
      </c>
      <c r="P1471">
        <v>9148.6941162637941</v>
      </c>
    </row>
    <row r="1472" spans="14:16" x14ac:dyDescent="0.25">
      <c r="N1472">
        <v>1317</v>
      </c>
      <c r="O1472">
        <v>-573.48984038501112</v>
      </c>
      <c r="P1472">
        <v>2305.1668403850108</v>
      </c>
    </row>
    <row r="1473" spans="14:16" x14ac:dyDescent="0.25">
      <c r="N1473">
        <v>1318</v>
      </c>
      <c r="O1473">
        <v>9638.486786709278</v>
      </c>
      <c r="P1473">
        <v>-8475.024086709278</v>
      </c>
    </row>
    <row r="1474" spans="14:16" x14ac:dyDescent="0.25">
      <c r="N1474">
        <v>1319</v>
      </c>
      <c r="O1474">
        <v>11596.691847379549</v>
      </c>
      <c r="P1474">
        <v>7900.027352620451</v>
      </c>
    </row>
    <row r="1475" spans="14:16" x14ac:dyDescent="0.25">
      <c r="N1475">
        <v>1320</v>
      </c>
      <c r="O1475">
        <v>7369.8857045512841</v>
      </c>
      <c r="P1475">
        <v>-168.18490455128449</v>
      </c>
    </row>
    <row r="1476" spans="14:16" x14ac:dyDescent="0.25">
      <c r="N1476">
        <v>1321</v>
      </c>
      <c r="O1476">
        <v>7309.3861249500196</v>
      </c>
      <c r="P1476">
        <v>-1884.3627249500196</v>
      </c>
    </row>
    <row r="1477" spans="14:16" x14ac:dyDescent="0.25">
      <c r="N1477">
        <v>1322</v>
      </c>
      <c r="O1477">
        <v>36287.12312115301</v>
      </c>
      <c r="P1477">
        <v>-8185.7901211530116</v>
      </c>
    </row>
    <row r="1478" spans="14:16" x14ac:dyDescent="0.25">
      <c r="N1478">
        <v>1323</v>
      </c>
      <c r="O1478">
        <v>16381.390048615598</v>
      </c>
      <c r="P1478">
        <v>-3400.0443486155982</v>
      </c>
    </row>
    <row r="1479" spans="14:16" x14ac:dyDescent="0.25">
      <c r="N1479">
        <v>1324</v>
      </c>
      <c r="O1479">
        <v>36478.455539491115</v>
      </c>
      <c r="P1479">
        <v>7417.9207605088886</v>
      </c>
    </row>
    <row r="1480" spans="14:16" x14ac:dyDescent="0.25">
      <c r="N1480">
        <v>1325</v>
      </c>
      <c r="O1480">
        <v>4711.2837972829511</v>
      </c>
      <c r="P1480">
        <v>-471.391197282951</v>
      </c>
    </row>
    <row r="1481" spans="14:16" x14ac:dyDescent="0.25">
      <c r="N1481">
        <v>1326</v>
      </c>
      <c r="O1481">
        <v>14419.33736324102</v>
      </c>
      <c r="P1481">
        <v>-1276.0007632410197</v>
      </c>
    </row>
    <row r="1482" spans="14:16" x14ac:dyDescent="0.25">
      <c r="N1482">
        <v>1327</v>
      </c>
      <c r="O1482">
        <v>9306.1655410748517</v>
      </c>
      <c r="P1482">
        <v>-2256.1442410748514</v>
      </c>
    </row>
    <row r="1483" spans="14:16" x14ac:dyDescent="0.25">
      <c r="N1483">
        <v>1328</v>
      </c>
      <c r="O1483">
        <v>11186.255438524835</v>
      </c>
      <c r="P1483">
        <v>-1808.3507385248358</v>
      </c>
    </row>
    <row r="1484" spans="14:16" x14ac:dyDescent="0.25">
      <c r="N1484">
        <v>1329</v>
      </c>
      <c r="O1484">
        <v>2571.624155327454</v>
      </c>
      <c r="P1484">
        <v>19824.120044672549</v>
      </c>
    </row>
    <row r="1485" spans="14:16" x14ac:dyDescent="0.25">
      <c r="N1485">
        <v>1330</v>
      </c>
      <c r="O1485">
        <v>14675.873783750207</v>
      </c>
      <c r="P1485">
        <v>-4350.6677837502066</v>
      </c>
    </row>
    <row r="1486" spans="14:16" x14ac:dyDescent="0.25">
      <c r="N1486">
        <v>1331</v>
      </c>
      <c r="O1486">
        <v>11826.112279863992</v>
      </c>
      <c r="P1486">
        <v>803.05332013600855</v>
      </c>
    </row>
    <row r="1487" spans="14:16" x14ac:dyDescent="0.25">
      <c r="N1487">
        <v>1332</v>
      </c>
      <c r="O1487">
        <v>4577.606145303931</v>
      </c>
      <c r="P1487">
        <v>6218.3311546960686</v>
      </c>
    </row>
    <row r="1488" spans="14:16" x14ac:dyDescent="0.25">
      <c r="N1488">
        <v>1333</v>
      </c>
      <c r="O1488">
        <v>17112.669656627426</v>
      </c>
      <c r="P1488">
        <v>-5700.9846566274264</v>
      </c>
    </row>
    <row r="1489" spans="14:16" x14ac:dyDescent="0.25">
      <c r="N1489">
        <v>1334</v>
      </c>
      <c r="O1489">
        <v>12177.950880956865</v>
      </c>
      <c r="P1489">
        <v>-1577.4025809568648</v>
      </c>
    </row>
    <row r="1490" spans="14:16" x14ac:dyDescent="0.25">
      <c r="N1490">
        <v>1335</v>
      </c>
      <c r="O1490">
        <v>2812.0185324471586</v>
      </c>
      <c r="P1490">
        <v>-606.03773244715876</v>
      </c>
    </row>
    <row r="1491" spans="14:16" x14ac:dyDescent="0.25">
      <c r="N1491">
        <v>1336</v>
      </c>
      <c r="O1491">
        <v>4398.745948454336</v>
      </c>
      <c r="P1491">
        <v>-2768.9124484543363</v>
      </c>
    </row>
    <row r="1492" spans="14:16" x14ac:dyDescent="0.25">
      <c r="N1492">
        <v>1337</v>
      </c>
      <c r="O1492">
        <v>1615.8364690500057</v>
      </c>
      <c r="P1492">
        <v>392.10853094999425</v>
      </c>
    </row>
    <row r="1493" spans="14:16" ht="15.75" thickBot="1" x14ac:dyDescent="0.3">
      <c r="N1493" s="2">
        <v>1338</v>
      </c>
      <c r="O1493" s="2">
        <v>36793.67069557053</v>
      </c>
      <c r="P1493" s="2">
        <v>-7652.3103955705301</v>
      </c>
    </row>
  </sheetData>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0B172-EB78-452C-918C-E466AD4532D8}">
  <sheetPr codeName="Sheet5"/>
  <dimension ref="A3:AD10"/>
  <sheetViews>
    <sheetView topLeftCell="W1" workbookViewId="0">
      <selection activeCell="Z5" sqref="Z5"/>
    </sheetView>
  </sheetViews>
  <sheetFormatPr defaultRowHeight="15" x14ac:dyDescent="0.25"/>
  <cols>
    <col min="1" max="1" width="16.140625" bestFit="1" customWidth="1"/>
    <col min="2" max="2" width="6.42578125" bestFit="1" customWidth="1"/>
    <col min="3" max="3" width="7.28515625" bestFit="1" customWidth="1"/>
    <col min="4" max="4" width="40.7109375" customWidth="1"/>
    <col min="5" max="5" width="11.28515625" bestFit="1" customWidth="1"/>
    <col min="6" max="6" width="18.140625" bestFit="1" customWidth="1"/>
    <col min="7" max="7" width="40.7109375" customWidth="1"/>
    <col min="8" max="8" width="14.140625" bestFit="1" customWidth="1"/>
    <col min="9" max="9" width="18.140625" bestFit="1" customWidth="1"/>
    <col min="10" max="10" width="40.7109375" customWidth="1"/>
    <col min="11" max="11" width="18.140625" customWidth="1"/>
    <col min="12" max="13" width="12" bestFit="1" customWidth="1"/>
    <col min="14" max="14" width="40.7109375" customWidth="1"/>
    <col min="15" max="15" width="11.28515625" bestFit="1" customWidth="1"/>
    <col min="16" max="16" width="18.140625" bestFit="1" customWidth="1"/>
    <col min="17" max="17" width="40.7109375" customWidth="1"/>
    <col min="18" max="18" width="11.28515625" bestFit="1" customWidth="1"/>
    <col min="19" max="19" width="18.140625" bestFit="1" customWidth="1"/>
    <col min="20" max="20" width="40.7109375" customWidth="1"/>
    <col min="21" max="21" width="11.28515625" bestFit="1" customWidth="1"/>
    <col min="22" max="22" width="18.140625" bestFit="1" customWidth="1"/>
    <col min="23" max="23" width="15.140625" bestFit="1" customWidth="1"/>
    <col min="24" max="24" width="40.7109375" customWidth="1"/>
    <col min="25" max="25" width="14" bestFit="1" customWidth="1"/>
    <col min="26" max="27" width="18.140625" bestFit="1" customWidth="1"/>
    <col min="28" max="28" width="16.140625" bestFit="1" customWidth="1"/>
    <col min="29" max="29" width="11.28515625" bestFit="1" customWidth="1"/>
    <col min="30" max="30" width="16.140625" bestFit="1" customWidth="1"/>
    <col min="31" max="31" width="7.28515625" bestFit="1" customWidth="1"/>
  </cols>
  <sheetData>
    <row r="3" spans="1:30" x14ac:dyDescent="0.25">
      <c r="A3" s="1" t="s">
        <v>16</v>
      </c>
      <c r="B3" s="1" t="s">
        <v>1</v>
      </c>
      <c r="E3" s="1" t="s">
        <v>2</v>
      </c>
      <c r="F3" t="s">
        <v>34</v>
      </c>
      <c r="H3" s="1" t="s">
        <v>35</v>
      </c>
      <c r="I3" t="s">
        <v>34</v>
      </c>
      <c r="K3" s="1" t="s">
        <v>34</v>
      </c>
      <c r="L3" s="1" t="s">
        <v>4</v>
      </c>
      <c r="O3" s="1" t="s">
        <v>0</v>
      </c>
      <c r="P3" t="s">
        <v>34</v>
      </c>
      <c r="R3" s="1" t="s">
        <v>3</v>
      </c>
      <c r="S3" t="s">
        <v>34</v>
      </c>
      <c r="U3" s="1" t="s">
        <v>5</v>
      </c>
      <c r="V3" t="s">
        <v>34</v>
      </c>
      <c r="Y3" s="1" t="s">
        <v>69</v>
      </c>
      <c r="Z3" t="s">
        <v>34</v>
      </c>
      <c r="AC3" s="1" t="s">
        <v>1</v>
      </c>
      <c r="AD3" t="s">
        <v>16</v>
      </c>
    </row>
    <row r="4" spans="1:30" x14ac:dyDescent="0.25">
      <c r="A4" s="1" t="s">
        <v>4</v>
      </c>
      <c r="B4" t="s">
        <v>10</v>
      </c>
      <c r="C4" t="s">
        <v>7</v>
      </c>
      <c r="E4" t="s">
        <v>30</v>
      </c>
      <c r="F4" s="32">
        <v>10282.224468979595</v>
      </c>
      <c r="H4" t="s">
        <v>40</v>
      </c>
      <c r="I4" s="11">
        <v>8852.2005700000009</v>
      </c>
      <c r="K4" s="1" t="s">
        <v>35</v>
      </c>
      <c r="L4" t="s">
        <v>11</v>
      </c>
      <c r="M4" t="s">
        <v>8</v>
      </c>
      <c r="O4" t="s">
        <v>71</v>
      </c>
      <c r="P4" s="11">
        <v>9098.1922464088457</v>
      </c>
      <c r="R4">
        <v>0</v>
      </c>
      <c r="S4" s="32">
        <v>12365.975600174219</v>
      </c>
      <c r="U4" t="s">
        <v>14</v>
      </c>
      <c r="V4">
        <v>13406.384515740749</v>
      </c>
      <c r="Y4" t="s">
        <v>70</v>
      </c>
      <c r="Z4" s="11">
        <v>8434.2682959586364</v>
      </c>
      <c r="AC4" t="s">
        <v>10</v>
      </c>
      <c r="AD4" s="32">
        <v>676</v>
      </c>
    </row>
    <row r="5" spans="1:30" x14ac:dyDescent="0.25">
      <c r="A5" t="s">
        <v>8</v>
      </c>
      <c r="B5">
        <v>159</v>
      </c>
      <c r="C5">
        <v>115</v>
      </c>
      <c r="E5" t="s">
        <v>31</v>
      </c>
      <c r="F5" s="32">
        <v>12714.635430888005</v>
      </c>
      <c r="H5" t="s">
        <v>37</v>
      </c>
      <c r="I5" s="11">
        <v>10379.49972747748</v>
      </c>
      <c r="K5" t="s">
        <v>40</v>
      </c>
      <c r="L5">
        <v>5532.9924400000009</v>
      </c>
      <c r="M5">
        <v>18809.824960000002</v>
      </c>
      <c r="O5" t="s">
        <v>72</v>
      </c>
      <c r="P5" s="11">
        <v>11661.811599236638</v>
      </c>
      <c r="R5">
        <v>1</v>
      </c>
      <c r="S5" s="32">
        <v>12731.171830555555</v>
      </c>
      <c r="U5" t="s">
        <v>13</v>
      </c>
      <c r="V5">
        <v>12417.575367384612</v>
      </c>
      <c r="Y5" t="s">
        <v>4</v>
      </c>
      <c r="Z5" s="11">
        <v>32050.231831021905</v>
      </c>
      <c r="AC5" t="s">
        <v>7</v>
      </c>
      <c r="AD5" s="32">
        <v>662</v>
      </c>
    </row>
    <row r="6" spans="1:30" x14ac:dyDescent="0.25">
      <c r="A6" t="s">
        <v>11</v>
      </c>
      <c r="B6">
        <v>517</v>
      </c>
      <c r="C6">
        <v>547</v>
      </c>
      <c r="E6" t="s">
        <v>32</v>
      </c>
      <c r="F6" s="32">
        <v>16913.681516554054</v>
      </c>
      <c r="H6" t="s">
        <v>38</v>
      </c>
      <c r="I6" s="11">
        <v>15552.335468458263</v>
      </c>
      <c r="K6" t="s">
        <v>37</v>
      </c>
      <c r="L6">
        <v>7599.6381261627903</v>
      </c>
      <c r="M6">
        <v>19942.223636000002</v>
      </c>
      <c r="O6" t="s">
        <v>73</v>
      </c>
      <c r="P6" s="11">
        <v>13730.042356250007</v>
      </c>
      <c r="R6">
        <v>2</v>
      </c>
      <c r="S6" s="32">
        <v>15073.563730416663</v>
      </c>
      <c r="U6" t="s">
        <v>12</v>
      </c>
      <c r="V6">
        <v>14735.411438461551</v>
      </c>
      <c r="Y6" t="s">
        <v>15</v>
      </c>
      <c r="Z6" s="11">
        <v>13270.42226352764</v>
      </c>
      <c r="AC6" t="s">
        <v>15</v>
      </c>
      <c r="AD6" s="32">
        <v>1338</v>
      </c>
    </row>
    <row r="7" spans="1:30" x14ac:dyDescent="0.25">
      <c r="A7" t="s">
        <v>15</v>
      </c>
      <c r="B7">
        <v>676</v>
      </c>
      <c r="C7">
        <v>662</v>
      </c>
      <c r="E7" t="s">
        <v>33</v>
      </c>
      <c r="F7" s="32">
        <v>17547.926749999999</v>
      </c>
      <c r="H7" t="s">
        <v>39</v>
      </c>
      <c r="I7" s="11">
        <v>11000.079335475581</v>
      </c>
      <c r="K7" t="s">
        <v>38</v>
      </c>
      <c r="L7">
        <v>8842.6915467971558</v>
      </c>
      <c r="M7">
        <v>41557.98984068969</v>
      </c>
      <c r="O7" t="s">
        <v>74</v>
      </c>
      <c r="P7" s="11">
        <v>15937.657552158273</v>
      </c>
      <c r="R7">
        <v>3</v>
      </c>
      <c r="S7" s="32">
        <v>15355.318366242036</v>
      </c>
      <c r="U7" t="s">
        <v>9</v>
      </c>
      <c r="V7">
        <v>12346.937376923079</v>
      </c>
    </row>
    <row r="8" spans="1:30" x14ac:dyDescent="0.25">
      <c r="E8" t="s">
        <v>15</v>
      </c>
      <c r="F8" s="32">
        <v>13270.422263527631</v>
      </c>
      <c r="H8" t="s">
        <v>15</v>
      </c>
      <c r="I8" s="11">
        <v>13270.422263527662</v>
      </c>
      <c r="K8" t="s">
        <v>39</v>
      </c>
      <c r="L8">
        <v>8299.4799152380965</v>
      </c>
      <c r="M8">
        <v>22495.874164864876</v>
      </c>
      <c r="O8" t="s">
        <v>75</v>
      </c>
      <c r="P8" s="11">
        <v>19766.124609756094</v>
      </c>
      <c r="R8">
        <v>4</v>
      </c>
      <c r="S8" s="32">
        <v>13850.656308</v>
      </c>
      <c r="U8" t="s">
        <v>15</v>
      </c>
      <c r="V8">
        <v>13270.42226352764</v>
      </c>
    </row>
    <row r="9" spans="1:30" x14ac:dyDescent="0.25">
      <c r="K9" t="s">
        <v>15</v>
      </c>
      <c r="L9">
        <v>8434.2682959586436</v>
      </c>
      <c r="M9">
        <v>32050.231831021891</v>
      </c>
      <c r="O9" t="s">
        <v>15</v>
      </c>
      <c r="P9" s="11">
        <v>13270.422263527647</v>
      </c>
      <c r="R9">
        <v>5</v>
      </c>
      <c r="S9" s="32">
        <v>8786.0352500000008</v>
      </c>
    </row>
    <row r="10" spans="1:30" x14ac:dyDescent="0.25">
      <c r="R10" t="s">
        <v>15</v>
      </c>
      <c r="S10" s="32">
        <v>13270.422263527636</v>
      </c>
    </row>
  </sheetData>
  <pageMargins left="0.7" right="0.7" top="0.75" bottom="0.75" header="0.3" footer="0.3"/>
  <drawing r:id="rId1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B8119-EB75-4731-8E9C-2C6284F8CC55}">
  <sheetPr codeName="Sheet1">
    <tabColor rgb="FFFFFF00"/>
  </sheetPr>
  <dimension ref="V38:AH63"/>
  <sheetViews>
    <sheetView showGridLines="0" tabSelected="1" zoomScale="70" zoomScaleNormal="70" workbookViewId="0">
      <selection activeCell="Y52" sqref="Y52:AA53"/>
    </sheetView>
  </sheetViews>
  <sheetFormatPr defaultRowHeight="15" x14ac:dyDescent="0.25"/>
  <sheetData>
    <row r="38" spans="22:34" x14ac:dyDescent="0.25">
      <c r="V38" s="30" t="s">
        <v>76</v>
      </c>
      <c r="W38" s="31"/>
      <c r="X38" s="31"/>
      <c r="Y38" s="31"/>
      <c r="Z38" s="31"/>
      <c r="AA38" s="31"/>
      <c r="AB38" s="31"/>
      <c r="AC38" s="31"/>
      <c r="AD38" s="31"/>
      <c r="AE38" s="31"/>
      <c r="AF38" s="31"/>
      <c r="AG38" s="31"/>
      <c r="AH38" s="31"/>
    </row>
    <row r="39" spans="22:34" x14ac:dyDescent="0.25">
      <c r="V39" s="31"/>
      <c r="W39" s="31"/>
      <c r="X39" s="31"/>
      <c r="Y39" s="31"/>
      <c r="Z39" s="31"/>
      <c r="AA39" s="31"/>
      <c r="AB39" s="31"/>
      <c r="AC39" s="31"/>
      <c r="AD39" s="31"/>
      <c r="AE39" s="31"/>
      <c r="AF39" s="31"/>
      <c r="AG39" s="31"/>
      <c r="AH39" s="31"/>
    </row>
    <row r="40" spans="22:34" x14ac:dyDescent="0.25">
      <c r="V40" s="31"/>
      <c r="W40" s="31"/>
      <c r="X40" s="31"/>
      <c r="Y40" s="31"/>
      <c r="Z40" s="31"/>
      <c r="AA40" s="31"/>
      <c r="AB40" s="31"/>
      <c r="AC40" s="31"/>
      <c r="AD40" s="31"/>
      <c r="AE40" s="31"/>
      <c r="AF40" s="31"/>
      <c r="AG40" s="31"/>
      <c r="AH40" s="31"/>
    </row>
    <row r="41" spans="22:34" x14ac:dyDescent="0.25">
      <c r="V41" s="31"/>
      <c r="W41" s="31"/>
      <c r="X41" s="31"/>
      <c r="Y41" s="31"/>
      <c r="Z41" s="31"/>
      <c r="AA41" s="31"/>
      <c r="AB41" s="31"/>
      <c r="AC41" s="31"/>
      <c r="AD41" s="31"/>
      <c r="AE41" s="31"/>
      <c r="AF41" s="31"/>
      <c r="AG41" s="31"/>
      <c r="AH41" s="31"/>
    </row>
    <row r="44" spans="22:34" x14ac:dyDescent="0.25">
      <c r="V44" s="17" t="s">
        <v>77</v>
      </c>
      <c r="W44" s="17"/>
      <c r="X44" s="17"/>
      <c r="Y44" s="18"/>
      <c r="Z44" s="18"/>
      <c r="AA44" s="18"/>
      <c r="AB44" s="14"/>
      <c r="AC44" s="14"/>
      <c r="AD44" s="14"/>
      <c r="AE44" s="14"/>
      <c r="AF44" s="14"/>
      <c r="AG44" s="14"/>
    </row>
    <row r="45" spans="22:34" x14ac:dyDescent="0.25">
      <c r="V45" s="17"/>
      <c r="W45" s="17"/>
      <c r="X45" s="17"/>
      <c r="Y45" s="18"/>
      <c r="Z45" s="18"/>
      <c r="AA45" s="18"/>
      <c r="AB45" s="14"/>
      <c r="AC45" s="14"/>
      <c r="AD45" s="14"/>
      <c r="AE45" s="14"/>
      <c r="AF45" s="14"/>
      <c r="AG45" s="14"/>
    </row>
    <row r="46" spans="22:34" ht="15" customHeight="1" x14ac:dyDescent="0.25">
      <c r="V46" s="14"/>
      <c r="W46" s="14"/>
      <c r="X46" s="14"/>
      <c r="Y46" s="14"/>
      <c r="Z46" s="14"/>
      <c r="AA46" s="14"/>
      <c r="AC46" s="19" t="s">
        <v>80</v>
      </c>
      <c r="AD46" s="19"/>
      <c r="AE46" s="19"/>
      <c r="AF46" s="19"/>
      <c r="AG46" s="19"/>
      <c r="AH46" s="15"/>
    </row>
    <row r="47" spans="22:34" ht="15" customHeight="1" x14ac:dyDescent="0.25">
      <c r="V47" s="17" t="s">
        <v>78</v>
      </c>
      <c r="W47" s="17"/>
      <c r="X47" s="17"/>
      <c r="Y47" s="18"/>
      <c r="Z47" s="18"/>
      <c r="AA47" s="18"/>
      <c r="AC47" s="19"/>
      <c r="AD47" s="19"/>
      <c r="AE47" s="19"/>
      <c r="AF47" s="19"/>
      <c r="AG47" s="19"/>
      <c r="AH47" s="15"/>
    </row>
    <row r="48" spans="22:34" ht="15" customHeight="1" x14ac:dyDescent="0.25">
      <c r="V48" s="17"/>
      <c r="W48" s="17"/>
      <c r="X48" s="17"/>
      <c r="Y48" s="18"/>
      <c r="Z48" s="18"/>
      <c r="AA48" s="18"/>
      <c r="AC48" s="19"/>
      <c r="AD48" s="19"/>
      <c r="AE48" s="19"/>
      <c r="AF48" s="19"/>
      <c r="AG48" s="19"/>
      <c r="AH48" s="15"/>
    </row>
    <row r="49" spans="22:34" ht="15" customHeight="1" x14ac:dyDescent="0.25">
      <c r="V49" s="14"/>
      <c r="W49" s="14"/>
      <c r="X49" s="14"/>
      <c r="Y49" s="14"/>
      <c r="Z49" s="14"/>
      <c r="AA49" s="14"/>
      <c r="AC49" s="20" t="str">
        <f>IFERROR(-12102.77+(257.85*Y47)+(23811.4*(IF(Y44="yes",1,0)))+(321.85*(Y50/(Y52*Y52)))+(473.5*Y57),"◄ Insert Info")</f>
        <v>◄ Insert Info</v>
      </c>
      <c r="AD49" s="21"/>
      <c r="AE49" s="21"/>
      <c r="AF49" s="21"/>
      <c r="AG49" s="22"/>
      <c r="AH49" s="16"/>
    </row>
    <row r="50" spans="22:34" ht="15" customHeight="1" x14ac:dyDescent="0.25">
      <c r="V50" s="29" t="s">
        <v>79</v>
      </c>
      <c r="W50" s="34" t="s">
        <v>84</v>
      </c>
      <c r="X50" s="34"/>
      <c r="Y50" s="18"/>
      <c r="Z50" s="18"/>
      <c r="AA50" s="18"/>
      <c r="AC50" s="23"/>
      <c r="AD50" s="24"/>
      <c r="AE50" s="24"/>
      <c r="AF50" s="24"/>
      <c r="AG50" s="25"/>
      <c r="AH50" s="16"/>
    </row>
    <row r="51" spans="22:34" ht="15" customHeight="1" x14ac:dyDescent="0.25">
      <c r="V51" s="29"/>
      <c r="W51" s="34"/>
      <c r="X51" s="34"/>
      <c r="Y51" s="18"/>
      <c r="Z51" s="18"/>
      <c r="AA51" s="18"/>
      <c r="AC51" s="23"/>
      <c r="AD51" s="24"/>
      <c r="AE51" s="24"/>
      <c r="AF51" s="24"/>
      <c r="AG51" s="25"/>
      <c r="AH51" s="16"/>
    </row>
    <row r="52" spans="22:34" ht="15" customHeight="1" x14ac:dyDescent="0.25">
      <c r="V52" s="29"/>
      <c r="W52" s="34" t="s">
        <v>83</v>
      </c>
      <c r="X52" s="34"/>
      <c r="Y52" s="18"/>
      <c r="Z52" s="18"/>
      <c r="AA52" s="18"/>
      <c r="AB52" s="14"/>
      <c r="AC52" s="26"/>
      <c r="AD52" s="27"/>
      <c r="AE52" s="27"/>
      <c r="AF52" s="27"/>
      <c r="AG52" s="28"/>
      <c r="AH52" s="16"/>
    </row>
    <row r="53" spans="22:34" ht="15" customHeight="1" x14ac:dyDescent="0.25">
      <c r="V53" s="29"/>
      <c r="W53" s="34"/>
      <c r="X53" s="34"/>
      <c r="Y53" s="18"/>
      <c r="Z53" s="18"/>
      <c r="AA53" s="18"/>
      <c r="AB53" s="14"/>
      <c r="AC53" s="16"/>
      <c r="AD53" s="16"/>
      <c r="AE53" s="16"/>
      <c r="AF53" s="16"/>
      <c r="AG53" s="16"/>
      <c r="AH53" s="16"/>
    </row>
    <row r="54" spans="22:34" ht="15" customHeight="1" x14ac:dyDescent="0.25">
      <c r="V54" s="29"/>
      <c r="W54" s="34" t="s">
        <v>82</v>
      </c>
      <c r="X54" s="34"/>
      <c r="Y54" s="35" t="str" cm="1">
        <f t="array" ref="Y54">IFERROR(_xlfn.IFS(Y50/(Y52*Y52)&lt;18.5,"Underweight",AND(Y50/(Y52*Y52)&gt;=18.5,Y50/(Y52*Y52)&lt;=24.9),"Healthy Weight",AND(Y50/(Y52*Y52)&gt;=25,Y50/(Y52*Y52)&lt;=29.9),"Overweight",Y50/(Y52*Y52)&gt;=30,"Obese"),"")</f>
        <v/>
      </c>
      <c r="Z54" s="35"/>
      <c r="AA54" s="35"/>
      <c r="AB54" s="14"/>
      <c r="AC54" s="16"/>
      <c r="AD54" s="16"/>
      <c r="AE54" s="16"/>
      <c r="AF54" s="16"/>
      <c r="AG54" s="16"/>
      <c r="AH54" s="16"/>
    </row>
    <row r="55" spans="22:34" x14ac:dyDescent="0.25">
      <c r="V55" s="29"/>
      <c r="W55" s="34"/>
      <c r="X55" s="34"/>
      <c r="Y55" s="35"/>
      <c r="Z55" s="35"/>
      <c r="AA55" s="35"/>
      <c r="AB55" s="14"/>
      <c r="AC55" s="14"/>
      <c r="AD55" s="14"/>
      <c r="AE55" s="14"/>
      <c r="AF55" s="14"/>
      <c r="AG55" s="14"/>
    </row>
    <row r="56" spans="22:34" x14ac:dyDescent="0.25">
      <c r="AB56" s="14"/>
      <c r="AC56" s="14"/>
      <c r="AD56" s="14"/>
      <c r="AE56" s="14"/>
      <c r="AF56" s="14"/>
      <c r="AG56" s="14"/>
    </row>
    <row r="57" spans="22:34" x14ac:dyDescent="0.25">
      <c r="V57" s="17" t="s">
        <v>81</v>
      </c>
      <c r="W57" s="17"/>
      <c r="X57" s="17"/>
      <c r="Y57" s="18"/>
      <c r="Z57" s="18"/>
      <c r="AA57" s="18"/>
      <c r="AB57" s="14"/>
      <c r="AC57" s="14"/>
      <c r="AD57" s="14"/>
      <c r="AE57" s="14"/>
      <c r="AF57" s="14"/>
      <c r="AG57" s="14"/>
    </row>
    <row r="58" spans="22:34" x14ac:dyDescent="0.25">
      <c r="V58" s="17"/>
      <c r="W58" s="17"/>
      <c r="X58" s="17"/>
      <c r="Y58" s="18"/>
      <c r="Z58" s="18"/>
      <c r="AA58" s="18"/>
    </row>
    <row r="63" spans="22:34" x14ac:dyDescent="0.25">
      <c r="Y63" s="33"/>
    </row>
  </sheetData>
  <sheetProtection sheet="1" objects="1" scenarios="1"/>
  <mergeCells count="16">
    <mergeCell ref="Y44:AA45"/>
    <mergeCell ref="Y47:AA48"/>
    <mergeCell ref="W52:X53"/>
    <mergeCell ref="V38:AH41"/>
    <mergeCell ref="V44:X45"/>
    <mergeCell ref="V47:X48"/>
    <mergeCell ref="V50:V55"/>
    <mergeCell ref="W54:X55"/>
    <mergeCell ref="Y54:AA55"/>
    <mergeCell ref="W50:X51"/>
    <mergeCell ref="Y57:AA58"/>
    <mergeCell ref="Y50:AA51"/>
    <mergeCell ref="Y52:AA53"/>
    <mergeCell ref="AC46:AG48"/>
    <mergeCell ref="AC49:AG52"/>
    <mergeCell ref="V57:X58"/>
  </mergeCells>
  <conditionalFormatting sqref="Y54:AA55">
    <cfRule type="containsText" dxfId="0" priority="4" operator="containsText" text="Healthy">
      <formula>NOT(ISERROR(SEARCH("Healthy",Y54)))</formula>
    </cfRule>
    <cfRule type="containsText" dxfId="1" priority="3" operator="containsText" text="Overweight">
      <formula>NOT(ISERROR(SEARCH("Overweight",Y54)))</formula>
    </cfRule>
    <cfRule type="containsText" dxfId="2" priority="2" operator="containsText" text="Obese">
      <formula>NOT(ISERROR(SEARCH("Obese",Y54)))</formula>
    </cfRule>
    <cfRule type="containsText" dxfId="3" priority="1" operator="containsText" text="Underweight">
      <formula>NOT(ISERROR(SEARCH("Underweight",Y54)))</formula>
    </cfRule>
  </conditionalFormatting>
  <dataValidations count="1">
    <dataValidation type="list" allowBlank="1" showInputMessage="1" showErrorMessage="1" sqref="Y44:AA45" xr:uid="{698C2DED-9841-4BE8-8C66-E9BCE12A385E}">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7" r:id="rId3" name="Button 5">
              <controlPr defaultSize="0" print="0" autoFill="0" autoPict="0" macro="[0]!Clear_estimator">
                <anchor moveWithCells="1" sizeWithCells="1">
                  <from>
                    <xdr:col>29</xdr:col>
                    <xdr:colOff>514350</xdr:colOff>
                    <xdr:row>53</xdr:row>
                    <xdr:rowOff>76200</xdr:rowOff>
                  </from>
                  <to>
                    <xdr:col>32</xdr:col>
                    <xdr:colOff>533400</xdr:colOff>
                    <xdr:row>56</xdr:row>
                    <xdr:rowOff>142875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C63302D-F135-430B-8A93-6B853093F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insurance</vt:lpstr>
      <vt:lpstr>insurance (Copy)</vt:lpstr>
      <vt:lpstr>insurance (Clean)</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Hadi Shokri</cp:lastModifiedBy>
  <dcterms:created xsi:type="dcterms:W3CDTF">2025-09-11T22:11:51Z</dcterms:created>
  <dcterms:modified xsi:type="dcterms:W3CDTF">2025-09-21T04:03:32Z</dcterms:modified>
</cp:coreProperties>
</file>